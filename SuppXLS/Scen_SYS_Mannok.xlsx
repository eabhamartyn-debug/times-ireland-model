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ppXLS/"/>
    </mc:Choice>
  </mc:AlternateContent>
  <xr:revisionPtr revIDLastSave="3" documentId="13_ncr:1_{FF2192E0-2A55-4E4C-85BF-7F2006FCB041}" xr6:coauthVersionLast="47" xr6:coauthVersionMax="47" xr10:uidLastSave="{AC7C242E-C8F8-43B2-8611-042DA8D59129}"/>
  <bookViews>
    <workbookView xWindow="-110" yWindow="-110" windowWidth="19420" windowHeight="11620" activeTab="7" xr2:uid="{00000000-000D-0000-FFFF-FFFF00000000}"/>
  </bookViews>
  <sheets>
    <sheet name="Cover" sheetId="11" r:id="rId1"/>
    <sheet name="Regions" sheetId="2" r:id="rId2"/>
    <sheet name="Commodities" sheetId="6" r:id="rId3"/>
    <sheet name="Processes" sheetId="5" r:id="rId4"/>
    <sheet name="FT" sheetId="7" r:id="rId5"/>
    <sheet name="DMD" sheetId="10" r:id="rId6"/>
    <sheet name="Techs" sheetId="16" r:id="rId7"/>
    <sheet name="Demands" sheetId="8" r:id="rId8"/>
    <sheet name="EMI" sheetId="17" r:id="rId9"/>
    <sheet name="NRG_shares" sheetId="15" r:id="rId10"/>
    <sheet name="Conversions" sheetId="9" r:id="rId11"/>
    <sheet name="EB2018" sheetId="3" r:id="rId12"/>
    <sheet name="EB2019" sheetId="12" r:id="rId13"/>
    <sheet name="EB2020" sheetId="13" r:id="rId14"/>
    <sheet name="EB2021" sheetId="14" r:id="rId15"/>
  </sheets>
  <definedNames>
    <definedName name="__123Graph_AEUMILKPN" localSheetId="0" hidden="1">#REF!</definedName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2">'EB2019'!$A$1:$AQ$80</definedName>
    <definedName name="_xlnm.Print_Area" localSheetId="13">'EB2020'!$A$1:$AQ$76</definedName>
    <definedName name="_xlnm.Print_Area" localSheetId="14">'EB2021'!$A$1:$AQ$76</definedName>
    <definedName name="_xlnm.Print_Titles" localSheetId="12">'EB2019'!$A:$B,'EB2019'!$1:$1</definedName>
    <definedName name="_xlnm.Print_Titles" localSheetId="13">'EB2020'!$A:$B,'EB2020'!$1:$1</definedName>
    <definedName name="_xlnm.Print_Titles" localSheetId="14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6" i="16"/>
  <c r="AF197" i="15"/>
  <c r="AF198" i="15"/>
  <c r="AF199" i="15"/>
  <c r="AF200" i="15"/>
  <c r="AF201" i="15"/>
  <c r="AF202" i="15"/>
  <c r="AF203" i="15"/>
  <c r="AF196" i="15"/>
  <c r="AE204" i="15"/>
  <c r="AE197" i="15"/>
  <c r="AE198" i="15"/>
  <c r="AE199" i="15"/>
  <c r="AE200" i="15"/>
  <c r="AE201" i="15"/>
  <c r="AE202" i="15"/>
  <c r="AE203" i="15"/>
  <c r="AE196" i="15"/>
  <c r="P8" i="16"/>
  <c r="F24" i="7"/>
  <c r="C24" i="7"/>
  <c r="B24" i="7"/>
  <c r="C141" i="5"/>
  <c r="C89" i="6"/>
  <c r="L6" i="10"/>
  <c r="O7" i="17"/>
  <c r="F23" i="7"/>
  <c r="D23" i="7"/>
  <c r="C23" i="7"/>
  <c r="B23" i="7"/>
  <c r="P67" i="16"/>
  <c r="B67" i="16"/>
  <c r="D98" i="5" s="1"/>
  <c r="H160" i="15"/>
  <c r="D126" i="15" a="1"/>
  <c r="D126" i="15" s="1"/>
  <c r="F126" i="15" a="1"/>
  <c r="F126" i="15" s="1"/>
  <c r="D13" i="8"/>
  <c r="T6" i="16" a="1"/>
  <c r="T6" i="16" s="1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6" i="16"/>
  <c r="B101" i="16"/>
  <c r="D132" i="5" s="1"/>
  <c r="B100" i="16"/>
  <c r="D131" i="5" s="1"/>
  <c r="B99" i="16"/>
  <c r="D130" i="5" s="1"/>
  <c r="BF184" i="15"/>
  <c r="E35" i="6"/>
  <c r="E30" i="6"/>
  <c r="E31" i="6"/>
  <c r="E9" i="5" s="1"/>
  <c r="E32" i="6"/>
  <c r="E29" i="6"/>
  <c r="E13" i="5"/>
  <c r="D11" i="16"/>
  <c r="D10" i="16"/>
  <c r="BE181" i="15"/>
  <c r="BE180" i="15"/>
  <c r="AW183" i="15"/>
  <c r="BD188" i="15"/>
  <c r="BC188" i="15"/>
  <c r="BB188" i="15"/>
  <c r="AY188" i="15"/>
  <c r="AX188" i="15"/>
  <c r="AV188" i="15"/>
  <c r="AU188" i="15"/>
  <c r="AT188" i="15"/>
  <c r="AQ188" i="15"/>
  <c r="AP188" i="15"/>
  <c r="BD187" i="15"/>
  <c r="BC187" i="15"/>
  <c r="BB187" i="15"/>
  <c r="AY187" i="15"/>
  <c r="AX187" i="15"/>
  <c r="AV187" i="15"/>
  <c r="AU187" i="15"/>
  <c r="AT187" i="15"/>
  <c r="AQ187" i="15"/>
  <c r="AP187" i="15"/>
  <c r="BD186" i="15"/>
  <c r="BC186" i="15"/>
  <c r="BB186" i="15"/>
  <c r="AY186" i="15"/>
  <c r="AX186" i="15"/>
  <c r="AV186" i="15"/>
  <c r="AU186" i="15"/>
  <c r="AT186" i="15"/>
  <c r="AQ186" i="15"/>
  <c r="AP186" i="15"/>
  <c r="BD185" i="15"/>
  <c r="BC185" i="15"/>
  <c r="BB185" i="15"/>
  <c r="AY185" i="15"/>
  <c r="AX185" i="15"/>
  <c r="AV185" i="15"/>
  <c r="AU185" i="15"/>
  <c r="AT185" i="15"/>
  <c r="AQ185" i="15"/>
  <c r="AP185" i="15"/>
  <c r="BD184" i="15"/>
  <c r="BC184" i="15"/>
  <c r="BB184" i="15"/>
  <c r="AY184" i="15"/>
  <c r="AX184" i="15"/>
  <c r="AV184" i="15"/>
  <c r="AU184" i="15"/>
  <c r="AT184" i="15"/>
  <c r="AQ184" i="15"/>
  <c r="AP184" i="15"/>
  <c r="AO183" i="15"/>
  <c r="BD182" i="15"/>
  <c r="BC182" i="15"/>
  <c r="BB182" i="15"/>
  <c r="AY182" i="15"/>
  <c r="AX182" i="15"/>
  <c r="AV182" i="15"/>
  <c r="AU182" i="15"/>
  <c r="AT182" i="15"/>
  <c r="AQ182" i="15"/>
  <c r="AP182" i="15"/>
  <c r="BD181" i="15"/>
  <c r="BC181" i="15"/>
  <c r="BB181" i="15"/>
  <c r="AY181" i="15"/>
  <c r="AX181" i="15"/>
  <c r="AV181" i="15"/>
  <c r="AU181" i="15"/>
  <c r="AT181" i="15"/>
  <c r="AQ181" i="15"/>
  <c r="AP181" i="15"/>
  <c r="BD180" i="15"/>
  <c r="BC180" i="15"/>
  <c r="BB180" i="15"/>
  <c r="AY180" i="15"/>
  <c r="AX180" i="15"/>
  <c r="AV180" i="15"/>
  <c r="AU180" i="15"/>
  <c r="AT180" i="15"/>
  <c r="AQ180" i="15"/>
  <c r="AP180" i="15"/>
  <c r="D28" i="6"/>
  <c r="D29" i="6"/>
  <c r="D30" i="6"/>
  <c r="D31" i="6"/>
  <c r="D32" i="6"/>
  <c r="D33" i="6"/>
  <c r="D35" i="6"/>
  <c r="F41" i="10" s="1"/>
  <c r="E45" i="10" s="1"/>
  <c r="D27" i="6"/>
  <c r="C41" i="10"/>
  <c r="C36" i="10"/>
  <c r="C31" i="10"/>
  <c r="C26" i="10"/>
  <c r="C21" i="10"/>
  <c r="C16" i="10"/>
  <c r="C11" i="10"/>
  <c r="C6" i="10"/>
  <c r="D7" i="16"/>
  <c r="D8" i="16"/>
  <c r="D9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6" i="16"/>
  <c r="C7" i="16"/>
  <c r="E38" i="5" s="1"/>
  <c r="C8" i="16"/>
  <c r="E39" i="5" s="1"/>
  <c r="C9" i="16"/>
  <c r="E40" i="5" s="1"/>
  <c r="C10" i="16"/>
  <c r="E41" i="5" s="1"/>
  <c r="C11" i="16"/>
  <c r="E42" i="5" s="1"/>
  <c r="C12" i="16"/>
  <c r="E43" i="5" s="1"/>
  <c r="C13" i="16"/>
  <c r="E44" i="5" s="1"/>
  <c r="C14" i="16"/>
  <c r="E45" i="5" s="1"/>
  <c r="C15" i="16"/>
  <c r="E46" i="5" s="1"/>
  <c r="C16" i="16"/>
  <c r="E47" i="5" s="1"/>
  <c r="C17" i="16"/>
  <c r="E48" i="5" s="1"/>
  <c r="C18" i="16"/>
  <c r="E49" i="5" s="1"/>
  <c r="C19" i="16"/>
  <c r="E50" i="5" s="1"/>
  <c r="C20" i="16"/>
  <c r="E51" i="5" s="1"/>
  <c r="C21" i="16"/>
  <c r="E52" i="5" s="1"/>
  <c r="C22" i="16"/>
  <c r="E53" i="5" s="1"/>
  <c r="C23" i="16"/>
  <c r="E54" i="5" s="1"/>
  <c r="C24" i="16"/>
  <c r="E55" i="5" s="1"/>
  <c r="C25" i="16"/>
  <c r="E56" i="5" s="1"/>
  <c r="C26" i="16"/>
  <c r="E57" i="5" s="1"/>
  <c r="C27" i="16"/>
  <c r="E58" i="5" s="1"/>
  <c r="C28" i="16"/>
  <c r="E59" i="5" s="1"/>
  <c r="C29" i="16"/>
  <c r="E60" i="5" s="1"/>
  <c r="C30" i="16"/>
  <c r="E61" i="5" s="1"/>
  <c r="C31" i="16"/>
  <c r="E62" i="5" s="1"/>
  <c r="C32" i="16"/>
  <c r="E63" i="5" s="1"/>
  <c r="C33" i="16"/>
  <c r="E64" i="5" s="1"/>
  <c r="C34" i="16"/>
  <c r="E65" i="5" s="1"/>
  <c r="C35" i="16"/>
  <c r="E66" i="5" s="1"/>
  <c r="C36" i="16"/>
  <c r="E67" i="5" s="1"/>
  <c r="C37" i="16"/>
  <c r="E68" i="5" s="1"/>
  <c r="C38" i="16"/>
  <c r="E69" i="5" s="1"/>
  <c r="C39" i="16"/>
  <c r="E70" i="5" s="1"/>
  <c r="C40" i="16"/>
  <c r="E71" i="5" s="1"/>
  <c r="C41" i="16"/>
  <c r="E72" i="5" s="1"/>
  <c r="C42" i="16"/>
  <c r="E73" i="5" s="1"/>
  <c r="C43" i="16"/>
  <c r="E74" i="5" s="1"/>
  <c r="C44" i="16"/>
  <c r="E75" i="5" s="1"/>
  <c r="C45" i="16"/>
  <c r="E76" i="5" s="1"/>
  <c r="C46" i="16"/>
  <c r="E77" i="5" s="1"/>
  <c r="C47" i="16"/>
  <c r="E78" i="5" s="1"/>
  <c r="C48" i="16"/>
  <c r="E79" i="5" s="1"/>
  <c r="C49" i="16"/>
  <c r="E80" i="5" s="1"/>
  <c r="C50" i="16"/>
  <c r="E81" i="5" s="1"/>
  <c r="C51" i="16"/>
  <c r="E82" i="5" s="1"/>
  <c r="C52" i="16"/>
  <c r="E83" i="5" s="1"/>
  <c r="C53" i="16"/>
  <c r="E84" i="5" s="1"/>
  <c r="C54" i="16"/>
  <c r="E85" i="5" s="1"/>
  <c r="C55" i="16"/>
  <c r="E86" i="5" s="1"/>
  <c r="C56" i="16"/>
  <c r="E87" i="5" s="1"/>
  <c r="C57" i="16"/>
  <c r="E88" i="5" s="1"/>
  <c r="C58" i="16"/>
  <c r="E89" i="5" s="1"/>
  <c r="C59" i="16"/>
  <c r="E90" i="5" s="1"/>
  <c r="C60" i="16"/>
  <c r="E91" i="5" s="1"/>
  <c r="C61" i="16"/>
  <c r="E92" i="5" s="1"/>
  <c r="C62" i="16"/>
  <c r="E93" i="5" s="1"/>
  <c r="C63" i="16"/>
  <c r="E94" i="5" s="1"/>
  <c r="C64" i="16"/>
  <c r="E95" i="5" s="1"/>
  <c r="C65" i="16"/>
  <c r="E96" i="5" s="1"/>
  <c r="C66" i="16"/>
  <c r="E97" i="5" s="1"/>
  <c r="C67" i="16"/>
  <c r="E98" i="5" s="1"/>
  <c r="C68" i="16"/>
  <c r="E99" i="5" s="1"/>
  <c r="C69" i="16"/>
  <c r="E100" i="5" s="1"/>
  <c r="C70" i="16"/>
  <c r="E101" i="5" s="1"/>
  <c r="C71" i="16"/>
  <c r="E102" i="5" s="1"/>
  <c r="C72" i="16"/>
  <c r="E103" i="5" s="1"/>
  <c r="C73" i="16"/>
  <c r="E104" i="5" s="1"/>
  <c r="C74" i="16"/>
  <c r="E105" i="5" s="1"/>
  <c r="C75" i="16"/>
  <c r="E106" i="5" s="1"/>
  <c r="C76" i="16"/>
  <c r="E107" i="5" s="1"/>
  <c r="C77" i="16"/>
  <c r="E108" i="5" s="1"/>
  <c r="C78" i="16"/>
  <c r="E109" i="5" s="1"/>
  <c r="C79" i="16"/>
  <c r="E110" i="5" s="1"/>
  <c r="C80" i="16"/>
  <c r="E111" i="5" s="1"/>
  <c r="C81" i="16"/>
  <c r="E112" i="5" s="1"/>
  <c r="C82" i="16"/>
  <c r="E113" i="5" s="1"/>
  <c r="C83" i="16"/>
  <c r="E114" i="5" s="1"/>
  <c r="C84" i="16"/>
  <c r="E115" i="5" s="1"/>
  <c r="C85" i="16"/>
  <c r="E116" i="5" s="1"/>
  <c r="C86" i="16"/>
  <c r="E117" i="5" s="1"/>
  <c r="C87" i="16"/>
  <c r="E118" i="5" s="1"/>
  <c r="C88" i="16"/>
  <c r="E119" i="5" s="1"/>
  <c r="C89" i="16"/>
  <c r="E120" i="5" s="1"/>
  <c r="C90" i="16"/>
  <c r="E121" i="5" s="1"/>
  <c r="C91" i="16"/>
  <c r="E122" i="5" s="1"/>
  <c r="C92" i="16"/>
  <c r="E123" i="5" s="1"/>
  <c r="C93" i="16"/>
  <c r="E124" i="5" s="1"/>
  <c r="C94" i="16"/>
  <c r="E125" i="5" s="1"/>
  <c r="C95" i="16"/>
  <c r="E126" i="5" s="1"/>
  <c r="C96" i="16"/>
  <c r="E127" i="5" s="1"/>
  <c r="C97" i="16"/>
  <c r="E128" i="5" s="1"/>
  <c r="C98" i="16"/>
  <c r="E129" i="5" s="1"/>
  <c r="C99" i="16"/>
  <c r="E130" i="5" s="1"/>
  <c r="C100" i="16"/>
  <c r="E131" i="5" s="1"/>
  <c r="C101" i="16"/>
  <c r="E132" i="5" s="1"/>
  <c r="C102" i="16"/>
  <c r="E133" i="5" s="1"/>
  <c r="C103" i="16"/>
  <c r="E134" i="5" s="1"/>
  <c r="C104" i="16"/>
  <c r="E135" i="5" s="1"/>
  <c r="C105" i="16"/>
  <c r="E136" i="5" s="1"/>
  <c r="C106" i="16"/>
  <c r="E137" i="5" s="1"/>
  <c r="C107" i="16"/>
  <c r="E138" i="5" s="1"/>
  <c r="C108" i="16"/>
  <c r="E139" i="5" s="1"/>
  <c r="C109" i="16"/>
  <c r="E140" i="5" s="1"/>
  <c r="C6" i="16"/>
  <c r="E37" i="5" s="1"/>
  <c r="B7" i="16"/>
  <c r="D38" i="5" s="1"/>
  <c r="B8" i="16"/>
  <c r="D39" i="5" s="1"/>
  <c r="B9" i="16"/>
  <c r="D40" i="5" s="1"/>
  <c r="B10" i="16"/>
  <c r="D41" i="5" s="1"/>
  <c r="B11" i="16"/>
  <c r="D42" i="5" s="1"/>
  <c r="B12" i="16"/>
  <c r="D43" i="5" s="1"/>
  <c r="B13" i="16"/>
  <c r="D44" i="5" s="1"/>
  <c r="B14" i="16"/>
  <c r="D45" i="5" s="1"/>
  <c r="B15" i="16"/>
  <c r="D46" i="5" s="1"/>
  <c r="B16" i="16"/>
  <c r="D47" i="5" s="1"/>
  <c r="B17" i="16"/>
  <c r="D48" i="5" s="1"/>
  <c r="B18" i="16"/>
  <c r="D49" i="5" s="1"/>
  <c r="B19" i="16"/>
  <c r="D50" i="5" s="1"/>
  <c r="B20" i="16"/>
  <c r="D51" i="5" s="1"/>
  <c r="B21" i="16"/>
  <c r="D52" i="5" s="1"/>
  <c r="B22" i="16"/>
  <c r="D53" i="5" s="1"/>
  <c r="B23" i="16"/>
  <c r="D54" i="5" s="1"/>
  <c r="B24" i="16"/>
  <c r="D55" i="5" s="1"/>
  <c r="B25" i="16"/>
  <c r="D56" i="5" s="1"/>
  <c r="B26" i="16"/>
  <c r="D57" i="5" s="1"/>
  <c r="B27" i="16"/>
  <c r="D58" i="5" s="1"/>
  <c r="B28" i="16"/>
  <c r="D59" i="5" s="1"/>
  <c r="B29" i="16"/>
  <c r="D60" i="5" s="1"/>
  <c r="B30" i="16"/>
  <c r="D61" i="5" s="1"/>
  <c r="B31" i="16"/>
  <c r="D62" i="5" s="1"/>
  <c r="B32" i="16"/>
  <c r="D63" i="5" s="1"/>
  <c r="B33" i="16"/>
  <c r="D64" i="5" s="1"/>
  <c r="B34" i="16"/>
  <c r="D65" i="5" s="1"/>
  <c r="B35" i="16"/>
  <c r="D66" i="5" s="1"/>
  <c r="B36" i="16"/>
  <c r="D67" i="5" s="1"/>
  <c r="B37" i="16"/>
  <c r="D68" i="5" s="1"/>
  <c r="B38" i="16"/>
  <c r="D69" i="5" s="1"/>
  <c r="B39" i="16"/>
  <c r="D70" i="5" s="1"/>
  <c r="B40" i="16"/>
  <c r="D71" i="5" s="1"/>
  <c r="B41" i="16"/>
  <c r="D72" i="5" s="1"/>
  <c r="B42" i="16"/>
  <c r="D73" i="5" s="1"/>
  <c r="B43" i="16"/>
  <c r="D74" i="5" s="1"/>
  <c r="B44" i="16"/>
  <c r="D75" i="5" s="1"/>
  <c r="B45" i="16"/>
  <c r="D76" i="5" s="1"/>
  <c r="B46" i="16"/>
  <c r="D77" i="5" s="1"/>
  <c r="B47" i="16"/>
  <c r="D78" i="5" s="1"/>
  <c r="B48" i="16"/>
  <c r="D79" i="5" s="1"/>
  <c r="B49" i="16"/>
  <c r="D80" i="5" s="1"/>
  <c r="B50" i="16"/>
  <c r="D81" i="5" s="1"/>
  <c r="B51" i="16"/>
  <c r="D82" i="5" s="1"/>
  <c r="B52" i="16"/>
  <c r="D83" i="5" s="1"/>
  <c r="B53" i="16"/>
  <c r="D84" i="5" s="1"/>
  <c r="B54" i="16"/>
  <c r="D85" i="5" s="1"/>
  <c r="B55" i="16"/>
  <c r="D86" i="5" s="1"/>
  <c r="B56" i="16"/>
  <c r="D87" i="5" s="1"/>
  <c r="B57" i="16"/>
  <c r="D88" i="5" s="1"/>
  <c r="B58" i="16"/>
  <c r="D89" i="5" s="1"/>
  <c r="B59" i="16"/>
  <c r="D90" i="5" s="1"/>
  <c r="B60" i="16"/>
  <c r="D91" i="5" s="1"/>
  <c r="B61" i="16"/>
  <c r="D92" i="5" s="1"/>
  <c r="B62" i="16"/>
  <c r="D93" i="5" s="1"/>
  <c r="B63" i="16"/>
  <c r="D94" i="5" s="1"/>
  <c r="B64" i="16"/>
  <c r="D95" i="5" s="1"/>
  <c r="B65" i="16"/>
  <c r="D96" i="5" s="1"/>
  <c r="B66" i="16"/>
  <c r="D97" i="5" s="1"/>
  <c r="B68" i="16"/>
  <c r="D99" i="5" s="1"/>
  <c r="B69" i="16"/>
  <c r="D100" i="5" s="1"/>
  <c r="B70" i="16"/>
  <c r="D101" i="5" s="1"/>
  <c r="B71" i="16"/>
  <c r="D102" i="5" s="1"/>
  <c r="B72" i="16"/>
  <c r="D103" i="5" s="1"/>
  <c r="B73" i="16"/>
  <c r="D104" i="5" s="1"/>
  <c r="B74" i="16"/>
  <c r="D105" i="5" s="1"/>
  <c r="B75" i="16"/>
  <c r="D106" i="5" s="1"/>
  <c r="B76" i="16"/>
  <c r="D107" i="5" s="1"/>
  <c r="B77" i="16"/>
  <c r="D108" i="5" s="1"/>
  <c r="B78" i="16"/>
  <c r="D109" i="5" s="1"/>
  <c r="B79" i="16"/>
  <c r="D110" i="5" s="1"/>
  <c r="B80" i="16"/>
  <c r="D111" i="5" s="1"/>
  <c r="B81" i="16"/>
  <c r="D112" i="5" s="1"/>
  <c r="B82" i="16"/>
  <c r="D113" i="5" s="1"/>
  <c r="B83" i="16"/>
  <c r="D114" i="5" s="1"/>
  <c r="B84" i="16"/>
  <c r="D115" i="5" s="1"/>
  <c r="B85" i="16"/>
  <c r="D116" i="5" s="1"/>
  <c r="B86" i="16"/>
  <c r="D117" i="5" s="1"/>
  <c r="B87" i="16"/>
  <c r="D118" i="5" s="1"/>
  <c r="B88" i="16"/>
  <c r="D119" i="5" s="1"/>
  <c r="B89" i="16"/>
  <c r="D120" i="5" s="1"/>
  <c r="B90" i="16"/>
  <c r="D121" i="5" s="1"/>
  <c r="B91" i="16"/>
  <c r="D122" i="5" s="1"/>
  <c r="B92" i="16"/>
  <c r="D123" i="5" s="1"/>
  <c r="B93" i="16"/>
  <c r="D124" i="5" s="1"/>
  <c r="B94" i="16"/>
  <c r="D125" i="5" s="1"/>
  <c r="B95" i="16"/>
  <c r="D126" i="5" s="1"/>
  <c r="B96" i="16"/>
  <c r="D127" i="5" s="1"/>
  <c r="B97" i="16"/>
  <c r="D128" i="5" s="1"/>
  <c r="B98" i="16"/>
  <c r="D129" i="5" s="1"/>
  <c r="B102" i="16"/>
  <c r="D133" i="5" s="1"/>
  <c r="B103" i="16"/>
  <c r="D134" i="5" s="1"/>
  <c r="B104" i="16"/>
  <c r="D135" i="5" s="1"/>
  <c r="B105" i="16"/>
  <c r="D136" i="5" s="1"/>
  <c r="B106" i="16"/>
  <c r="D137" i="5" s="1"/>
  <c r="B107" i="16"/>
  <c r="D138" i="5" s="1"/>
  <c r="B108" i="16"/>
  <c r="D139" i="5" s="1"/>
  <c r="B109" i="16"/>
  <c r="D140" i="5" s="1"/>
  <c r="B6" i="16"/>
  <c r="D37" i="5" s="1"/>
  <c r="AY189" i="15" l="1"/>
  <c r="AY190" i="15" s="1"/>
  <c r="BC189" i="15"/>
  <c r="BC190" i="15" s="1"/>
  <c r="E42" i="10"/>
  <c r="E43" i="10"/>
  <c r="BD189" i="15"/>
  <c r="BD190" i="15" s="1"/>
  <c r="E44" i="10"/>
  <c r="AX189" i="15"/>
  <c r="AX190" i="15" s="1"/>
  <c r="BB189" i="15"/>
  <c r="BB190" i="15" s="1"/>
  <c r="AM107" i="16"/>
  <c r="AN107" i="16" s="1"/>
  <c r="AO107" i="16" s="1"/>
  <c r="AP107" i="16" s="1"/>
  <c r="AM54" i="16"/>
  <c r="AN54" i="16" s="1"/>
  <c r="AO54" i="16" s="1"/>
  <c r="AP54" i="16" s="1"/>
  <c r="AM38" i="16"/>
  <c r="AN38" i="16" s="1"/>
  <c r="AO38" i="16" s="1"/>
  <c r="AP38" i="16" s="1"/>
  <c r="AM22" i="16"/>
  <c r="AN22" i="16" s="1"/>
  <c r="AO22" i="16" s="1"/>
  <c r="AP22" i="16" s="1"/>
  <c r="AM19" i="16"/>
  <c r="AN19" i="16" s="1"/>
  <c r="AO19" i="16" s="1"/>
  <c r="AP19" i="16" s="1"/>
  <c r="AM106" i="16"/>
  <c r="AN106" i="16" s="1"/>
  <c r="AO106" i="16" s="1"/>
  <c r="AP106" i="16" s="1"/>
  <c r="AM95" i="16"/>
  <c r="AN95" i="16" s="1"/>
  <c r="AO95" i="16" s="1"/>
  <c r="AP95" i="16" s="1"/>
  <c r="AM77" i="16"/>
  <c r="AN77" i="16" s="1"/>
  <c r="AO77" i="16" s="1"/>
  <c r="AP77" i="16" s="1"/>
  <c r="AM65" i="16"/>
  <c r="AN65" i="16" s="1"/>
  <c r="AO65" i="16" s="1"/>
  <c r="AP65" i="16" s="1"/>
  <c r="AM89" i="16"/>
  <c r="AN89" i="16" s="1"/>
  <c r="AO89" i="16" s="1"/>
  <c r="AP89" i="16" s="1"/>
  <c r="AM100" i="16"/>
  <c r="AN100" i="16" s="1"/>
  <c r="AO100" i="16" s="1"/>
  <c r="AP100" i="16" s="1"/>
  <c r="AM94" i="16"/>
  <c r="AN94" i="16" s="1"/>
  <c r="AO94" i="16" s="1"/>
  <c r="AP94" i="16" s="1"/>
  <c r="AM83" i="16"/>
  <c r="AN83" i="16" s="1"/>
  <c r="AO83" i="16" s="1"/>
  <c r="AP83" i="16" s="1"/>
  <c r="AM71" i="16"/>
  <c r="AN71" i="16" s="1"/>
  <c r="AO71" i="16" s="1"/>
  <c r="AP71" i="16" s="1"/>
  <c r="AM48" i="16"/>
  <c r="AN48" i="16" s="1"/>
  <c r="AO48" i="16" s="1"/>
  <c r="AP48" i="16" s="1"/>
  <c r="AM43" i="16"/>
  <c r="AN43" i="16" s="1"/>
  <c r="AO43" i="16" s="1"/>
  <c r="AP43" i="16" s="1"/>
  <c r="AM32" i="16"/>
  <c r="AN32" i="16" s="1"/>
  <c r="AO32" i="16" s="1"/>
  <c r="AP32" i="16" s="1"/>
  <c r="AM27" i="16"/>
  <c r="AN27" i="16" s="1"/>
  <c r="AO27" i="16" s="1"/>
  <c r="AP27" i="16" s="1"/>
  <c r="AM16" i="16"/>
  <c r="AN16" i="16" s="1"/>
  <c r="AO16" i="16" s="1"/>
  <c r="AP16" i="16" s="1"/>
  <c r="AM11" i="16"/>
  <c r="AN11" i="16" s="1"/>
  <c r="AO11" i="16" s="1"/>
  <c r="AP11" i="16" s="1"/>
  <c r="AM88" i="16"/>
  <c r="AN88" i="16" s="1"/>
  <c r="AO88" i="16" s="1"/>
  <c r="AP88" i="16" s="1"/>
  <c r="AM82" i="16"/>
  <c r="AN82" i="16" s="1"/>
  <c r="AO82" i="16" s="1"/>
  <c r="AP82" i="16" s="1"/>
  <c r="AM70" i="16"/>
  <c r="AN70" i="16" s="1"/>
  <c r="AO70" i="16" s="1"/>
  <c r="AP70" i="16" s="1"/>
  <c r="AM59" i="16"/>
  <c r="AN59" i="16" s="1"/>
  <c r="AO59" i="16" s="1"/>
  <c r="AP59" i="16" s="1"/>
  <c r="AM53" i="16"/>
  <c r="AN53" i="16" s="1"/>
  <c r="AO53" i="16" s="1"/>
  <c r="AP53" i="16" s="1"/>
  <c r="AM37" i="16"/>
  <c r="AN37" i="16" s="1"/>
  <c r="AO37" i="16" s="1"/>
  <c r="AP37" i="16" s="1"/>
  <c r="AM21" i="16"/>
  <c r="AN21" i="16" s="1"/>
  <c r="AO21" i="16" s="1"/>
  <c r="AP21" i="16" s="1"/>
  <c r="AM105" i="16"/>
  <c r="AN105" i="16" s="1"/>
  <c r="AO105" i="16" s="1"/>
  <c r="AP105" i="16" s="1"/>
  <c r="AM76" i="16"/>
  <c r="AN76" i="16" s="1"/>
  <c r="AO76" i="16" s="1"/>
  <c r="AP76" i="16" s="1"/>
  <c r="AM64" i="16"/>
  <c r="AN64" i="16" s="1"/>
  <c r="AO64" i="16" s="1"/>
  <c r="AP64" i="16" s="1"/>
  <c r="AM42" i="16"/>
  <c r="AN42" i="16" s="1"/>
  <c r="AO42" i="16" s="1"/>
  <c r="AP42" i="16" s="1"/>
  <c r="AM26" i="16"/>
  <c r="AN26" i="16" s="1"/>
  <c r="AO26" i="16" s="1"/>
  <c r="AP26" i="16" s="1"/>
  <c r="AM10" i="16"/>
  <c r="AN10" i="16" s="1"/>
  <c r="AO10" i="16" s="1"/>
  <c r="AP10" i="16" s="1"/>
  <c r="AM93" i="16"/>
  <c r="AN93" i="16" s="1"/>
  <c r="AO93" i="16" s="1"/>
  <c r="AP93" i="16" s="1"/>
  <c r="AM58" i="16"/>
  <c r="AN58" i="16" s="1"/>
  <c r="AO58" i="16" s="1"/>
  <c r="AP58" i="16" s="1"/>
  <c r="AM99" i="16"/>
  <c r="AN99" i="16" s="1"/>
  <c r="AO99" i="16" s="1"/>
  <c r="AP99" i="16" s="1"/>
  <c r="AM81" i="16"/>
  <c r="AN81" i="16" s="1"/>
  <c r="AO81" i="16" s="1"/>
  <c r="AP81" i="16" s="1"/>
  <c r="AM69" i="16"/>
  <c r="AN69" i="16" s="1"/>
  <c r="AO69" i="16" s="1"/>
  <c r="AP69" i="16" s="1"/>
  <c r="AM52" i="16"/>
  <c r="AN52" i="16" s="1"/>
  <c r="AO52" i="16" s="1"/>
  <c r="AP52" i="16" s="1"/>
  <c r="AM47" i="16"/>
  <c r="AN47" i="16" s="1"/>
  <c r="AO47" i="16" s="1"/>
  <c r="AP47" i="16" s="1"/>
  <c r="AM36" i="16"/>
  <c r="AN36" i="16" s="1"/>
  <c r="AO36" i="16" s="1"/>
  <c r="AP36" i="16" s="1"/>
  <c r="AM31" i="16"/>
  <c r="AN31" i="16" s="1"/>
  <c r="AO31" i="16" s="1"/>
  <c r="AP31" i="16" s="1"/>
  <c r="AM20" i="16"/>
  <c r="AN20" i="16" s="1"/>
  <c r="AO20" i="16" s="1"/>
  <c r="AP20" i="16" s="1"/>
  <c r="AM15" i="16"/>
  <c r="AN15" i="16" s="1"/>
  <c r="AO15" i="16" s="1"/>
  <c r="AP15" i="16" s="1"/>
  <c r="AM6" i="16"/>
  <c r="AM104" i="16"/>
  <c r="AN104" i="16" s="1"/>
  <c r="AO104" i="16" s="1"/>
  <c r="AP104" i="16" s="1"/>
  <c r="AM98" i="16"/>
  <c r="AN98" i="16" s="1"/>
  <c r="AO98" i="16" s="1"/>
  <c r="AP98" i="16" s="1"/>
  <c r="AM87" i="16"/>
  <c r="AN87" i="16" s="1"/>
  <c r="AO87" i="16" s="1"/>
  <c r="AP87" i="16" s="1"/>
  <c r="AM41" i="16"/>
  <c r="AN41" i="16" s="1"/>
  <c r="AO41" i="16" s="1"/>
  <c r="AP41" i="16" s="1"/>
  <c r="AM25" i="16"/>
  <c r="AN25" i="16" s="1"/>
  <c r="AO25" i="16" s="1"/>
  <c r="AP25" i="16" s="1"/>
  <c r="AM9" i="16"/>
  <c r="AN9" i="16" s="1"/>
  <c r="AO9" i="16" s="1"/>
  <c r="AP9" i="16" s="1"/>
  <c r="AM92" i="16"/>
  <c r="AN92" i="16" s="1"/>
  <c r="AO92" i="16" s="1"/>
  <c r="AP92" i="16" s="1"/>
  <c r="AM86" i="16"/>
  <c r="AN86" i="16" s="1"/>
  <c r="AO86" i="16" s="1"/>
  <c r="AP86" i="16" s="1"/>
  <c r="AM75" i="16"/>
  <c r="AN75" i="16" s="1"/>
  <c r="AO75" i="16" s="1"/>
  <c r="AP75" i="16" s="1"/>
  <c r="AM63" i="16"/>
  <c r="AN63" i="16" s="1"/>
  <c r="AO63" i="16" s="1"/>
  <c r="AP63" i="16" s="1"/>
  <c r="AM57" i="16"/>
  <c r="AN57" i="16" s="1"/>
  <c r="AO57" i="16" s="1"/>
  <c r="AP57" i="16" s="1"/>
  <c r="AM46" i="16"/>
  <c r="AN46" i="16" s="1"/>
  <c r="AO46" i="16" s="1"/>
  <c r="AP46" i="16" s="1"/>
  <c r="AM30" i="16"/>
  <c r="AN30" i="16" s="1"/>
  <c r="AO30" i="16" s="1"/>
  <c r="AP30" i="16" s="1"/>
  <c r="AM14" i="16"/>
  <c r="AN14" i="16" s="1"/>
  <c r="AO14" i="16" s="1"/>
  <c r="AP14" i="16" s="1"/>
  <c r="AM80" i="16"/>
  <c r="AN80" i="16" s="1"/>
  <c r="AO80" i="16" s="1"/>
  <c r="AP80" i="16" s="1"/>
  <c r="AM74" i="16"/>
  <c r="AN74" i="16" s="1"/>
  <c r="AO74" i="16" s="1"/>
  <c r="AP74" i="16" s="1"/>
  <c r="AM68" i="16"/>
  <c r="AN68" i="16" s="1"/>
  <c r="AO68" i="16" s="1"/>
  <c r="AP68" i="16" s="1"/>
  <c r="AM62" i="16"/>
  <c r="AN62" i="16" s="1"/>
  <c r="AO62" i="16" s="1"/>
  <c r="AP62" i="16" s="1"/>
  <c r="AM109" i="16"/>
  <c r="AN109" i="16" s="1"/>
  <c r="AO109" i="16" s="1"/>
  <c r="AP109" i="16" s="1"/>
  <c r="AM97" i="16"/>
  <c r="AN97" i="16" s="1"/>
  <c r="AO97" i="16" s="1"/>
  <c r="AP97" i="16" s="1"/>
  <c r="AM51" i="16"/>
  <c r="AN51" i="16" s="1"/>
  <c r="AO51" i="16" s="1"/>
  <c r="AP51" i="16" s="1"/>
  <c r="AM40" i="16"/>
  <c r="AN40" i="16" s="1"/>
  <c r="AO40" i="16" s="1"/>
  <c r="AP40" i="16" s="1"/>
  <c r="AM35" i="16"/>
  <c r="AN35" i="16" s="1"/>
  <c r="AO35" i="16" s="1"/>
  <c r="AP35" i="16" s="1"/>
  <c r="AM24" i="16"/>
  <c r="AN24" i="16" s="1"/>
  <c r="AO24" i="16" s="1"/>
  <c r="AP24" i="16" s="1"/>
  <c r="AM8" i="16"/>
  <c r="AN8" i="16" s="1"/>
  <c r="AO8" i="16" s="1"/>
  <c r="AP8" i="16" s="1"/>
  <c r="AM103" i="16"/>
  <c r="AN103" i="16" s="1"/>
  <c r="AO103" i="16" s="1"/>
  <c r="AP103" i="16" s="1"/>
  <c r="AM85" i="16"/>
  <c r="AN85" i="16" s="1"/>
  <c r="AO85" i="16" s="1"/>
  <c r="AP85" i="16" s="1"/>
  <c r="AM73" i="16"/>
  <c r="AN73" i="16" s="1"/>
  <c r="AO73" i="16" s="1"/>
  <c r="AP73" i="16" s="1"/>
  <c r="AM56" i="16"/>
  <c r="AN56" i="16" s="1"/>
  <c r="AO56" i="16" s="1"/>
  <c r="AP56" i="16" s="1"/>
  <c r="AM45" i="16"/>
  <c r="AN45" i="16" s="1"/>
  <c r="AO45" i="16" s="1"/>
  <c r="AP45" i="16" s="1"/>
  <c r="AM29" i="16"/>
  <c r="AN29" i="16" s="1"/>
  <c r="AO29" i="16" s="1"/>
  <c r="AP29" i="16" s="1"/>
  <c r="AM13" i="16"/>
  <c r="AN13" i="16" s="1"/>
  <c r="AO13" i="16" s="1"/>
  <c r="AP13" i="16" s="1"/>
  <c r="AM102" i="16"/>
  <c r="AN102" i="16" s="1"/>
  <c r="AO102" i="16" s="1"/>
  <c r="AP102" i="16" s="1"/>
  <c r="AM91" i="16"/>
  <c r="AN91" i="16" s="1"/>
  <c r="AO91" i="16" s="1"/>
  <c r="AP91" i="16" s="1"/>
  <c r="AM61" i="16"/>
  <c r="AN61" i="16" s="1"/>
  <c r="AO61" i="16" s="1"/>
  <c r="AP61" i="16" s="1"/>
  <c r="AM50" i="16"/>
  <c r="AN50" i="16" s="1"/>
  <c r="AO50" i="16" s="1"/>
  <c r="AP50" i="16" s="1"/>
  <c r="AM34" i="16"/>
  <c r="AN34" i="16" s="1"/>
  <c r="AO34" i="16" s="1"/>
  <c r="AP34" i="16" s="1"/>
  <c r="AM18" i="16"/>
  <c r="AN18" i="16" s="1"/>
  <c r="AO18" i="16" s="1"/>
  <c r="AP18" i="16" s="1"/>
  <c r="AM108" i="16"/>
  <c r="AN108" i="16" s="1"/>
  <c r="AO108" i="16" s="1"/>
  <c r="AP108" i="16" s="1"/>
  <c r="AM96" i="16"/>
  <c r="AN96" i="16" s="1"/>
  <c r="AO96" i="16" s="1"/>
  <c r="AP96" i="16" s="1"/>
  <c r="AM90" i="16"/>
  <c r="AN90" i="16" s="1"/>
  <c r="AO90" i="16" s="1"/>
  <c r="AP90" i="16" s="1"/>
  <c r="AM79" i="16"/>
  <c r="AN79" i="16" s="1"/>
  <c r="AO79" i="16" s="1"/>
  <c r="AP79" i="16" s="1"/>
  <c r="AM67" i="16"/>
  <c r="AN67" i="16" s="1"/>
  <c r="AO67" i="16" s="1"/>
  <c r="AP67" i="16" s="1"/>
  <c r="AM84" i="16"/>
  <c r="AN84" i="16" s="1"/>
  <c r="AO84" i="16" s="1"/>
  <c r="AP84" i="16" s="1"/>
  <c r="AM78" i="16"/>
  <c r="AN78" i="16" s="1"/>
  <c r="AO78" i="16" s="1"/>
  <c r="AP78" i="16" s="1"/>
  <c r="AM72" i="16"/>
  <c r="AN72" i="16" s="1"/>
  <c r="AO72" i="16" s="1"/>
  <c r="AP72" i="16" s="1"/>
  <c r="AM66" i="16"/>
  <c r="AN66" i="16" s="1"/>
  <c r="AO66" i="16" s="1"/>
  <c r="AP66" i="16" s="1"/>
  <c r="AM44" i="16"/>
  <c r="AN44" i="16" s="1"/>
  <c r="AO44" i="16" s="1"/>
  <c r="AP44" i="16" s="1"/>
  <c r="AM39" i="16"/>
  <c r="AN39" i="16" s="1"/>
  <c r="AO39" i="16" s="1"/>
  <c r="AP39" i="16" s="1"/>
  <c r="AM28" i="16"/>
  <c r="AN28" i="16" s="1"/>
  <c r="AO28" i="16" s="1"/>
  <c r="AP28" i="16" s="1"/>
  <c r="AM23" i="16"/>
  <c r="AN23" i="16" s="1"/>
  <c r="AO23" i="16" s="1"/>
  <c r="AP23" i="16" s="1"/>
  <c r="AM12" i="16"/>
  <c r="AN12" i="16" s="1"/>
  <c r="AO12" i="16" s="1"/>
  <c r="AP12" i="16" s="1"/>
  <c r="AM7" i="16"/>
  <c r="AN7" i="16" s="1"/>
  <c r="AO7" i="16" s="1"/>
  <c r="AP7" i="16" s="1"/>
  <c r="AM101" i="16"/>
  <c r="AN101" i="16" s="1"/>
  <c r="AO101" i="16" s="1"/>
  <c r="AP101" i="16" s="1"/>
  <c r="AM60" i="16"/>
  <c r="AN60" i="16" s="1"/>
  <c r="AO60" i="16" s="1"/>
  <c r="AP60" i="16" s="1"/>
  <c r="AM55" i="16"/>
  <c r="AN55" i="16" s="1"/>
  <c r="AO55" i="16" s="1"/>
  <c r="AP55" i="16" s="1"/>
  <c r="AM49" i="16"/>
  <c r="AN49" i="16" s="1"/>
  <c r="AO49" i="16" s="1"/>
  <c r="AP49" i="16" s="1"/>
  <c r="AM33" i="16"/>
  <c r="AN33" i="16" s="1"/>
  <c r="AO33" i="16" s="1"/>
  <c r="AP33" i="16" s="1"/>
  <c r="AM17" i="16"/>
  <c r="AN17" i="16" s="1"/>
  <c r="AO17" i="16" s="1"/>
  <c r="AP17" i="16" s="1"/>
  <c r="AP189" i="15"/>
  <c r="AP190" i="15" s="1"/>
  <c r="AQ189" i="15"/>
  <c r="AQ190" i="15" s="1"/>
  <c r="AT189" i="15"/>
  <c r="AT190" i="15" s="1"/>
  <c r="AU189" i="15"/>
  <c r="AU190" i="15" s="1"/>
  <c r="AV189" i="15"/>
  <c r="AV190" i="15" s="1"/>
  <c r="D167" i="15"/>
  <c r="D133" i="15" a="1"/>
  <c r="D133" i="15" s="1"/>
  <c r="D135" i="15" a="1"/>
  <c r="D135" i="15" s="1"/>
  <c r="D132" i="15" a="1"/>
  <c r="D132" i="15" s="1"/>
  <c r="E132" i="15" a="1"/>
  <c r="E132" i="15" s="1"/>
  <c r="F132" i="15" a="1"/>
  <c r="F132" i="15" s="1"/>
  <c r="G132" i="15" a="1"/>
  <c r="G132" i="15" s="1"/>
  <c r="H132" i="15" a="1"/>
  <c r="H132" i="15" s="1"/>
  <c r="I132" i="15" a="1"/>
  <c r="I132" i="15" s="1"/>
  <c r="J132" i="15" a="1"/>
  <c r="J132" i="15" s="1"/>
  <c r="K132" i="15" a="1"/>
  <c r="K132" i="15" s="1"/>
  <c r="L132" i="15" a="1"/>
  <c r="L132" i="15" s="1"/>
  <c r="M132" i="15" a="1"/>
  <c r="M132" i="15" s="1"/>
  <c r="P132" i="15" a="1"/>
  <c r="P132" i="15" s="1"/>
  <c r="Q132" i="15" a="1"/>
  <c r="Q132" i="15" s="1"/>
  <c r="R132" i="15" a="1"/>
  <c r="R132" i="15" s="1"/>
  <c r="S132" i="15" a="1"/>
  <c r="S132" i="15" s="1"/>
  <c r="E133" i="15" a="1"/>
  <c r="E133" i="15" s="1"/>
  <c r="F133" i="15" a="1"/>
  <c r="F133" i="15" s="1"/>
  <c r="G133" i="15" a="1"/>
  <c r="G133" i="15" s="1"/>
  <c r="H133" i="15" a="1"/>
  <c r="H133" i="15" s="1"/>
  <c r="I133" i="15" a="1"/>
  <c r="I133" i="15" s="1"/>
  <c r="J133" i="15" a="1"/>
  <c r="J133" i="15" s="1"/>
  <c r="K133" i="15" a="1"/>
  <c r="K133" i="15" s="1"/>
  <c r="L133" i="15" a="1"/>
  <c r="L133" i="15" s="1"/>
  <c r="M133" i="15" a="1"/>
  <c r="M133" i="15" s="1"/>
  <c r="P133" i="15" a="1"/>
  <c r="P133" i="15" s="1"/>
  <c r="Q133" i="15" a="1"/>
  <c r="Q133" i="15" s="1"/>
  <c r="R133" i="15" a="1"/>
  <c r="R133" i="15" s="1"/>
  <c r="S133" i="15" a="1"/>
  <c r="S133" i="15" s="1"/>
  <c r="P114" i="15" a="1"/>
  <c r="P114" i="15" s="1"/>
  <c r="Q114" i="15" a="1"/>
  <c r="Q114" i="15" s="1"/>
  <c r="R114" i="15" a="1"/>
  <c r="R114" i="15" s="1"/>
  <c r="S114" i="15" a="1"/>
  <c r="S114" i="15" s="1"/>
  <c r="P115" i="15" a="1"/>
  <c r="P115" i="15" s="1"/>
  <c r="Q115" i="15" a="1"/>
  <c r="Q115" i="15" s="1"/>
  <c r="R115" i="15" a="1"/>
  <c r="R115" i="15" s="1"/>
  <c r="S115" i="15" a="1"/>
  <c r="S115" i="15" s="1"/>
  <c r="P116" i="15" a="1"/>
  <c r="P116" i="15" s="1"/>
  <c r="Q116" i="15" a="1"/>
  <c r="Q116" i="15" s="1"/>
  <c r="R116" i="15" a="1"/>
  <c r="R116" i="15" s="1"/>
  <c r="S116" i="15" a="1"/>
  <c r="S116" i="15" s="1"/>
  <c r="P117" i="15" a="1"/>
  <c r="P117" i="15" s="1"/>
  <c r="Q117" i="15" a="1"/>
  <c r="Q117" i="15" s="1"/>
  <c r="R117" i="15" a="1"/>
  <c r="R117" i="15" s="1"/>
  <c r="S117" i="15" a="1"/>
  <c r="S117" i="15" s="1"/>
  <c r="P118" i="15" a="1"/>
  <c r="P118" i="15" s="1"/>
  <c r="Q118" i="15" a="1"/>
  <c r="Q118" i="15" s="1"/>
  <c r="R118" i="15" a="1"/>
  <c r="R118" i="15" s="1"/>
  <c r="S118" i="15" a="1"/>
  <c r="S118" i="15" s="1"/>
  <c r="P119" i="15" a="1"/>
  <c r="P119" i="15" s="1"/>
  <c r="Q119" i="15" a="1"/>
  <c r="Q119" i="15" s="1"/>
  <c r="R119" i="15" a="1"/>
  <c r="R119" i="15" s="1"/>
  <c r="S119" i="15" a="1"/>
  <c r="S119" i="15" s="1"/>
  <c r="P120" i="15" a="1"/>
  <c r="P120" i="15" s="1"/>
  <c r="Q120" i="15" a="1"/>
  <c r="Q120" i="15" s="1"/>
  <c r="R120" i="15" a="1"/>
  <c r="R120" i="15" s="1"/>
  <c r="S120" i="15" a="1"/>
  <c r="S120" i="15" s="1"/>
  <c r="P121" i="15" a="1"/>
  <c r="P121" i="15" s="1"/>
  <c r="Q121" i="15" a="1"/>
  <c r="Q121" i="15" s="1"/>
  <c r="R121" i="15" a="1"/>
  <c r="R121" i="15" s="1"/>
  <c r="S121" i="15" a="1"/>
  <c r="S121" i="15" s="1"/>
  <c r="P122" i="15" a="1"/>
  <c r="P122" i="15" s="1"/>
  <c r="Q122" i="15" a="1"/>
  <c r="Q122" i="15" s="1"/>
  <c r="R122" i="15" a="1"/>
  <c r="R122" i="15" s="1"/>
  <c r="S122" i="15" a="1"/>
  <c r="S122" i="15" s="1"/>
  <c r="P123" i="15" a="1"/>
  <c r="P123" i="15" s="1"/>
  <c r="Q123" i="15" a="1"/>
  <c r="Q123" i="15" s="1"/>
  <c r="R123" i="15" a="1"/>
  <c r="R123" i="15" s="1"/>
  <c r="S123" i="15" a="1"/>
  <c r="S123" i="15" s="1"/>
  <c r="P124" i="15" a="1"/>
  <c r="P124" i="15" s="1"/>
  <c r="Q124" i="15" a="1"/>
  <c r="Q124" i="15" s="1"/>
  <c r="R124" i="15" a="1"/>
  <c r="R124" i="15" s="1"/>
  <c r="S124" i="15" a="1"/>
  <c r="S124" i="15" s="1"/>
  <c r="P125" i="15" a="1"/>
  <c r="P125" i="15" s="1"/>
  <c r="Q125" i="15" a="1"/>
  <c r="Q125" i="15" s="1"/>
  <c r="R125" i="15" a="1"/>
  <c r="R125" i="15" s="1"/>
  <c r="S125" i="15" a="1"/>
  <c r="S125" i="15" s="1"/>
  <c r="P126" i="15" a="1"/>
  <c r="P126" i="15" s="1"/>
  <c r="Q126" i="15" a="1"/>
  <c r="Q126" i="15" s="1"/>
  <c r="R126" i="15" a="1"/>
  <c r="R126" i="15" s="1"/>
  <c r="S126" i="15" a="1"/>
  <c r="S126" i="15" s="1"/>
  <c r="P127" i="15" a="1"/>
  <c r="P127" i="15" s="1"/>
  <c r="Q127" i="15" a="1"/>
  <c r="Q127" i="15" s="1"/>
  <c r="R127" i="15" a="1"/>
  <c r="R127" i="15" s="1"/>
  <c r="S127" i="15" a="1"/>
  <c r="S127" i="15" s="1"/>
  <c r="P128" i="15" a="1"/>
  <c r="P128" i="15" s="1"/>
  <c r="Q128" i="15" a="1"/>
  <c r="Q128" i="15" s="1"/>
  <c r="R128" i="15" a="1"/>
  <c r="R128" i="15" s="1"/>
  <c r="S128" i="15" a="1"/>
  <c r="S128" i="15" s="1"/>
  <c r="P129" i="15" a="1"/>
  <c r="P129" i="15" s="1"/>
  <c r="Q129" i="15" a="1"/>
  <c r="Q129" i="15" s="1"/>
  <c r="R129" i="15" a="1"/>
  <c r="R129" i="15" s="1"/>
  <c r="S129" i="15" a="1"/>
  <c r="S129" i="15" s="1"/>
  <c r="P130" i="15" a="1"/>
  <c r="P130" i="15" s="1"/>
  <c r="Q130" i="15" a="1"/>
  <c r="Q130" i="15" s="1"/>
  <c r="R130" i="15" a="1"/>
  <c r="R130" i="15" s="1"/>
  <c r="S130" i="15" a="1"/>
  <c r="S130" i="15" s="1"/>
  <c r="P131" i="15" a="1"/>
  <c r="P131" i="15" s="1"/>
  <c r="Q131" i="15" a="1"/>
  <c r="Q131" i="15" s="1"/>
  <c r="R131" i="15" a="1"/>
  <c r="R131" i="15" s="1"/>
  <c r="S131" i="15" a="1"/>
  <c r="S131" i="15" s="1"/>
  <c r="P134" i="15" a="1"/>
  <c r="P134" i="15" s="1"/>
  <c r="Q134" i="15" a="1"/>
  <c r="Q134" i="15" s="1"/>
  <c r="R134" i="15" a="1"/>
  <c r="R134" i="15" s="1"/>
  <c r="S134" i="15" a="1"/>
  <c r="S134" i="15" s="1"/>
  <c r="P135" i="15" a="1"/>
  <c r="P135" i="15" s="1"/>
  <c r="Q135" i="15" a="1"/>
  <c r="Q135" i="15" s="1"/>
  <c r="R135" i="15" a="1"/>
  <c r="R135" i="15" s="1"/>
  <c r="S135" i="15" a="1"/>
  <c r="S135" i="15" s="1"/>
  <c r="P136" i="15" a="1"/>
  <c r="P136" i="15" s="1"/>
  <c r="Q136" i="15" a="1"/>
  <c r="Q136" i="15" s="1"/>
  <c r="R136" i="15" a="1"/>
  <c r="R136" i="15" s="1"/>
  <c r="S136" i="15" a="1"/>
  <c r="S136" i="15" s="1"/>
  <c r="P137" i="15" a="1"/>
  <c r="P137" i="15" s="1"/>
  <c r="Q137" i="15" a="1"/>
  <c r="Q137" i="15" s="1"/>
  <c r="R137" i="15" a="1"/>
  <c r="R137" i="15" s="1"/>
  <c r="S137" i="15" a="1"/>
  <c r="S137" i="15" s="1"/>
  <c r="P138" i="15" a="1"/>
  <c r="P138" i="15" s="1"/>
  <c r="Q138" i="15" a="1"/>
  <c r="Q138" i="15" s="1"/>
  <c r="R138" i="15" a="1"/>
  <c r="R138" i="15" s="1"/>
  <c r="S138" i="15" a="1"/>
  <c r="S138" i="15" s="1"/>
  <c r="P139" i="15" a="1"/>
  <c r="P139" i="15" s="1"/>
  <c r="Q139" i="15" a="1"/>
  <c r="Q139" i="15" s="1"/>
  <c r="R139" i="15" a="1"/>
  <c r="R139" i="15" s="1"/>
  <c r="S139" i="15" a="1"/>
  <c r="S139" i="15" s="1"/>
  <c r="P140" i="15" a="1"/>
  <c r="P140" i="15" s="1"/>
  <c r="Q140" i="15" a="1"/>
  <c r="Q140" i="15" s="1"/>
  <c r="R140" i="15" a="1"/>
  <c r="R140" i="15" s="1"/>
  <c r="S140" i="15" a="1"/>
  <c r="S140" i="15" s="1"/>
  <c r="P141" i="15" a="1"/>
  <c r="P141" i="15" s="1"/>
  <c r="Q141" i="15" a="1"/>
  <c r="Q141" i="15" s="1"/>
  <c r="R141" i="15" a="1"/>
  <c r="R141" i="15" s="1"/>
  <c r="S141" i="15" a="1"/>
  <c r="S141" i="15" s="1"/>
  <c r="S113" i="15" a="1"/>
  <c r="S113" i="15" s="1"/>
  <c r="R113" i="15" a="1"/>
  <c r="R113" i="15" s="1"/>
  <c r="Q113" i="15" a="1"/>
  <c r="Q113" i="15" s="1"/>
  <c r="P113" i="15" a="1"/>
  <c r="P113" i="15" s="1"/>
  <c r="J136" i="15" a="1"/>
  <c r="J136" i="15" s="1"/>
  <c r="I114" i="15" a="1"/>
  <c r="I114" i="15" s="1"/>
  <c r="J114" i="15" a="1"/>
  <c r="J114" i="15" s="1"/>
  <c r="K114" i="15" a="1"/>
  <c r="K114" i="15" s="1"/>
  <c r="L114" i="15" a="1"/>
  <c r="L114" i="15" s="1"/>
  <c r="M114" i="15" a="1"/>
  <c r="M114" i="15" s="1"/>
  <c r="I115" i="15" a="1"/>
  <c r="I115" i="15" s="1"/>
  <c r="J115" i="15" a="1"/>
  <c r="J115" i="15" s="1"/>
  <c r="K115" i="15" a="1"/>
  <c r="K115" i="15" s="1"/>
  <c r="L115" i="15" a="1"/>
  <c r="L115" i="15" s="1"/>
  <c r="M115" i="15" a="1"/>
  <c r="M115" i="15" s="1"/>
  <c r="I116" i="15" a="1"/>
  <c r="I116" i="15" s="1"/>
  <c r="J116" i="15" a="1"/>
  <c r="J116" i="15" s="1"/>
  <c r="K116" i="15" a="1"/>
  <c r="K116" i="15" s="1"/>
  <c r="L116" i="15" a="1"/>
  <c r="L116" i="15" s="1"/>
  <c r="M116" i="15" a="1"/>
  <c r="M116" i="15" s="1"/>
  <c r="I117" i="15" a="1"/>
  <c r="I117" i="15" s="1"/>
  <c r="J117" i="15" a="1"/>
  <c r="J117" i="15" s="1"/>
  <c r="K117" i="15" a="1"/>
  <c r="K117" i="15" s="1"/>
  <c r="L117" i="15" a="1"/>
  <c r="L117" i="15" s="1"/>
  <c r="M117" i="15" a="1"/>
  <c r="M117" i="15" s="1"/>
  <c r="I118" i="15" a="1"/>
  <c r="I118" i="15" s="1"/>
  <c r="J118" i="15" a="1"/>
  <c r="J118" i="15" s="1"/>
  <c r="K118" i="15" a="1"/>
  <c r="K118" i="15" s="1"/>
  <c r="L118" i="15" a="1"/>
  <c r="L118" i="15" s="1"/>
  <c r="M118" i="15" a="1"/>
  <c r="M118" i="15" s="1"/>
  <c r="I119" i="15" a="1"/>
  <c r="I119" i="15" s="1"/>
  <c r="J119" i="15" a="1"/>
  <c r="J119" i="15" s="1"/>
  <c r="K119" i="15" a="1"/>
  <c r="K119" i="15" s="1"/>
  <c r="L119" i="15" a="1"/>
  <c r="L119" i="15" s="1"/>
  <c r="M119" i="15" a="1"/>
  <c r="M119" i="15" s="1"/>
  <c r="I120" i="15" a="1"/>
  <c r="I120" i="15" s="1"/>
  <c r="J120" i="15" a="1"/>
  <c r="J120" i="15" s="1"/>
  <c r="K120" i="15" a="1"/>
  <c r="K120" i="15" s="1"/>
  <c r="L120" i="15" a="1"/>
  <c r="L120" i="15" s="1"/>
  <c r="M120" i="15" a="1"/>
  <c r="M120" i="15" s="1"/>
  <c r="I121" i="15" a="1"/>
  <c r="I121" i="15" s="1"/>
  <c r="J121" i="15" a="1"/>
  <c r="J121" i="15" s="1"/>
  <c r="K121" i="15" a="1"/>
  <c r="K121" i="15" s="1"/>
  <c r="L121" i="15" a="1"/>
  <c r="L121" i="15" s="1"/>
  <c r="M121" i="15" a="1"/>
  <c r="M121" i="15" s="1"/>
  <c r="I122" i="15" a="1"/>
  <c r="I122" i="15" s="1"/>
  <c r="J122" i="15" a="1"/>
  <c r="J122" i="15" s="1"/>
  <c r="K122" i="15" a="1"/>
  <c r="K122" i="15" s="1"/>
  <c r="L122" i="15" a="1"/>
  <c r="L122" i="15" s="1"/>
  <c r="M122" i="15" a="1"/>
  <c r="M122" i="15" s="1"/>
  <c r="I123" i="15" a="1"/>
  <c r="I123" i="15" s="1"/>
  <c r="J123" i="15" a="1"/>
  <c r="J123" i="15" s="1"/>
  <c r="K123" i="15" a="1"/>
  <c r="K123" i="15" s="1"/>
  <c r="L123" i="15" a="1"/>
  <c r="L123" i="15" s="1"/>
  <c r="M123" i="15" a="1"/>
  <c r="M123" i="15" s="1"/>
  <c r="I124" i="15" a="1"/>
  <c r="I124" i="15" s="1"/>
  <c r="J124" i="15" a="1"/>
  <c r="J124" i="15" s="1"/>
  <c r="K124" i="15" a="1"/>
  <c r="K124" i="15" s="1"/>
  <c r="L124" i="15" a="1"/>
  <c r="L124" i="15" s="1"/>
  <c r="M124" i="15" a="1"/>
  <c r="M124" i="15" s="1"/>
  <c r="I125" i="15" a="1"/>
  <c r="I125" i="15" s="1"/>
  <c r="J125" i="15" a="1"/>
  <c r="J125" i="15" s="1"/>
  <c r="K125" i="15" a="1"/>
  <c r="K125" i="15" s="1"/>
  <c r="L125" i="15" a="1"/>
  <c r="L125" i="15" s="1"/>
  <c r="M125" i="15" a="1"/>
  <c r="M125" i="15" s="1"/>
  <c r="I126" i="15" a="1"/>
  <c r="I126" i="15" s="1"/>
  <c r="V126" i="15" s="1"/>
  <c r="J126" i="15" a="1"/>
  <c r="J126" i="15" s="1"/>
  <c r="K126" i="15" a="1"/>
  <c r="K126" i="15" s="1"/>
  <c r="X126" i="15" s="1"/>
  <c r="L126" i="15" a="1"/>
  <c r="L126" i="15" s="1"/>
  <c r="M126" i="15" a="1"/>
  <c r="M126" i="15" s="1"/>
  <c r="I127" i="15" a="1"/>
  <c r="I127" i="15" s="1"/>
  <c r="J127" i="15" a="1"/>
  <c r="J127" i="15" s="1"/>
  <c r="K127" i="15" a="1"/>
  <c r="K127" i="15" s="1"/>
  <c r="L127" i="15" a="1"/>
  <c r="L127" i="15" s="1"/>
  <c r="M127" i="15" a="1"/>
  <c r="M127" i="15" s="1"/>
  <c r="I128" i="15" a="1"/>
  <c r="I128" i="15" s="1"/>
  <c r="J128" i="15" a="1"/>
  <c r="J128" i="15" s="1"/>
  <c r="K128" i="15" a="1"/>
  <c r="K128" i="15" s="1"/>
  <c r="L128" i="15" a="1"/>
  <c r="L128" i="15" s="1"/>
  <c r="M128" i="15" a="1"/>
  <c r="M128" i="15" s="1"/>
  <c r="I129" i="15" a="1"/>
  <c r="I129" i="15" s="1"/>
  <c r="J129" i="15" a="1"/>
  <c r="J129" i="15" s="1"/>
  <c r="K129" i="15" a="1"/>
  <c r="K129" i="15" s="1"/>
  <c r="L129" i="15" a="1"/>
  <c r="L129" i="15" s="1"/>
  <c r="M129" i="15" a="1"/>
  <c r="M129" i="15" s="1"/>
  <c r="I130" i="15" a="1"/>
  <c r="I130" i="15" s="1"/>
  <c r="J130" i="15" a="1"/>
  <c r="J130" i="15" s="1"/>
  <c r="K130" i="15" a="1"/>
  <c r="K130" i="15" s="1"/>
  <c r="L130" i="15" a="1"/>
  <c r="L130" i="15" s="1"/>
  <c r="M130" i="15" a="1"/>
  <c r="M130" i="15" s="1"/>
  <c r="I131" i="15" a="1"/>
  <c r="I131" i="15" s="1"/>
  <c r="J131" i="15" a="1"/>
  <c r="J131" i="15" s="1"/>
  <c r="K131" i="15" a="1"/>
  <c r="K131" i="15" s="1"/>
  <c r="L131" i="15" a="1"/>
  <c r="L131" i="15" s="1"/>
  <c r="M131" i="15" a="1"/>
  <c r="M131" i="15" s="1"/>
  <c r="I134" i="15" a="1"/>
  <c r="I134" i="15" s="1"/>
  <c r="J134" i="15" a="1"/>
  <c r="J134" i="15" s="1"/>
  <c r="K134" i="15" a="1"/>
  <c r="K134" i="15" s="1"/>
  <c r="L134" i="15" a="1"/>
  <c r="L134" i="15" s="1"/>
  <c r="M134" i="15" a="1"/>
  <c r="M134" i="15" s="1"/>
  <c r="I135" i="15" a="1"/>
  <c r="I135" i="15" s="1"/>
  <c r="J135" i="15" a="1"/>
  <c r="J135" i="15" s="1"/>
  <c r="K135" i="15" a="1"/>
  <c r="K135" i="15" s="1"/>
  <c r="L135" i="15" a="1"/>
  <c r="L135" i="15" s="1"/>
  <c r="M135" i="15" a="1"/>
  <c r="M135" i="15" s="1"/>
  <c r="I136" i="15" a="1"/>
  <c r="I136" i="15" s="1"/>
  <c r="K136" i="15" a="1"/>
  <c r="K136" i="15" s="1"/>
  <c r="L136" i="15" a="1"/>
  <c r="L136" i="15" s="1"/>
  <c r="M136" i="15" a="1"/>
  <c r="M136" i="15" s="1"/>
  <c r="I137" i="15" a="1"/>
  <c r="I137" i="15" s="1"/>
  <c r="J137" i="15" a="1"/>
  <c r="J137" i="15" s="1"/>
  <c r="K137" i="15" a="1"/>
  <c r="K137" i="15" s="1"/>
  <c r="L137" i="15" a="1"/>
  <c r="L137" i="15" s="1"/>
  <c r="M137" i="15" a="1"/>
  <c r="M137" i="15" s="1"/>
  <c r="I138" i="15" a="1"/>
  <c r="I138" i="15" s="1"/>
  <c r="J138" i="15" a="1"/>
  <c r="J138" i="15" s="1"/>
  <c r="K138" i="15" a="1"/>
  <c r="K138" i="15" s="1"/>
  <c r="L138" i="15" a="1"/>
  <c r="L138" i="15" s="1"/>
  <c r="M138" i="15" a="1"/>
  <c r="M138" i="15" s="1"/>
  <c r="I139" i="15" a="1"/>
  <c r="I139" i="15" s="1"/>
  <c r="J139" i="15" a="1"/>
  <c r="J139" i="15" s="1"/>
  <c r="K139" i="15" a="1"/>
  <c r="K139" i="15" s="1"/>
  <c r="L139" i="15" a="1"/>
  <c r="L139" i="15" s="1"/>
  <c r="M139" i="15" a="1"/>
  <c r="M139" i="15" s="1"/>
  <c r="I140" i="15" a="1"/>
  <c r="I140" i="15" s="1"/>
  <c r="J140" i="15" a="1"/>
  <c r="J140" i="15" s="1"/>
  <c r="K140" i="15" a="1"/>
  <c r="K140" i="15" s="1"/>
  <c r="L140" i="15" a="1"/>
  <c r="L140" i="15" s="1"/>
  <c r="M140" i="15" a="1"/>
  <c r="M140" i="15" s="1"/>
  <c r="I141" i="15" a="1"/>
  <c r="I141" i="15" s="1"/>
  <c r="J141" i="15" a="1"/>
  <c r="J141" i="15" s="1"/>
  <c r="K141" i="15" a="1"/>
  <c r="K141" i="15" s="1"/>
  <c r="L141" i="15" a="1"/>
  <c r="L141" i="15" s="1"/>
  <c r="M141" i="15" a="1"/>
  <c r="M141" i="15" s="1"/>
  <c r="J113" i="15" a="1"/>
  <c r="J113" i="15" s="1"/>
  <c r="K113" i="15" a="1"/>
  <c r="K113" i="15" s="1"/>
  <c r="L113" i="15" a="1"/>
  <c r="L113" i="15" s="1"/>
  <c r="M113" i="15" a="1"/>
  <c r="M113" i="15" s="1"/>
  <c r="I113" i="15" a="1"/>
  <c r="I113" i="15" s="1"/>
  <c r="D114" i="15" a="1"/>
  <c r="D114" i="15" s="1"/>
  <c r="E114" i="15" a="1"/>
  <c r="E114" i="15" s="1"/>
  <c r="F114" i="15" a="1"/>
  <c r="F114" i="15" s="1"/>
  <c r="G114" i="15" a="1"/>
  <c r="G114" i="15" s="1"/>
  <c r="H114" i="15" a="1"/>
  <c r="H114" i="15" s="1"/>
  <c r="D115" i="15" a="1"/>
  <c r="D115" i="15" s="1"/>
  <c r="E115" i="15" a="1"/>
  <c r="E115" i="15" s="1"/>
  <c r="F115" i="15" a="1"/>
  <c r="F115" i="15" s="1"/>
  <c r="G115" i="15" a="1"/>
  <c r="G115" i="15" s="1"/>
  <c r="H115" i="15" a="1"/>
  <c r="H115" i="15" s="1"/>
  <c r="D116" i="15" a="1"/>
  <c r="D116" i="15" s="1"/>
  <c r="E116" i="15" a="1"/>
  <c r="E116" i="15" s="1"/>
  <c r="F116" i="15" a="1"/>
  <c r="F116" i="15" s="1"/>
  <c r="G116" i="15" a="1"/>
  <c r="G116" i="15" s="1"/>
  <c r="H116" i="15" a="1"/>
  <c r="H116" i="15" s="1"/>
  <c r="D117" i="15" a="1"/>
  <c r="D117" i="15" s="1"/>
  <c r="E117" i="15" a="1"/>
  <c r="E117" i="15" s="1"/>
  <c r="F117" i="15" a="1"/>
  <c r="F117" i="15" s="1"/>
  <c r="G117" i="15" a="1"/>
  <c r="G117" i="15" s="1"/>
  <c r="H117" i="15" a="1"/>
  <c r="H117" i="15" s="1"/>
  <c r="D118" i="15" a="1"/>
  <c r="D118" i="15" s="1"/>
  <c r="E118" i="15" a="1"/>
  <c r="E118" i="15" s="1"/>
  <c r="F118" i="15" a="1"/>
  <c r="F118" i="15" s="1"/>
  <c r="G118" i="15" a="1"/>
  <c r="G118" i="15" s="1"/>
  <c r="H118" i="15" a="1"/>
  <c r="H118" i="15" s="1"/>
  <c r="D119" i="15" a="1"/>
  <c r="D119" i="15" s="1"/>
  <c r="E119" i="15" a="1"/>
  <c r="E119" i="15" s="1"/>
  <c r="F119" i="15" a="1"/>
  <c r="F119" i="15" s="1"/>
  <c r="G119" i="15" a="1"/>
  <c r="G119" i="15" s="1"/>
  <c r="H119" i="15" a="1"/>
  <c r="H119" i="15" s="1"/>
  <c r="D120" i="15" a="1"/>
  <c r="D120" i="15" s="1"/>
  <c r="E120" i="15" a="1"/>
  <c r="E120" i="15" s="1"/>
  <c r="F120" i="15" a="1"/>
  <c r="F120" i="15" s="1"/>
  <c r="G120" i="15" a="1"/>
  <c r="G120" i="15" s="1"/>
  <c r="H120" i="15" a="1"/>
  <c r="H120" i="15" s="1"/>
  <c r="D121" i="15" a="1"/>
  <c r="D121" i="15" s="1"/>
  <c r="E121" i="15" a="1"/>
  <c r="E121" i="15" s="1"/>
  <c r="F121" i="15" a="1"/>
  <c r="F121" i="15" s="1"/>
  <c r="G121" i="15" a="1"/>
  <c r="G121" i="15" s="1"/>
  <c r="H121" i="15" a="1"/>
  <c r="H121" i="15" s="1"/>
  <c r="D122" i="15" a="1"/>
  <c r="D122" i="15" s="1"/>
  <c r="E122" i="15" a="1"/>
  <c r="E122" i="15" s="1"/>
  <c r="F122" i="15" a="1"/>
  <c r="F122" i="15" s="1"/>
  <c r="G122" i="15" a="1"/>
  <c r="G122" i="15" s="1"/>
  <c r="H122" i="15" a="1"/>
  <c r="H122" i="15" s="1"/>
  <c r="D123" i="15" a="1"/>
  <c r="D123" i="15" s="1"/>
  <c r="E123" i="15" a="1"/>
  <c r="E123" i="15" s="1"/>
  <c r="F123" i="15" a="1"/>
  <c r="F123" i="15" s="1"/>
  <c r="G123" i="15" a="1"/>
  <c r="G123" i="15" s="1"/>
  <c r="H123" i="15" a="1"/>
  <c r="H123" i="15" s="1"/>
  <c r="D124" i="15" a="1"/>
  <c r="D124" i="15" s="1"/>
  <c r="E124" i="15" a="1"/>
  <c r="E124" i="15" s="1"/>
  <c r="F124" i="15" a="1"/>
  <c r="F124" i="15" s="1"/>
  <c r="G124" i="15" a="1"/>
  <c r="G124" i="15" s="1"/>
  <c r="H124" i="15" a="1"/>
  <c r="H124" i="15" s="1"/>
  <c r="D125" i="15" a="1"/>
  <c r="D125" i="15" s="1"/>
  <c r="E125" i="15" a="1"/>
  <c r="E125" i="15" s="1"/>
  <c r="F125" i="15" a="1"/>
  <c r="F125" i="15" s="1"/>
  <c r="G125" i="15" a="1"/>
  <c r="G125" i="15" s="1"/>
  <c r="H125" i="15" a="1"/>
  <c r="H125" i="15" s="1"/>
  <c r="E126" i="15" a="1"/>
  <c r="E126" i="15" s="1"/>
  <c r="G126" i="15" a="1"/>
  <c r="G126" i="15" s="1"/>
  <c r="H126" i="15" a="1"/>
  <c r="H126" i="15" s="1"/>
  <c r="D127" i="15" a="1"/>
  <c r="D127" i="15" s="1"/>
  <c r="E127" i="15" a="1"/>
  <c r="E127" i="15" s="1"/>
  <c r="F127" i="15" a="1"/>
  <c r="F127" i="15" s="1"/>
  <c r="G127" i="15" a="1"/>
  <c r="G127" i="15" s="1"/>
  <c r="H127" i="15" a="1"/>
  <c r="H127" i="15" s="1"/>
  <c r="D128" i="15" a="1"/>
  <c r="D128" i="15" s="1"/>
  <c r="E128" i="15" a="1"/>
  <c r="E128" i="15" s="1"/>
  <c r="F128" i="15" a="1"/>
  <c r="F128" i="15" s="1"/>
  <c r="G128" i="15" a="1"/>
  <c r="G128" i="15" s="1"/>
  <c r="H128" i="15" a="1"/>
  <c r="H128" i="15" s="1"/>
  <c r="D129" i="15" a="1"/>
  <c r="D129" i="15" s="1"/>
  <c r="E129" i="15" a="1"/>
  <c r="E129" i="15" s="1"/>
  <c r="F129" i="15" a="1"/>
  <c r="F129" i="15" s="1"/>
  <c r="G129" i="15" a="1"/>
  <c r="G129" i="15" s="1"/>
  <c r="H129" i="15" a="1"/>
  <c r="H129" i="15" s="1"/>
  <c r="D130" i="15" a="1"/>
  <c r="D130" i="15" s="1"/>
  <c r="E130" i="15" a="1"/>
  <c r="E130" i="15" s="1"/>
  <c r="F130" i="15" a="1"/>
  <c r="F130" i="15" s="1"/>
  <c r="G130" i="15" a="1"/>
  <c r="G130" i="15" s="1"/>
  <c r="H130" i="15" a="1"/>
  <c r="H130" i="15" s="1"/>
  <c r="D131" i="15" a="1"/>
  <c r="D131" i="15" s="1"/>
  <c r="E131" i="15" a="1"/>
  <c r="E131" i="15" s="1"/>
  <c r="F131" i="15" a="1"/>
  <c r="F131" i="15" s="1"/>
  <c r="G131" i="15" a="1"/>
  <c r="G131" i="15" s="1"/>
  <c r="H131" i="15" a="1"/>
  <c r="H131" i="15" s="1"/>
  <c r="D134" i="15" a="1"/>
  <c r="D134" i="15" s="1"/>
  <c r="E134" i="15" a="1"/>
  <c r="E134" i="15" s="1"/>
  <c r="F134" i="15" a="1"/>
  <c r="F134" i="15" s="1"/>
  <c r="G134" i="15" a="1"/>
  <c r="G134" i="15" s="1"/>
  <c r="H134" i="15" a="1"/>
  <c r="H134" i="15" s="1"/>
  <c r="E135" i="15" a="1"/>
  <c r="E135" i="15" s="1"/>
  <c r="F135" i="15" a="1"/>
  <c r="F135" i="15" s="1"/>
  <c r="G135" i="15" a="1"/>
  <c r="G135" i="15" s="1"/>
  <c r="H135" i="15" a="1"/>
  <c r="H135" i="15" s="1"/>
  <c r="D136" i="15" a="1"/>
  <c r="D136" i="15" s="1"/>
  <c r="E136" i="15" a="1"/>
  <c r="E136" i="15" s="1"/>
  <c r="F136" i="15" a="1"/>
  <c r="F136" i="15" s="1"/>
  <c r="G136" i="15" a="1"/>
  <c r="G136" i="15" s="1"/>
  <c r="H136" i="15" a="1"/>
  <c r="H136" i="15" s="1"/>
  <c r="D137" i="15" a="1"/>
  <c r="D137" i="15" s="1"/>
  <c r="E137" i="15" a="1"/>
  <c r="E137" i="15" s="1"/>
  <c r="F137" i="15" a="1"/>
  <c r="F137" i="15" s="1"/>
  <c r="G137" i="15" a="1"/>
  <c r="G137" i="15" s="1"/>
  <c r="H137" i="15" a="1"/>
  <c r="H137" i="15" s="1"/>
  <c r="D138" i="15" a="1"/>
  <c r="D138" i="15" s="1"/>
  <c r="E138" i="15" a="1"/>
  <c r="E138" i="15" s="1"/>
  <c r="F138" i="15" a="1"/>
  <c r="F138" i="15" s="1"/>
  <c r="G138" i="15" a="1"/>
  <c r="G138" i="15" s="1"/>
  <c r="H138" i="15" a="1"/>
  <c r="H138" i="15" s="1"/>
  <c r="D139" i="15" a="1"/>
  <c r="D139" i="15" s="1"/>
  <c r="E139" i="15" a="1"/>
  <c r="E139" i="15" s="1"/>
  <c r="F139" i="15" a="1"/>
  <c r="F139" i="15" s="1"/>
  <c r="G139" i="15" a="1"/>
  <c r="G139" i="15" s="1"/>
  <c r="H139" i="15" a="1"/>
  <c r="H139" i="15" s="1"/>
  <c r="D140" i="15" a="1"/>
  <c r="D140" i="15" s="1"/>
  <c r="E140" i="15" a="1"/>
  <c r="E140" i="15" s="1"/>
  <c r="F140" i="15" a="1"/>
  <c r="F140" i="15" s="1"/>
  <c r="G140" i="15" a="1"/>
  <c r="G140" i="15" s="1"/>
  <c r="H140" i="15" a="1"/>
  <c r="H140" i="15" s="1"/>
  <c r="D141" i="15" a="1"/>
  <c r="D141" i="15" s="1"/>
  <c r="E141" i="15" a="1"/>
  <c r="E141" i="15" s="1"/>
  <c r="F141" i="15" a="1"/>
  <c r="F141" i="15" s="1"/>
  <c r="G141" i="15" a="1"/>
  <c r="G141" i="15" s="1"/>
  <c r="H141" i="15" a="1"/>
  <c r="H141" i="15" s="1"/>
  <c r="E113" i="15" a="1"/>
  <c r="E113" i="15" s="1"/>
  <c r="F113" i="15" a="1"/>
  <c r="F113" i="15" s="1"/>
  <c r="G113" i="15" a="1"/>
  <c r="G113" i="15" s="1"/>
  <c r="H113" i="15" a="1"/>
  <c r="H113" i="15" s="1"/>
  <c r="D113" i="15" a="1"/>
  <c r="D113" i="15" s="1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D160" i="15"/>
  <c r="E160" i="15"/>
  <c r="F160" i="15"/>
  <c r="G160" i="15"/>
  <c r="I160" i="15"/>
  <c r="J160" i="15"/>
  <c r="K160" i="15"/>
  <c r="L160" i="15"/>
  <c r="M160" i="15"/>
  <c r="N160" i="15"/>
  <c r="O160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E167" i="15"/>
  <c r="F167" i="15"/>
  <c r="G167" i="15"/>
  <c r="H167" i="15"/>
  <c r="I167" i="15"/>
  <c r="J167" i="15"/>
  <c r="K167" i="15"/>
  <c r="L167" i="15"/>
  <c r="M167" i="15"/>
  <c r="N167" i="15"/>
  <c r="O167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V104" i="15"/>
  <c r="F106" i="16" s="1"/>
  <c r="V105" i="15"/>
  <c r="F107" i="16" s="1"/>
  <c r="V106" i="15"/>
  <c r="F108" i="16" s="1"/>
  <c r="V107" i="15"/>
  <c r="F109" i="16" s="1"/>
  <c r="V5" i="15"/>
  <c r="V6" i="15"/>
  <c r="F8" i="16" s="1"/>
  <c r="V7" i="15"/>
  <c r="F9" i="16" s="1"/>
  <c r="V8" i="15"/>
  <c r="F10" i="16" s="1"/>
  <c r="V9" i="15"/>
  <c r="F11" i="16" s="1"/>
  <c r="V10" i="15"/>
  <c r="F12" i="16" s="1"/>
  <c r="V11" i="15"/>
  <c r="F13" i="16" s="1"/>
  <c r="V12" i="15"/>
  <c r="F14" i="16" s="1"/>
  <c r="V13" i="15"/>
  <c r="F15" i="16" s="1"/>
  <c r="V14" i="15"/>
  <c r="V15" i="15"/>
  <c r="V16" i="15"/>
  <c r="V17" i="15"/>
  <c r="F19" i="16" s="1"/>
  <c r="V18" i="15"/>
  <c r="F20" i="16" s="1"/>
  <c r="V19" i="15"/>
  <c r="F21" i="16" s="1"/>
  <c r="V20" i="15"/>
  <c r="F22" i="16" s="1"/>
  <c r="V21" i="15"/>
  <c r="F23" i="16" s="1"/>
  <c r="V22" i="15"/>
  <c r="F24" i="16" s="1"/>
  <c r="V23" i="15"/>
  <c r="F25" i="16" s="1"/>
  <c r="V24" i="15"/>
  <c r="F26" i="16" s="1"/>
  <c r="V25" i="15"/>
  <c r="F27" i="16" s="1"/>
  <c r="V26" i="15"/>
  <c r="F28" i="16" s="1"/>
  <c r="V27" i="15"/>
  <c r="F29" i="16" s="1"/>
  <c r="V28" i="15"/>
  <c r="F30" i="16" s="1"/>
  <c r="V29" i="15"/>
  <c r="F31" i="16" s="1"/>
  <c r="V30" i="15"/>
  <c r="F32" i="16" s="1"/>
  <c r="V31" i="15"/>
  <c r="F33" i="16" s="1"/>
  <c r="V32" i="15"/>
  <c r="F34" i="16" s="1"/>
  <c r="V33" i="15"/>
  <c r="F35" i="16" s="1"/>
  <c r="V34" i="15"/>
  <c r="F36" i="16" s="1"/>
  <c r="V35" i="15"/>
  <c r="F37" i="16" s="1"/>
  <c r="V36" i="15"/>
  <c r="F38" i="16" s="1"/>
  <c r="V37" i="15"/>
  <c r="F39" i="16" s="1"/>
  <c r="V38" i="15"/>
  <c r="F40" i="16" s="1"/>
  <c r="V39" i="15"/>
  <c r="F41" i="16" s="1"/>
  <c r="V40" i="15"/>
  <c r="F42" i="16" s="1"/>
  <c r="V41" i="15"/>
  <c r="F43" i="16" s="1"/>
  <c r="V42" i="15"/>
  <c r="F44" i="16" s="1"/>
  <c r="V43" i="15"/>
  <c r="F45" i="16" s="1"/>
  <c r="V44" i="15"/>
  <c r="F46" i="16" s="1"/>
  <c r="V45" i="15"/>
  <c r="F47" i="16" s="1"/>
  <c r="V46" i="15"/>
  <c r="F48" i="16" s="1"/>
  <c r="V47" i="15"/>
  <c r="F49" i="16" s="1"/>
  <c r="V48" i="15"/>
  <c r="F50" i="16" s="1"/>
  <c r="V49" i="15"/>
  <c r="F51" i="16" s="1"/>
  <c r="V50" i="15"/>
  <c r="F52" i="16" s="1"/>
  <c r="V51" i="15"/>
  <c r="F53" i="16" s="1"/>
  <c r="V52" i="15"/>
  <c r="F54" i="16" s="1"/>
  <c r="V53" i="15"/>
  <c r="F55" i="16" s="1"/>
  <c r="V54" i="15"/>
  <c r="F56" i="16" s="1"/>
  <c r="V55" i="15"/>
  <c r="F57" i="16" s="1"/>
  <c r="V56" i="15"/>
  <c r="F58" i="16" s="1"/>
  <c r="V57" i="15"/>
  <c r="V58" i="15"/>
  <c r="V59" i="15"/>
  <c r="F61" i="16" s="1"/>
  <c r="V60" i="15"/>
  <c r="F62" i="16" s="1"/>
  <c r="V61" i="15"/>
  <c r="F63" i="16" s="1"/>
  <c r="V62" i="15"/>
  <c r="F64" i="16" s="1"/>
  <c r="V63" i="15"/>
  <c r="F65" i="16" s="1"/>
  <c r="V64" i="15"/>
  <c r="F66" i="16" s="1"/>
  <c r="V65" i="15"/>
  <c r="F67" i="16" s="1"/>
  <c r="V66" i="15"/>
  <c r="F68" i="16" s="1"/>
  <c r="V67" i="15"/>
  <c r="F69" i="16" s="1"/>
  <c r="V68" i="15"/>
  <c r="F70" i="16" s="1"/>
  <c r="V69" i="15"/>
  <c r="F71" i="16" s="1"/>
  <c r="V70" i="15"/>
  <c r="F72" i="16" s="1"/>
  <c r="V71" i="15"/>
  <c r="F73" i="16" s="1"/>
  <c r="V72" i="15"/>
  <c r="F74" i="16" s="1"/>
  <c r="V73" i="15"/>
  <c r="F75" i="16" s="1"/>
  <c r="V74" i="15"/>
  <c r="F76" i="16" s="1"/>
  <c r="V75" i="15"/>
  <c r="F77" i="16" s="1"/>
  <c r="V76" i="15"/>
  <c r="F78" i="16" s="1"/>
  <c r="V77" i="15"/>
  <c r="F79" i="16" s="1"/>
  <c r="V78" i="15"/>
  <c r="F80" i="16" s="1"/>
  <c r="V79" i="15"/>
  <c r="F81" i="16" s="1"/>
  <c r="V80" i="15"/>
  <c r="F82" i="16" s="1"/>
  <c r="V81" i="15"/>
  <c r="F83" i="16" s="1"/>
  <c r="V82" i="15"/>
  <c r="F84" i="16" s="1"/>
  <c r="V83" i="15"/>
  <c r="F85" i="16" s="1"/>
  <c r="V84" i="15"/>
  <c r="F86" i="16" s="1"/>
  <c r="V85" i="15"/>
  <c r="F87" i="16" s="1"/>
  <c r="V86" i="15"/>
  <c r="F88" i="16" s="1"/>
  <c r="V87" i="15"/>
  <c r="F89" i="16" s="1"/>
  <c r="V88" i="15"/>
  <c r="F90" i="16" s="1"/>
  <c r="V89" i="15"/>
  <c r="F91" i="16" s="1"/>
  <c r="V90" i="15"/>
  <c r="F92" i="16" s="1"/>
  <c r="V91" i="15"/>
  <c r="F93" i="16" s="1"/>
  <c r="V92" i="15"/>
  <c r="F94" i="16" s="1"/>
  <c r="V93" i="15"/>
  <c r="F95" i="16" s="1"/>
  <c r="V94" i="15"/>
  <c r="F96" i="16" s="1"/>
  <c r="V95" i="15"/>
  <c r="F97" i="16" s="1"/>
  <c r="V96" i="15"/>
  <c r="F98" i="16" s="1"/>
  <c r="V97" i="15"/>
  <c r="F99" i="16" s="1"/>
  <c r="V98" i="15"/>
  <c r="F100" i="16" s="1"/>
  <c r="V99" i="15"/>
  <c r="F101" i="16" s="1"/>
  <c r="V100" i="15"/>
  <c r="F102" i="16" s="1"/>
  <c r="V101" i="15"/>
  <c r="F103" i="16" s="1"/>
  <c r="V102" i="15"/>
  <c r="F104" i="16" s="1"/>
  <c r="V103" i="15"/>
  <c r="F105" i="16" s="1"/>
  <c r="V4" i="15"/>
  <c r="B3" i="9"/>
  <c r="AB71" i="14"/>
  <c r="L71" i="14"/>
  <c r="H71" i="14"/>
  <c r="C71" i="14"/>
  <c r="AB70" i="14"/>
  <c r="L70" i="14"/>
  <c r="H70" i="14"/>
  <c r="C70" i="14"/>
  <c r="AB69" i="14"/>
  <c r="L69" i="14"/>
  <c r="H69" i="14"/>
  <c r="C69" i="14"/>
  <c r="AQ69" i="14" s="1"/>
  <c r="AB68" i="14"/>
  <c r="L68" i="14"/>
  <c r="H68" i="14"/>
  <c r="C68" i="14"/>
  <c r="AB67" i="14"/>
  <c r="L67" i="14"/>
  <c r="H67" i="14"/>
  <c r="C67" i="14"/>
  <c r="AB66" i="14"/>
  <c r="L66" i="14"/>
  <c r="H66" i="14"/>
  <c r="C66" i="14"/>
  <c r="AE65" i="14"/>
  <c r="AB65" i="14" s="1"/>
  <c r="V65" i="14"/>
  <c r="L65" i="14" s="1"/>
  <c r="H65" i="14"/>
  <c r="D65" i="14"/>
  <c r="C65" i="14" s="1"/>
  <c r="AQ65" i="14" s="1"/>
  <c r="AQ64" i="14"/>
  <c r="AB64" i="14"/>
  <c r="L64" i="14"/>
  <c r="H64" i="14"/>
  <c r="C64" i="14"/>
  <c r="AB63" i="14"/>
  <c r="L63" i="14"/>
  <c r="H63" i="14"/>
  <c r="C63" i="14"/>
  <c r="AB62" i="14"/>
  <c r="L62" i="14"/>
  <c r="H62" i="14"/>
  <c r="AQ62" i="14" s="1"/>
  <c r="C62" i="14"/>
  <c r="AB61" i="14"/>
  <c r="L61" i="14"/>
  <c r="H61" i="14"/>
  <c r="AQ61" i="14" s="1"/>
  <c r="C61" i="14"/>
  <c r="AB60" i="14"/>
  <c r="L60" i="14"/>
  <c r="H60" i="14"/>
  <c r="C60" i="14"/>
  <c r="AB59" i="14"/>
  <c r="L59" i="14"/>
  <c r="H59" i="14"/>
  <c r="C59" i="14"/>
  <c r="AP58" i="14"/>
  <c r="AN58" i="14"/>
  <c r="AN57" i="14" s="1"/>
  <c r="AJ58" i="14"/>
  <c r="AJ57" i="14" s="1"/>
  <c r="AI58" i="14"/>
  <c r="AI57" i="14" s="1"/>
  <c r="AH58" i="14"/>
  <c r="AH57" i="14" s="1"/>
  <c r="AG58" i="14"/>
  <c r="AG57" i="14" s="1"/>
  <c r="AE58" i="14"/>
  <c r="AB58" i="14" s="1"/>
  <c r="AB57" i="14" s="1"/>
  <c r="AD58" i="14"/>
  <c r="AD57" i="14" s="1"/>
  <c r="AC58" i="14"/>
  <c r="AC57" i="14" s="1"/>
  <c r="Z58" i="14"/>
  <c r="Z57" i="14" s="1"/>
  <c r="Y58" i="14"/>
  <c r="X58" i="14"/>
  <c r="W58" i="14"/>
  <c r="V58" i="14"/>
  <c r="R58" i="14"/>
  <c r="P58" i="14"/>
  <c r="O58" i="14"/>
  <c r="N58" i="14"/>
  <c r="M58" i="14"/>
  <c r="M57" i="14" s="1"/>
  <c r="K58" i="14"/>
  <c r="K57" i="14" s="1"/>
  <c r="J58" i="14"/>
  <c r="I58" i="14"/>
  <c r="I57" i="14" s="1"/>
  <c r="F58" i="14"/>
  <c r="AP57" i="14"/>
  <c r="AO57" i="14"/>
  <c r="AM57" i="14"/>
  <c r="AL57" i="14"/>
  <c r="AK57" i="14"/>
  <c r="AF57" i="14"/>
  <c r="AA57" i="14"/>
  <c r="Y57" i="14"/>
  <c r="X57" i="14"/>
  <c r="W57" i="14"/>
  <c r="U57" i="14"/>
  <c r="T57" i="14"/>
  <c r="S57" i="14"/>
  <c r="R57" i="14"/>
  <c r="Q57" i="14"/>
  <c r="P57" i="14"/>
  <c r="G57" i="14"/>
  <c r="E57" i="14"/>
  <c r="AB56" i="14"/>
  <c r="L56" i="14"/>
  <c r="H56" i="14"/>
  <c r="C56" i="14"/>
  <c r="AQ55" i="14"/>
  <c r="AB55" i="14"/>
  <c r="L55" i="14"/>
  <c r="H55" i="14"/>
  <c r="C55" i="14"/>
  <c r="AQ54" i="14"/>
  <c r="AB54" i="14"/>
  <c r="L54" i="14"/>
  <c r="H54" i="14"/>
  <c r="C54" i="14"/>
  <c r="AB53" i="14"/>
  <c r="L53" i="14"/>
  <c r="H53" i="14"/>
  <c r="AQ53" i="14" s="1"/>
  <c r="C53" i="14"/>
  <c r="AB52" i="14"/>
  <c r="L52" i="14"/>
  <c r="H52" i="14"/>
  <c r="C52" i="14"/>
  <c r="AB51" i="14"/>
  <c r="L51" i="14"/>
  <c r="H51" i="14"/>
  <c r="C51" i="14"/>
  <c r="AB50" i="14"/>
  <c r="L50" i="14"/>
  <c r="H50" i="14"/>
  <c r="C50" i="14"/>
  <c r="AQ50" i="14" s="1"/>
  <c r="AB49" i="14"/>
  <c r="L49" i="14"/>
  <c r="H49" i="14"/>
  <c r="C49" i="14"/>
  <c r="AB48" i="14"/>
  <c r="L48" i="14"/>
  <c r="H48" i="14"/>
  <c r="C48" i="14"/>
  <c r="AQ47" i="14"/>
  <c r="AB47" i="14"/>
  <c r="L47" i="14"/>
  <c r="H47" i="14"/>
  <c r="C47" i="14"/>
  <c r="AB46" i="14"/>
  <c r="L46" i="14"/>
  <c r="H46" i="14"/>
  <c r="C46" i="14"/>
  <c r="AP45" i="14"/>
  <c r="AO45" i="14"/>
  <c r="AO29" i="14" s="1"/>
  <c r="AN45" i="14"/>
  <c r="AM45" i="14"/>
  <c r="AL45" i="14"/>
  <c r="AK45" i="14"/>
  <c r="AJ45" i="14"/>
  <c r="AI45" i="14"/>
  <c r="AH45" i="14"/>
  <c r="AG45" i="14"/>
  <c r="AF45" i="14"/>
  <c r="AF29" i="14" s="1"/>
  <c r="AE45" i="14"/>
  <c r="AD45" i="14"/>
  <c r="AC45" i="14"/>
  <c r="AA45" i="14"/>
  <c r="AA29" i="14" s="1"/>
  <c r="Z45" i="14"/>
  <c r="Y45" i="14"/>
  <c r="X45" i="14"/>
  <c r="X29" i="14" s="1"/>
  <c r="W45" i="14"/>
  <c r="V45" i="14"/>
  <c r="U45" i="14"/>
  <c r="T45" i="14"/>
  <c r="T29" i="14" s="1"/>
  <c r="S45" i="14"/>
  <c r="R45" i="14"/>
  <c r="Q45" i="14"/>
  <c r="P45" i="14"/>
  <c r="O45" i="14"/>
  <c r="N45" i="14"/>
  <c r="M45" i="14"/>
  <c r="K45" i="14"/>
  <c r="J45" i="14"/>
  <c r="I45" i="14"/>
  <c r="I29" i="14" s="1"/>
  <c r="G45" i="14"/>
  <c r="G29" i="14" s="1"/>
  <c r="F45" i="14"/>
  <c r="E45" i="14"/>
  <c r="E29" i="14" s="1"/>
  <c r="D45" i="14"/>
  <c r="AB44" i="14"/>
  <c r="L44" i="14"/>
  <c r="H44" i="14"/>
  <c r="C44" i="14"/>
  <c r="AB43" i="14"/>
  <c r="L43" i="14"/>
  <c r="H43" i="14"/>
  <c r="C43" i="14"/>
  <c r="AQ43" i="14" s="1"/>
  <c r="AB42" i="14"/>
  <c r="L42" i="14"/>
  <c r="H42" i="14"/>
  <c r="C42" i="14"/>
  <c r="AB41" i="14"/>
  <c r="L41" i="14"/>
  <c r="H41" i="14"/>
  <c r="C41" i="14"/>
  <c r="AB40" i="14"/>
  <c r="L40" i="14"/>
  <c r="H40" i="14"/>
  <c r="C40" i="14"/>
  <c r="AB39" i="14"/>
  <c r="L39" i="14"/>
  <c r="H39" i="14"/>
  <c r="C39" i="14"/>
  <c r="AB38" i="14"/>
  <c r="L38" i="14"/>
  <c r="H38" i="14"/>
  <c r="C38" i="14"/>
  <c r="AQ38" i="14" s="1"/>
  <c r="AB37" i="14"/>
  <c r="L37" i="14"/>
  <c r="H37" i="14"/>
  <c r="C37" i="14"/>
  <c r="AB36" i="14"/>
  <c r="L36" i="14"/>
  <c r="H36" i="14"/>
  <c r="C36" i="14"/>
  <c r="AB35" i="14"/>
  <c r="L35" i="14"/>
  <c r="H35" i="14"/>
  <c r="C35" i="14"/>
  <c r="AQ35" i="14" s="1"/>
  <c r="AB34" i="14"/>
  <c r="L34" i="14"/>
  <c r="H34" i="14"/>
  <c r="C34" i="14"/>
  <c r="AQ34" i="14" s="1"/>
  <c r="AB33" i="14"/>
  <c r="L33" i="14"/>
  <c r="H33" i="14"/>
  <c r="C33" i="14"/>
  <c r="AB32" i="14"/>
  <c r="L32" i="14"/>
  <c r="H32" i="14"/>
  <c r="C32" i="14"/>
  <c r="AB31" i="14"/>
  <c r="L31" i="14"/>
  <c r="H31" i="14"/>
  <c r="C31" i="14"/>
  <c r="AP30" i="14"/>
  <c r="AP29" i="14" s="1"/>
  <c r="AN30" i="14"/>
  <c r="AM30" i="14"/>
  <c r="AM29" i="14" s="1"/>
  <c r="AL30" i="14"/>
  <c r="AL29" i="14" s="1"/>
  <c r="AK30" i="14"/>
  <c r="AK29" i="14" s="1"/>
  <c r="AJ30" i="14"/>
  <c r="AI30" i="14"/>
  <c r="AH30" i="14"/>
  <c r="AH29" i="14" s="1"/>
  <c r="AG30" i="14"/>
  <c r="AF30" i="14"/>
  <c r="AE30" i="14"/>
  <c r="AD30" i="14"/>
  <c r="AC30" i="14"/>
  <c r="Z30" i="14"/>
  <c r="Y30" i="14"/>
  <c r="X30" i="14"/>
  <c r="W30" i="14"/>
  <c r="R30" i="14"/>
  <c r="R29" i="14" s="1"/>
  <c r="P30" i="14"/>
  <c r="O30" i="14"/>
  <c r="N30" i="14"/>
  <c r="M30" i="14"/>
  <c r="K30" i="14"/>
  <c r="J30" i="14"/>
  <c r="J29" i="14" s="1"/>
  <c r="I30" i="14"/>
  <c r="AC29" i="14"/>
  <c r="Y29" i="14"/>
  <c r="W29" i="14"/>
  <c r="U29" i="14"/>
  <c r="S29" i="14"/>
  <c r="Q29" i="14"/>
  <c r="K29" i="14"/>
  <c r="AB28" i="14"/>
  <c r="AB27" i="14" s="1"/>
  <c r="H28" i="14"/>
  <c r="H27" i="14" s="1"/>
  <c r="C28" i="14"/>
  <c r="C27" i="14" s="1"/>
  <c r="AP27" i="14"/>
  <c r="AO27" i="14"/>
  <c r="AN27" i="14"/>
  <c r="AM27" i="14"/>
  <c r="AL27" i="14"/>
  <c r="AL8" i="14" s="1"/>
  <c r="AK27" i="14"/>
  <c r="AJ27" i="14"/>
  <c r="AI27" i="14"/>
  <c r="AH27" i="14"/>
  <c r="AG27" i="14"/>
  <c r="AF27" i="14"/>
  <c r="AE27" i="14"/>
  <c r="AE8" i="14" s="1"/>
  <c r="AD27" i="14"/>
  <c r="AC27" i="14"/>
  <c r="AA27" i="14"/>
  <c r="V27" i="14"/>
  <c r="U27" i="14"/>
  <c r="T27" i="14"/>
  <c r="S27" i="14"/>
  <c r="R27" i="14"/>
  <c r="Q27" i="14"/>
  <c r="P27" i="14"/>
  <c r="O27" i="14"/>
  <c r="N27" i="14"/>
  <c r="M27" i="14"/>
  <c r="K27" i="14"/>
  <c r="J27" i="14"/>
  <c r="J8" i="14" s="1"/>
  <c r="I27" i="14"/>
  <c r="G27" i="14"/>
  <c r="F27" i="14"/>
  <c r="E27" i="14"/>
  <c r="D27" i="14"/>
  <c r="Z26" i="14"/>
  <c r="V26" i="14"/>
  <c r="AB25" i="14"/>
  <c r="L25" i="14"/>
  <c r="H25" i="14"/>
  <c r="C25" i="14"/>
  <c r="AB24" i="14"/>
  <c r="L24" i="14"/>
  <c r="E24" i="14"/>
  <c r="C24" i="14" s="1"/>
  <c r="AQ23" i="14"/>
  <c r="AD22" i="14"/>
  <c r="AC22" i="14"/>
  <c r="AB22" i="14" s="1"/>
  <c r="AP21" i="14"/>
  <c r="AP26" i="14" s="1"/>
  <c r="AP72" i="14" s="1"/>
  <c r="AN21" i="14"/>
  <c r="AM21" i="14"/>
  <c r="AL21" i="14"/>
  <c r="AK21" i="14"/>
  <c r="AJ21" i="14"/>
  <c r="AI21" i="14"/>
  <c r="AH21" i="14"/>
  <c r="AG21" i="14"/>
  <c r="AF21" i="14"/>
  <c r="AE21" i="14"/>
  <c r="AD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 s="1"/>
  <c r="K21" i="14"/>
  <c r="J21" i="14"/>
  <c r="I21" i="14"/>
  <c r="G21" i="14"/>
  <c r="F21" i="14"/>
  <c r="D21" i="14"/>
  <c r="AB20" i="14"/>
  <c r="L20" i="14"/>
  <c r="H20" i="14"/>
  <c r="AB19" i="14"/>
  <c r="L19" i="14"/>
  <c r="H19" i="14"/>
  <c r="AQ18" i="14"/>
  <c r="AB17" i="14"/>
  <c r="L17" i="14"/>
  <c r="H17" i="14"/>
  <c r="C17" i="14"/>
  <c r="AB16" i="14"/>
  <c r="AB15" i="14" s="1"/>
  <c r="L16" i="14"/>
  <c r="H16" i="14"/>
  <c r="AQ16" i="14" s="1"/>
  <c r="C16" i="14"/>
  <c r="C15" i="14" s="1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J15" i="14"/>
  <c r="I15" i="14"/>
  <c r="G15" i="14"/>
  <c r="F15" i="14"/>
  <c r="E15" i="14"/>
  <c r="D15" i="14"/>
  <c r="AB14" i="14"/>
  <c r="L14" i="14"/>
  <c r="H14" i="14"/>
  <c r="C14" i="14"/>
  <c r="AB13" i="14"/>
  <c r="L13" i="14"/>
  <c r="H13" i="14"/>
  <c r="C13" i="14"/>
  <c r="AQ12" i="14"/>
  <c r="AB11" i="14"/>
  <c r="L11" i="14"/>
  <c r="H11" i="14"/>
  <c r="C11" i="14"/>
  <c r="AB10" i="14"/>
  <c r="AB9" i="14" s="1"/>
  <c r="L10" i="14"/>
  <c r="H10" i="14"/>
  <c r="C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J9" i="14"/>
  <c r="J26" i="14" s="1"/>
  <c r="I9" i="14"/>
  <c r="G9" i="14"/>
  <c r="F9" i="14"/>
  <c r="E9" i="14"/>
  <c r="D9" i="14"/>
  <c r="AP8" i="14"/>
  <c r="AM8" i="14"/>
  <c r="N8" i="14"/>
  <c r="AP7" i="14"/>
  <c r="AO7" i="14"/>
  <c r="AN7" i="14"/>
  <c r="AM7" i="14"/>
  <c r="AL7" i="14"/>
  <c r="AK7" i="14"/>
  <c r="AJ7" i="14"/>
  <c r="AJ8" i="14" s="1"/>
  <c r="AI7" i="14"/>
  <c r="AI8" i="14" s="1"/>
  <c r="AH7" i="14"/>
  <c r="AH26" i="14" s="1"/>
  <c r="AG7" i="14"/>
  <c r="AF7" i="14"/>
  <c r="AE7" i="14"/>
  <c r="AD7" i="14"/>
  <c r="AC7" i="14"/>
  <c r="AC8" i="14" s="1"/>
  <c r="AA7" i="14"/>
  <c r="Z7" i="14"/>
  <c r="Y7" i="14"/>
  <c r="X7" i="14"/>
  <c r="W7" i="14"/>
  <c r="V7" i="14"/>
  <c r="V8" i="14" s="1"/>
  <c r="U7" i="14"/>
  <c r="U8" i="14" s="1"/>
  <c r="T7" i="14"/>
  <c r="T8" i="14" s="1"/>
  <c r="S7" i="14"/>
  <c r="S8" i="14" s="1"/>
  <c r="R7" i="14"/>
  <c r="R26" i="14" s="1"/>
  <c r="Q7" i="14"/>
  <c r="P7" i="14"/>
  <c r="O7" i="14"/>
  <c r="O8" i="14" s="1"/>
  <c r="N7" i="14"/>
  <c r="M7" i="14"/>
  <c r="K7" i="14"/>
  <c r="K8" i="14" s="1"/>
  <c r="J7" i="14"/>
  <c r="I7" i="14"/>
  <c r="G7" i="14"/>
  <c r="F7" i="14"/>
  <c r="F8" i="14" s="1"/>
  <c r="E7" i="14"/>
  <c r="E8" i="14" s="1"/>
  <c r="D7" i="14"/>
  <c r="C7" i="14"/>
  <c r="AB6" i="14"/>
  <c r="L6" i="14"/>
  <c r="H6" i="14"/>
  <c r="C6" i="14"/>
  <c r="AB5" i="14"/>
  <c r="L5" i="14"/>
  <c r="H5" i="14"/>
  <c r="C5" i="14"/>
  <c r="AQ4" i="14"/>
  <c r="AB4" i="14"/>
  <c r="L4" i="14"/>
  <c r="H4" i="14"/>
  <c r="C4" i="14"/>
  <c r="AB3" i="14"/>
  <c r="L3" i="14"/>
  <c r="H3" i="14"/>
  <c r="AQ3" i="14" s="1"/>
  <c r="C3" i="14"/>
  <c r="AB2" i="14"/>
  <c r="AB7" i="14" s="1"/>
  <c r="L2" i="14"/>
  <c r="L7" i="14" s="1"/>
  <c r="H2" i="14"/>
  <c r="C2" i="14"/>
  <c r="AQ71" i="13"/>
  <c r="AB71" i="13"/>
  <c r="L71" i="13"/>
  <c r="H71" i="13"/>
  <c r="C71" i="13"/>
  <c r="AB70" i="13"/>
  <c r="L70" i="13"/>
  <c r="H70" i="13"/>
  <c r="C70" i="13"/>
  <c r="AB69" i="13"/>
  <c r="L69" i="13"/>
  <c r="H69" i="13"/>
  <c r="C69" i="13"/>
  <c r="AB68" i="13"/>
  <c r="L68" i="13"/>
  <c r="H68" i="13"/>
  <c r="C68" i="13"/>
  <c r="AB67" i="13"/>
  <c r="L67" i="13"/>
  <c r="H67" i="13"/>
  <c r="C67" i="13"/>
  <c r="AB66" i="13"/>
  <c r="L66" i="13"/>
  <c r="H66" i="13"/>
  <c r="C66" i="13"/>
  <c r="AQ66" i="13" s="1"/>
  <c r="AE65" i="13"/>
  <c r="AB65" i="13"/>
  <c r="V65" i="13"/>
  <c r="L65" i="13" s="1"/>
  <c r="H65" i="13"/>
  <c r="D65" i="13"/>
  <c r="C65" i="13" s="1"/>
  <c r="AQ65" i="13" s="1"/>
  <c r="AB64" i="13"/>
  <c r="L64" i="13"/>
  <c r="H64" i="13"/>
  <c r="C64" i="13"/>
  <c r="AB63" i="13"/>
  <c r="L63" i="13"/>
  <c r="H63" i="13"/>
  <c r="C63" i="13"/>
  <c r="AB62" i="13"/>
  <c r="L62" i="13"/>
  <c r="H62" i="13"/>
  <c r="C62" i="13"/>
  <c r="AQ62" i="13" s="1"/>
  <c r="AB61" i="13"/>
  <c r="L61" i="13"/>
  <c r="H61" i="13"/>
  <c r="C61" i="13"/>
  <c r="AB60" i="13"/>
  <c r="L60" i="13"/>
  <c r="H60" i="13"/>
  <c r="C60" i="13"/>
  <c r="AB59" i="13"/>
  <c r="L59" i="13"/>
  <c r="H59" i="13"/>
  <c r="C59" i="13"/>
  <c r="AP58" i="13"/>
  <c r="AP57" i="13" s="1"/>
  <c r="AN58" i="13"/>
  <c r="AN57" i="13" s="1"/>
  <c r="AJ58" i="13"/>
  <c r="AJ57" i="13" s="1"/>
  <c r="AI58" i="13"/>
  <c r="AI57" i="13" s="1"/>
  <c r="AH58" i="13"/>
  <c r="AH57" i="13" s="1"/>
  <c r="AG58" i="13"/>
  <c r="AG57" i="13" s="1"/>
  <c r="AE58" i="13"/>
  <c r="AD58" i="13"/>
  <c r="AC58" i="13"/>
  <c r="Z58" i="13"/>
  <c r="Y58" i="13"/>
  <c r="X58" i="13"/>
  <c r="X57" i="13" s="1"/>
  <c r="W58" i="13"/>
  <c r="V58" i="13"/>
  <c r="R58" i="13"/>
  <c r="P58" i="13"/>
  <c r="P57" i="13" s="1"/>
  <c r="O58" i="13"/>
  <c r="O57" i="13" s="1"/>
  <c r="N58" i="13"/>
  <c r="N57" i="13" s="1"/>
  <c r="M58" i="13"/>
  <c r="K58" i="13"/>
  <c r="K57" i="13" s="1"/>
  <c r="J58" i="13"/>
  <c r="J57" i="13" s="1"/>
  <c r="I58" i="13"/>
  <c r="I57" i="13" s="1"/>
  <c r="F58" i="13"/>
  <c r="C58" i="13" s="1"/>
  <c r="AO57" i="13"/>
  <c r="AM57" i="13"/>
  <c r="AL57" i="13"/>
  <c r="AK57" i="13"/>
  <c r="AF57" i="13"/>
  <c r="AE57" i="13"/>
  <c r="AD57" i="13"/>
  <c r="AA57" i="13"/>
  <c r="Z57" i="13"/>
  <c r="W57" i="13"/>
  <c r="U57" i="13"/>
  <c r="T57" i="13"/>
  <c r="S57" i="13"/>
  <c r="R57" i="13"/>
  <c r="Q57" i="13"/>
  <c r="G57" i="13"/>
  <c r="F57" i="13"/>
  <c r="E57" i="13"/>
  <c r="D57" i="13"/>
  <c r="AB56" i="13"/>
  <c r="L56" i="13"/>
  <c r="H56" i="13"/>
  <c r="C56" i="13"/>
  <c r="AB55" i="13"/>
  <c r="L55" i="13"/>
  <c r="H55" i="13"/>
  <c r="C55" i="13"/>
  <c r="AB54" i="13"/>
  <c r="L54" i="13"/>
  <c r="H54" i="13"/>
  <c r="C54" i="13"/>
  <c r="AB53" i="13"/>
  <c r="L53" i="13"/>
  <c r="H53" i="13"/>
  <c r="AQ53" i="13" s="1"/>
  <c r="C53" i="13"/>
  <c r="AB52" i="13"/>
  <c r="L52" i="13"/>
  <c r="H52" i="13"/>
  <c r="C52" i="13"/>
  <c r="AB51" i="13"/>
  <c r="L51" i="13"/>
  <c r="H51" i="13"/>
  <c r="C51" i="13"/>
  <c r="AB50" i="13"/>
  <c r="L50" i="13"/>
  <c r="H50" i="13"/>
  <c r="C50" i="13"/>
  <c r="AQ50" i="13" s="1"/>
  <c r="AB49" i="13"/>
  <c r="AB45" i="13" s="1"/>
  <c r="L49" i="13"/>
  <c r="H49" i="13"/>
  <c r="C49" i="13"/>
  <c r="AB48" i="13"/>
  <c r="L48" i="13"/>
  <c r="H48" i="13"/>
  <c r="C48" i="13"/>
  <c r="AB47" i="13"/>
  <c r="L47" i="13"/>
  <c r="H47" i="13"/>
  <c r="C47" i="13"/>
  <c r="AB46" i="13"/>
  <c r="L46" i="13"/>
  <c r="H46" i="13"/>
  <c r="C46" i="13"/>
  <c r="AP45" i="13"/>
  <c r="AO45" i="13"/>
  <c r="AO29" i="13" s="1"/>
  <c r="AN45" i="13"/>
  <c r="AM45" i="13"/>
  <c r="AL45" i="13"/>
  <c r="AK45" i="13"/>
  <c r="AJ45" i="13"/>
  <c r="AI45" i="13"/>
  <c r="AH45" i="13"/>
  <c r="AG45" i="13"/>
  <c r="AF45" i="13"/>
  <c r="AE45" i="13"/>
  <c r="AD45" i="13"/>
  <c r="AD29" i="13" s="1"/>
  <c r="AC45" i="13"/>
  <c r="AA45" i="13"/>
  <c r="AA29" i="13" s="1"/>
  <c r="Z45" i="13"/>
  <c r="Z29" i="13" s="1"/>
  <c r="Y45" i="13"/>
  <c r="X45" i="13"/>
  <c r="X29" i="13" s="1"/>
  <c r="W45" i="13"/>
  <c r="W29" i="13" s="1"/>
  <c r="V45" i="13"/>
  <c r="V29" i="13" s="1"/>
  <c r="U45" i="13"/>
  <c r="T45" i="13"/>
  <c r="S45" i="13"/>
  <c r="S29" i="13" s="1"/>
  <c r="R45" i="13"/>
  <c r="Q45" i="13"/>
  <c r="P45" i="13"/>
  <c r="O45" i="13"/>
  <c r="N45" i="13"/>
  <c r="M45" i="13"/>
  <c r="K45" i="13"/>
  <c r="K29" i="13" s="1"/>
  <c r="J45" i="13"/>
  <c r="I45" i="13"/>
  <c r="G45" i="13"/>
  <c r="G29" i="13" s="1"/>
  <c r="F45" i="13"/>
  <c r="F29" i="13" s="1"/>
  <c r="E45" i="13"/>
  <c r="E29" i="13" s="1"/>
  <c r="D45" i="13"/>
  <c r="D29" i="13" s="1"/>
  <c r="AB44" i="13"/>
  <c r="L44" i="13"/>
  <c r="H44" i="13"/>
  <c r="C44" i="13"/>
  <c r="AQ44" i="13" s="1"/>
  <c r="AB43" i="13"/>
  <c r="L43" i="13"/>
  <c r="H43" i="13"/>
  <c r="C43" i="13"/>
  <c r="AQ43" i="13" s="1"/>
  <c r="AB42" i="13"/>
  <c r="L42" i="13"/>
  <c r="H42" i="13"/>
  <c r="C42" i="13"/>
  <c r="AB41" i="13"/>
  <c r="AQ41" i="13" s="1"/>
  <c r="L41" i="13"/>
  <c r="H41" i="13"/>
  <c r="C41" i="13"/>
  <c r="AB40" i="13"/>
  <c r="L40" i="13"/>
  <c r="H40" i="13"/>
  <c r="C40" i="13"/>
  <c r="AQ40" i="13" s="1"/>
  <c r="AB39" i="13"/>
  <c r="L39" i="13"/>
  <c r="H39" i="13"/>
  <c r="AQ39" i="13" s="1"/>
  <c r="C39" i="13"/>
  <c r="AB38" i="13"/>
  <c r="L38" i="13"/>
  <c r="H38" i="13"/>
  <c r="C38" i="13"/>
  <c r="AQ38" i="13" s="1"/>
  <c r="AB37" i="13"/>
  <c r="L37" i="13"/>
  <c r="H37" i="13"/>
  <c r="C37" i="13"/>
  <c r="AB36" i="13"/>
  <c r="L36" i="13"/>
  <c r="H36" i="13"/>
  <c r="C36" i="13"/>
  <c r="AB35" i="13"/>
  <c r="L35" i="13"/>
  <c r="H35" i="13"/>
  <c r="C35" i="13"/>
  <c r="AB34" i="13"/>
  <c r="L34" i="13"/>
  <c r="H34" i="13"/>
  <c r="C34" i="13"/>
  <c r="AB33" i="13"/>
  <c r="L33" i="13"/>
  <c r="H33" i="13"/>
  <c r="C33" i="13"/>
  <c r="AB32" i="13"/>
  <c r="L32" i="13"/>
  <c r="H32" i="13"/>
  <c r="C32" i="13"/>
  <c r="AB31" i="13"/>
  <c r="L31" i="13"/>
  <c r="H31" i="13"/>
  <c r="C31" i="13"/>
  <c r="AP30" i="13"/>
  <c r="AP29" i="13" s="1"/>
  <c r="AN30" i="13"/>
  <c r="AN29" i="13" s="1"/>
  <c r="AM30" i="13"/>
  <c r="AM29" i="13" s="1"/>
  <c r="AL30" i="13"/>
  <c r="AK30" i="13"/>
  <c r="AK29" i="13" s="1"/>
  <c r="AJ30" i="13"/>
  <c r="AI30" i="13"/>
  <c r="AH30" i="13"/>
  <c r="AG30" i="13"/>
  <c r="AF30" i="13"/>
  <c r="AF29" i="13" s="1"/>
  <c r="AE30" i="13"/>
  <c r="AD30" i="13"/>
  <c r="AC30" i="13"/>
  <c r="Z30" i="13"/>
  <c r="Y30" i="13"/>
  <c r="X30" i="13"/>
  <c r="W30" i="13"/>
  <c r="R30" i="13"/>
  <c r="P30" i="13"/>
  <c r="P29" i="13" s="1"/>
  <c r="O30" i="13"/>
  <c r="O29" i="13" s="1"/>
  <c r="N30" i="13"/>
  <c r="N29" i="13" s="1"/>
  <c r="M30" i="13"/>
  <c r="K30" i="13"/>
  <c r="J30" i="13"/>
  <c r="I30" i="13"/>
  <c r="I29" i="13" s="1"/>
  <c r="AE29" i="13"/>
  <c r="U29" i="13"/>
  <c r="T29" i="13"/>
  <c r="Q29" i="13"/>
  <c r="AB28" i="13"/>
  <c r="H28" i="13"/>
  <c r="H27" i="13" s="1"/>
  <c r="C28" i="13"/>
  <c r="AP27" i="13"/>
  <c r="AO27" i="13"/>
  <c r="AN27" i="13"/>
  <c r="AM27" i="13"/>
  <c r="AL27" i="13"/>
  <c r="AK27" i="13"/>
  <c r="AK8" i="13" s="1"/>
  <c r="AJ27" i="13"/>
  <c r="AI27" i="13"/>
  <c r="AH27" i="13"/>
  <c r="AG27" i="13"/>
  <c r="AF27" i="13"/>
  <c r="AE27" i="13"/>
  <c r="AD27" i="13"/>
  <c r="AC27" i="13"/>
  <c r="AB27" i="13"/>
  <c r="AA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D27" i="13"/>
  <c r="C27" i="13"/>
  <c r="X26" i="13"/>
  <c r="AB25" i="13"/>
  <c r="L25" i="13"/>
  <c r="H25" i="13"/>
  <c r="C25" i="13"/>
  <c r="AB24" i="13"/>
  <c r="L24" i="13"/>
  <c r="E24" i="13"/>
  <c r="C24" i="13"/>
  <c r="AQ23" i="13"/>
  <c r="AD22" i="13"/>
  <c r="AD21" i="13" s="1"/>
  <c r="AC22" i="13"/>
  <c r="AC21" i="13" s="1"/>
  <c r="AP21" i="13"/>
  <c r="AN21" i="13"/>
  <c r="AN26" i="13" s="1"/>
  <c r="AM21" i="13"/>
  <c r="AL21" i="13"/>
  <c r="AK21" i="13"/>
  <c r="AJ21" i="13"/>
  <c r="AI21" i="13"/>
  <c r="AH21" i="13"/>
  <c r="AG21" i="13"/>
  <c r="AF21" i="13"/>
  <c r="AE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K21" i="13"/>
  <c r="J21" i="13"/>
  <c r="I21" i="13"/>
  <c r="G21" i="13"/>
  <c r="F21" i="13"/>
  <c r="E21" i="13"/>
  <c r="D21" i="13"/>
  <c r="AB20" i="13"/>
  <c r="AQ20" i="13" s="1"/>
  <c r="L20" i="13"/>
  <c r="H20" i="13"/>
  <c r="AB19" i="13"/>
  <c r="L19" i="13"/>
  <c r="H19" i="13"/>
  <c r="AQ18" i="13"/>
  <c r="AB17" i="13"/>
  <c r="L17" i="13"/>
  <c r="H17" i="13"/>
  <c r="C17" i="13"/>
  <c r="AQ17" i="13" s="1"/>
  <c r="AB16" i="13"/>
  <c r="L16" i="13"/>
  <c r="L15" i="13" s="1"/>
  <c r="H16" i="13"/>
  <c r="H15" i="13" s="1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G15" i="13"/>
  <c r="F15" i="13"/>
  <c r="E15" i="13"/>
  <c r="D15" i="13"/>
  <c r="AB14" i="13"/>
  <c r="L14" i="13"/>
  <c r="H14" i="13"/>
  <c r="C14" i="13"/>
  <c r="AB13" i="13"/>
  <c r="L13" i="13"/>
  <c r="H13" i="13"/>
  <c r="C13" i="13"/>
  <c r="AQ13" i="13" s="1"/>
  <c r="AQ12" i="13"/>
  <c r="AB11" i="13"/>
  <c r="L11" i="13"/>
  <c r="L9" i="13" s="1"/>
  <c r="H11" i="13"/>
  <c r="C11" i="13"/>
  <c r="AB10" i="13"/>
  <c r="AB9" i="13" s="1"/>
  <c r="L10" i="13"/>
  <c r="H10" i="13"/>
  <c r="H9" i="13" s="1"/>
  <c r="C10" i="13"/>
  <c r="AP9" i="13"/>
  <c r="AO9" i="13"/>
  <c r="AN9" i="13"/>
  <c r="AM9" i="13"/>
  <c r="AL9" i="13"/>
  <c r="AK9" i="13"/>
  <c r="AJ9" i="13"/>
  <c r="AI9" i="13"/>
  <c r="AH9" i="13"/>
  <c r="AG9" i="13"/>
  <c r="AF9" i="13"/>
  <c r="AF26" i="13" s="1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K9" i="13"/>
  <c r="J9" i="13"/>
  <c r="I9" i="13"/>
  <c r="G9" i="13"/>
  <c r="F9" i="13"/>
  <c r="E9" i="13"/>
  <c r="D9" i="13"/>
  <c r="AJ8" i="13"/>
  <c r="AF8" i="13"/>
  <c r="T8" i="13"/>
  <c r="D8" i="13"/>
  <c r="AP7" i="13"/>
  <c r="AO7" i="13"/>
  <c r="AN7" i="13"/>
  <c r="AN8" i="13" s="1"/>
  <c r="AM7" i="13"/>
  <c r="AL7" i="13"/>
  <c r="AK7" i="13"/>
  <c r="AJ7" i="13"/>
  <c r="AI7" i="13"/>
  <c r="AI8" i="13" s="1"/>
  <c r="AH7" i="13"/>
  <c r="AG7" i="13"/>
  <c r="AG8" i="13" s="1"/>
  <c r="AF7" i="13"/>
  <c r="AE7" i="13"/>
  <c r="AE26" i="13" s="1"/>
  <c r="AE72" i="13" s="1"/>
  <c r="AD7" i="13"/>
  <c r="AC7" i="13"/>
  <c r="AA7" i="13"/>
  <c r="Z7" i="13"/>
  <c r="Y7" i="13"/>
  <c r="X7" i="13"/>
  <c r="W7" i="13"/>
  <c r="V7" i="13"/>
  <c r="U7" i="13"/>
  <c r="T7" i="13"/>
  <c r="S7" i="13"/>
  <c r="R7" i="13"/>
  <c r="Q7" i="13"/>
  <c r="P7" i="13"/>
  <c r="P26" i="13" s="1"/>
  <c r="O7" i="13"/>
  <c r="O26" i="13" s="1"/>
  <c r="N7" i="13"/>
  <c r="M7" i="13"/>
  <c r="M26" i="13" s="1"/>
  <c r="K7" i="13"/>
  <c r="J7" i="13"/>
  <c r="I7" i="13"/>
  <c r="I8" i="13" s="1"/>
  <c r="G7" i="13"/>
  <c r="F7" i="13"/>
  <c r="E7" i="13"/>
  <c r="D7" i="13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C4" i="13"/>
  <c r="AB3" i="13"/>
  <c r="L3" i="13"/>
  <c r="H3" i="13"/>
  <c r="C3" i="13"/>
  <c r="AB2" i="13"/>
  <c r="L2" i="13"/>
  <c r="H2" i="13"/>
  <c r="C2" i="13"/>
  <c r="AQ2" i="13" s="1"/>
  <c r="AB71" i="12"/>
  <c r="L71" i="12"/>
  <c r="H71" i="12"/>
  <c r="C71" i="12"/>
  <c r="AB70" i="12"/>
  <c r="L70" i="12"/>
  <c r="H70" i="12"/>
  <c r="C70" i="12"/>
  <c r="AB69" i="12"/>
  <c r="L69" i="12"/>
  <c r="H69" i="12"/>
  <c r="C69" i="12"/>
  <c r="AQ69" i="12" s="1"/>
  <c r="AB68" i="12"/>
  <c r="L68" i="12"/>
  <c r="H68" i="12"/>
  <c r="C68" i="12"/>
  <c r="AB67" i="12"/>
  <c r="L67" i="12"/>
  <c r="H67" i="12"/>
  <c r="C67" i="12"/>
  <c r="AB66" i="12"/>
  <c r="L66" i="12"/>
  <c r="H66" i="12"/>
  <c r="C66" i="12"/>
  <c r="AE65" i="12"/>
  <c r="AB65" i="12" s="1"/>
  <c r="V65" i="12"/>
  <c r="L65" i="12"/>
  <c r="H65" i="12"/>
  <c r="D65" i="12"/>
  <c r="C65" i="12" s="1"/>
  <c r="AB64" i="12"/>
  <c r="L64" i="12"/>
  <c r="H64" i="12"/>
  <c r="C64" i="12"/>
  <c r="AB63" i="12"/>
  <c r="L63" i="12"/>
  <c r="H63" i="12"/>
  <c r="C63" i="12"/>
  <c r="AB62" i="12"/>
  <c r="L62" i="12"/>
  <c r="H62" i="12"/>
  <c r="C62" i="12"/>
  <c r="AB61" i="12"/>
  <c r="L61" i="12"/>
  <c r="H61" i="12"/>
  <c r="C61" i="12"/>
  <c r="AQ61" i="12" s="1"/>
  <c r="AB60" i="12"/>
  <c r="L60" i="12"/>
  <c r="H60" i="12"/>
  <c r="C60" i="12"/>
  <c r="AQ60" i="12" s="1"/>
  <c r="AB59" i="12"/>
  <c r="L59" i="12"/>
  <c r="H59" i="12"/>
  <c r="C59" i="12"/>
  <c r="AP58" i="12"/>
  <c r="AN58" i="12"/>
  <c r="AJ58" i="12"/>
  <c r="AJ57" i="12" s="1"/>
  <c r="AI58" i="12"/>
  <c r="AH58" i="12"/>
  <c r="AG58" i="12"/>
  <c r="AG57" i="12" s="1"/>
  <c r="AE58" i="12"/>
  <c r="AD58" i="12"/>
  <c r="AD57" i="12" s="1"/>
  <c r="AC58" i="12"/>
  <c r="AC57" i="12" s="1"/>
  <c r="Z58" i="12"/>
  <c r="Z57" i="12" s="1"/>
  <c r="Y58" i="12"/>
  <c r="Y57" i="12" s="1"/>
  <c r="X58" i="12"/>
  <c r="X57" i="12" s="1"/>
  <c r="W58" i="12"/>
  <c r="W57" i="12" s="1"/>
  <c r="V58" i="12"/>
  <c r="V57" i="12" s="1"/>
  <c r="R58" i="12"/>
  <c r="P58" i="12"/>
  <c r="O58" i="12"/>
  <c r="N58" i="12"/>
  <c r="N57" i="12" s="1"/>
  <c r="M58" i="12"/>
  <c r="M57" i="12" s="1"/>
  <c r="K58" i="12"/>
  <c r="K57" i="12" s="1"/>
  <c r="J58" i="12"/>
  <c r="J57" i="12" s="1"/>
  <c r="I58" i="12"/>
  <c r="H58" i="12" s="1"/>
  <c r="H57" i="12" s="1"/>
  <c r="F58" i="12"/>
  <c r="F57" i="12" s="1"/>
  <c r="C58" i="12"/>
  <c r="AP57" i="12"/>
  <c r="AO57" i="12"/>
  <c r="AN57" i="12"/>
  <c r="AM57" i="12"/>
  <c r="AL57" i="12"/>
  <c r="AK57" i="12"/>
  <c r="AI57" i="12"/>
  <c r="AH57" i="12"/>
  <c r="AF57" i="12"/>
  <c r="AA57" i="12"/>
  <c r="U57" i="12"/>
  <c r="T57" i="12"/>
  <c r="S57" i="12"/>
  <c r="R57" i="12"/>
  <c r="Q57" i="12"/>
  <c r="P57" i="12"/>
  <c r="O57" i="12"/>
  <c r="I57" i="12"/>
  <c r="G57" i="12"/>
  <c r="E57" i="12"/>
  <c r="AB56" i="12"/>
  <c r="L56" i="12"/>
  <c r="H56" i="12"/>
  <c r="C56" i="12"/>
  <c r="AQ56" i="12" s="1"/>
  <c r="AB55" i="12"/>
  <c r="L55" i="12"/>
  <c r="H55" i="12"/>
  <c r="C55" i="12"/>
  <c r="AQ55" i="12" s="1"/>
  <c r="AB54" i="12"/>
  <c r="L54" i="12"/>
  <c r="H54" i="12"/>
  <c r="C54" i="12"/>
  <c r="AB53" i="12"/>
  <c r="L53" i="12"/>
  <c r="H53" i="12"/>
  <c r="C53" i="12"/>
  <c r="AB52" i="12"/>
  <c r="L52" i="12"/>
  <c r="H52" i="12"/>
  <c r="C52" i="12"/>
  <c r="AQ52" i="12" s="1"/>
  <c r="AB51" i="12"/>
  <c r="L51" i="12"/>
  <c r="H51" i="12"/>
  <c r="C51" i="12"/>
  <c r="AQ51" i="12" s="1"/>
  <c r="AB50" i="12"/>
  <c r="L50" i="12"/>
  <c r="H50" i="12"/>
  <c r="C50" i="12"/>
  <c r="AB49" i="12"/>
  <c r="L49" i="12"/>
  <c r="H49" i="12"/>
  <c r="C49" i="12"/>
  <c r="AB48" i="12"/>
  <c r="L48" i="12"/>
  <c r="H48" i="12"/>
  <c r="C48" i="12"/>
  <c r="AB47" i="12"/>
  <c r="L47" i="12"/>
  <c r="H47" i="12"/>
  <c r="C47" i="12"/>
  <c r="AQ47" i="12" s="1"/>
  <c r="AB46" i="12"/>
  <c r="L46" i="12"/>
  <c r="H46" i="12"/>
  <c r="C46" i="12"/>
  <c r="AP45" i="12"/>
  <c r="AO45" i="12"/>
  <c r="AO29" i="12" s="1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A45" i="12"/>
  <c r="Z45" i="12"/>
  <c r="Y45" i="12"/>
  <c r="X45" i="12"/>
  <c r="X29" i="12" s="1"/>
  <c r="W45" i="12"/>
  <c r="V45" i="12"/>
  <c r="U45" i="12"/>
  <c r="U29" i="12" s="1"/>
  <c r="T45" i="12"/>
  <c r="S45" i="12"/>
  <c r="S29" i="12" s="1"/>
  <c r="R45" i="12"/>
  <c r="Q45" i="12"/>
  <c r="Q29" i="12" s="1"/>
  <c r="P45" i="12"/>
  <c r="O45" i="12"/>
  <c r="N45" i="12"/>
  <c r="N29" i="12" s="1"/>
  <c r="M45" i="12"/>
  <c r="M29" i="12" s="1"/>
  <c r="K45" i="12"/>
  <c r="J45" i="12"/>
  <c r="I45" i="12"/>
  <c r="G45" i="12"/>
  <c r="F45" i="12"/>
  <c r="E45" i="12"/>
  <c r="D45" i="12"/>
  <c r="AB44" i="12"/>
  <c r="L44" i="12"/>
  <c r="H44" i="12"/>
  <c r="C44" i="12"/>
  <c r="AB43" i="12"/>
  <c r="L43" i="12"/>
  <c r="H43" i="12"/>
  <c r="C43" i="12"/>
  <c r="AQ43" i="12" s="1"/>
  <c r="AB42" i="12"/>
  <c r="L42" i="12"/>
  <c r="H42" i="12"/>
  <c r="C42" i="12"/>
  <c r="AB41" i="12"/>
  <c r="L41" i="12"/>
  <c r="H41" i="12"/>
  <c r="C41" i="12"/>
  <c r="AB40" i="12"/>
  <c r="L40" i="12"/>
  <c r="H40" i="12"/>
  <c r="C40" i="12"/>
  <c r="AB39" i="12"/>
  <c r="L39" i="12"/>
  <c r="AS184" i="15" s="1"/>
  <c r="H39" i="12"/>
  <c r="AQ39" i="12" s="1"/>
  <c r="C39" i="12"/>
  <c r="AR184" i="15" s="1"/>
  <c r="AB38" i="12"/>
  <c r="L38" i="12"/>
  <c r="AS180" i="15" s="1"/>
  <c r="H38" i="12"/>
  <c r="C38" i="12"/>
  <c r="AR180" i="15" s="1"/>
  <c r="AO180" i="15" s="1"/>
  <c r="AB37" i="12"/>
  <c r="L37" i="12"/>
  <c r="H37" i="12"/>
  <c r="C37" i="12"/>
  <c r="AB36" i="12"/>
  <c r="L36" i="12"/>
  <c r="AS181" i="15" s="1"/>
  <c r="H36" i="12"/>
  <c r="C36" i="12"/>
  <c r="AR181" i="15" s="1"/>
  <c r="AB35" i="12"/>
  <c r="L35" i="12"/>
  <c r="H35" i="12"/>
  <c r="H30" i="12" s="1"/>
  <c r="C35" i="12"/>
  <c r="AB34" i="12"/>
  <c r="L34" i="12"/>
  <c r="AS188" i="15" s="1"/>
  <c r="H34" i="12"/>
  <c r="C34" i="12"/>
  <c r="AB33" i="12"/>
  <c r="L33" i="12"/>
  <c r="H33" i="12"/>
  <c r="C33" i="12"/>
  <c r="AB32" i="12"/>
  <c r="L32" i="12"/>
  <c r="AS182" i="15" s="1"/>
  <c r="H32" i="12"/>
  <c r="C32" i="12"/>
  <c r="AB31" i="12"/>
  <c r="AB30" i="12" s="1"/>
  <c r="L31" i="12"/>
  <c r="AS186" i="15" s="1"/>
  <c r="H31" i="12"/>
  <c r="C31" i="12"/>
  <c r="AR186" i="15" s="1"/>
  <c r="AO186" i="15" s="1"/>
  <c r="AP30" i="12"/>
  <c r="AN30" i="12"/>
  <c r="AM30" i="12"/>
  <c r="AM29" i="12" s="1"/>
  <c r="AL30" i="12"/>
  <c r="AL29" i="12" s="1"/>
  <c r="AK30" i="12"/>
  <c r="AJ30" i="12"/>
  <c r="AI30" i="12"/>
  <c r="AH30" i="12"/>
  <c r="AG30" i="12"/>
  <c r="AF30" i="12"/>
  <c r="AE30" i="12"/>
  <c r="AD30" i="12"/>
  <c r="AC30" i="12"/>
  <c r="Z30" i="12"/>
  <c r="Y30" i="12"/>
  <c r="X30" i="12"/>
  <c r="W30" i="12"/>
  <c r="R30" i="12"/>
  <c r="P30" i="12"/>
  <c r="O30" i="12"/>
  <c r="O29" i="12" s="1"/>
  <c r="N30" i="12"/>
  <c r="M30" i="12"/>
  <c r="K30" i="12"/>
  <c r="J30" i="12"/>
  <c r="I30" i="12"/>
  <c r="I29" i="12" s="1"/>
  <c r="AK29" i="12"/>
  <c r="AI29" i="12"/>
  <c r="AD29" i="12"/>
  <c r="AC29" i="12"/>
  <c r="AA29" i="12"/>
  <c r="T29" i="12"/>
  <c r="K29" i="12"/>
  <c r="G29" i="12"/>
  <c r="F29" i="12"/>
  <c r="E29" i="12"/>
  <c r="D29" i="12"/>
  <c r="AB28" i="12"/>
  <c r="AB27" i="12" s="1"/>
  <c r="H28" i="12"/>
  <c r="C28" i="12"/>
  <c r="C27" i="12" s="1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A27" i="12"/>
  <c r="V27" i="12"/>
  <c r="U27" i="12"/>
  <c r="T27" i="12"/>
  <c r="S27" i="12"/>
  <c r="R27" i="12"/>
  <c r="Q27" i="12"/>
  <c r="P27" i="12"/>
  <c r="O27" i="12"/>
  <c r="N27" i="12"/>
  <c r="M27" i="12"/>
  <c r="K27" i="12"/>
  <c r="J27" i="12"/>
  <c r="I27" i="12"/>
  <c r="H27" i="12"/>
  <c r="G27" i="12"/>
  <c r="F27" i="12"/>
  <c r="E27" i="12"/>
  <c r="D27" i="12"/>
  <c r="AB25" i="12"/>
  <c r="L25" i="12"/>
  <c r="AS187" i="15" s="1"/>
  <c r="H25" i="12"/>
  <c r="C25" i="12"/>
  <c r="AR187" i="15" s="1"/>
  <c r="AB24" i="12"/>
  <c r="L24" i="12"/>
  <c r="E24" i="12"/>
  <c r="E21" i="12" s="1"/>
  <c r="AQ23" i="12"/>
  <c r="AD22" i="12"/>
  <c r="AC22" i="12"/>
  <c r="AB22" i="12" s="1"/>
  <c r="AP21" i="12"/>
  <c r="AN21" i="12"/>
  <c r="AM21" i="12"/>
  <c r="AL21" i="12"/>
  <c r="AK21" i="12"/>
  <c r="AJ21" i="12"/>
  <c r="AI21" i="12"/>
  <c r="AH21" i="12"/>
  <c r="AG21" i="12"/>
  <c r="AF21" i="12"/>
  <c r="AE21" i="12"/>
  <c r="AE26" i="12" s="1"/>
  <c r="AD21" i="12"/>
  <c r="AC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 s="1"/>
  <c r="K21" i="12"/>
  <c r="J21" i="12"/>
  <c r="H21" i="12" s="1"/>
  <c r="I21" i="12"/>
  <c r="G21" i="12"/>
  <c r="F21" i="12"/>
  <c r="D21" i="12"/>
  <c r="AB20" i="12"/>
  <c r="L20" i="12"/>
  <c r="H20" i="12"/>
  <c r="AQ20" i="12" s="1"/>
  <c r="AB19" i="12"/>
  <c r="L19" i="12"/>
  <c r="H19" i="12"/>
  <c r="AQ18" i="12"/>
  <c r="AB17" i="12"/>
  <c r="L17" i="12"/>
  <c r="AQ17" i="12" s="1"/>
  <c r="H17" i="12"/>
  <c r="C17" i="12"/>
  <c r="AB16" i="12"/>
  <c r="AB15" i="12" s="1"/>
  <c r="L16" i="12"/>
  <c r="H16" i="12"/>
  <c r="C16" i="12"/>
  <c r="C15" i="12" s="1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K15" i="12"/>
  <c r="J15" i="12"/>
  <c r="I15" i="12"/>
  <c r="G15" i="12"/>
  <c r="F15" i="12"/>
  <c r="E15" i="12"/>
  <c r="D15" i="12"/>
  <c r="AB14" i="12"/>
  <c r="L14" i="12"/>
  <c r="H14" i="12"/>
  <c r="C14" i="12"/>
  <c r="AQ14" i="12" s="1"/>
  <c r="AB13" i="12"/>
  <c r="AQ13" i="12" s="1"/>
  <c r="L13" i="12"/>
  <c r="H13" i="12"/>
  <c r="C13" i="12"/>
  <c r="AQ12" i="12"/>
  <c r="AB11" i="12"/>
  <c r="L11" i="12"/>
  <c r="H11" i="12"/>
  <c r="C11" i="12"/>
  <c r="AB10" i="12"/>
  <c r="L10" i="12"/>
  <c r="H10" i="12"/>
  <c r="C10" i="12"/>
  <c r="AQ10" i="12" s="1"/>
  <c r="AP9" i="12"/>
  <c r="AO9" i="12"/>
  <c r="AN9" i="12"/>
  <c r="AM9" i="12"/>
  <c r="AM26" i="12" s="1"/>
  <c r="AM72" i="12" s="1"/>
  <c r="AL9" i="12"/>
  <c r="AK9" i="12"/>
  <c r="AJ9" i="12"/>
  <c r="AI9" i="12"/>
  <c r="AH9" i="12"/>
  <c r="AG9" i="12"/>
  <c r="AF9" i="12"/>
  <c r="AE9" i="12"/>
  <c r="AD9" i="12"/>
  <c r="AC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K9" i="12"/>
  <c r="J9" i="12"/>
  <c r="I9" i="12"/>
  <c r="G9" i="12"/>
  <c r="F9" i="12"/>
  <c r="E9" i="12"/>
  <c r="D9" i="12"/>
  <c r="S8" i="12"/>
  <c r="K8" i="12"/>
  <c r="AP7" i="12"/>
  <c r="AP26" i="12" s="1"/>
  <c r="AO7" i="12"/>
  <c r="AO8" i="12" s="1"/>
  <c r="AN7" i="12"/>
  <c r="AN8" i="12" s="1"/>
  <c r="AM7" i="12"/>
  <c r="AL7" i="12"/>
  <c r="AL8" i="12" s="1"/>
  <c r="AK7" i="12"/>
  <c r="AJ7" i="12"/>
  <c r="AI7" i="12"/>
  <c r="AH7" i="12"/>
  <c r="AG7" i="12"/>
  <c r="AF7" i="12"/>
  <c r="AE7" i="12"/>
  <c r="AD7" i="12"/>
  <c r="AD8" i="12" s="1"/>
  <c r="AC7" i="12"/>
  <c r="AA7" i="12"/>
  <c r="AA26" i="12" s="1"/>
  <c r="AA72" i="12" s="1"/>
  <c r="Z7" i="12"/>
  <c r="Y7" i="12"/>
  <c r="X7" i="12"/>
  <c r="X26" i="12" s="1"/>
  <c r="W7" i="12"/>
  <c r="W8" i="12" s="1"/>
  <c r="V7" i="12"/>
  <c r="U7" i="12"/>
  <c r="U26" i="12" s="1"/>
  <c r="T7" i="12"/>
  <c r="S7" i="12"/>
  <c r="R7" i="12"/>
  <c r="Q7" i="12"/>
  <c r="Q8" i="12" s="1"/>
  <c r="P7" i="12"/>
  <c r="P8" i="12" s="1"/>
  <c r="O7" i="12"/>
  <c r="O8" i="12" s="1"/>
  <c r="N7" i="12"/>
  <c r="M7" i="12"/>
  <c r="K7" i="12"/>
  <c r="J7" i="12"/>
  <c r="J26" i="12" s="1"/>
  <c r="I7" i="12"/>
  <c r="I8" i="12" s="1"/>
  <c r="G7" i="12"/>
  <c r="G26" i="12" s="1"/>
  <c r="G72" i="12" s="1"/>
  <c r="F7" i="12"/>
  <c r="F26" i="12" s="1"/>
  <c r="F72" i="12" s="1"/>
  <c r="E7" i="12"/>
  <c r="D7" i="12"/>
  <c r="AB6" i="12"/>
  <c r="L6" i="12"/>
  <c r="H6" i="12"/>
  <c r="C6" i="12"/>
  <c r="AB5" i="12"/>
  <c r="L5" i="12"/>
  <c r="H5" i="12"/>
  <c r="C5" i="12"/>
  <c r="AB4" i="12"/>
  <c r="L4" i="12"/>
  <c r="H4" i="12"/>
  <c r="C4" i="12"/>
  <c r="AB3" i="12"/>
  <c r="L3" i="12"/>
  <c r="H3" i="12"/>
  <c r="C3" i="12"/>
  <c r="AB2" i="12"/>
  <c r="L2" i="12"/>
  <c r="H2" i="12"/>
  <c r="C2" i="12"/>
  <c r="V140" i="15" l="1"/>
  <c r="AA140" i="15"/>
  <c r="Z136" i="15"/>
  <c r="AE136" i="15"/>
  <c r="AO187" i="15"/>
  <c r="AO181" i="15"/>
  <c r="AE139" i="15"/>
  <c r="Z139" i="15"/>
  <c r="AD136" i="15"/>
  <c r="Y136" i="15"/>
  <c r="AB131" i="15"/>
  <c r="W131" i="15"/>
  <c r="AA128" i="15"/>
  <c r="V128" i="15"/>
  <c r="X124" i="15"/>
  <c r="AC124" i="15"/>
  <c r="W121" i="15"/>
  <c r="AB121" i="15"/>
  <c r="V118" i="15"/>
  <c r="AA118" i="15"/>
  <c r="Z114" i="15"/>
  <c r="AE114" i="15"/>
  <c r="X132" i="15"/>
  <c r="AC132" i="15"/>
  <c r="V131" i="15"/>
  <c r="AA131" i="15"/>
  <c r="Z127" i="15"/>
  <c r="AE127" i="15"/>
  <c r="W124" i="15"/>
  <c r="AB124" i="15"/>
  <c r="V121" i="15"/>
  <c r="AA121" i="15"/>
  <c r="Z117" i="15"/>
  <c r="AE117" i="15"/>
  <c r="Y114" i="15"/>
  <c r="AD114" i="15"/>
  <c r="Z133" i="15"/>
  <c r="AE133" i="15"/>
  <c r="W132" i="15"/>
  <c r="AB132" i="15"/>
  <c r="Z113" i="15"/>
  <c r="Y209" i="15"/>
  <c r="Z209" i="15" s="1"/>
  <c r="AE113" i="15"/>
  <c r="Y127" i="15"/>
  <c r="AD127" i="15"/>
  <c r="V124" i="15"/>
  <c r="AA124" i="15"/>
  <c r="Z120" i="15"/>
  <c r="AE120" i="15"/>
  <c r="Y117" i="15"/>
  <c r="AD117" i="15"/>
  <c r="X114" i="15"/>
  <c r="AC114" i="15"/>
  <c r="Y133" i="15"/>
  <c r="M86" i="16" s="1"/>
  <c r="AD133" i="15"/>
  <c r="V132" i="15"/>
  <c r="AA132" i="15"/>
  <c r="W214" i="15"/>
  <c r="X214" i="15" s="1"/>
  <c r="Y129" i="15"/>
  <c r="AD129" i="15"/>
  <c r="AD139" i="15"/>
  <c r="Y139" i="15"/>
  <c r="M101" i="16" s="1"/>
  <c r="AC139" i="15"/>
  <c r="X139" i="15"/>
  <c r="AB136" i="15"/>
  <c r="W136" i="15"/>
  <c r="Z130" i="15"/>
  <c r="AE130" i="15"/>
  <c r="Y113" i="15"/>
  <c r="W209" i="15"/>
  <c r="X209" i="15" s="1"/>
  <c r="AD113" i="15"/>
  <c r="AB139" i="15"/>
  <c r="W139" i="15"/>
  <c r="K101" i="16" s="1"/>
  <c r="AA136" i="15"/>
  <c r="V136" i="15"/>
  <c r="Y130" i="15"/>
  <c r="AD130" i="15"/>
  <c r="X127" i="15"/>
  <c r="AC127" i="15"/>
  <c r="AE123" i="15"/>
  <c r="Y212" i="15"/>
  <c r="Z212" i="15" s="1"/>
  <c r="Z123" i="15"/>
  <c r="AD120" i="15"/>
  <c r="Y120" i="15"/>
  <c r="X117" i="15"/>
  <c r="AC117" i="15"/>
  <c r="W114" i="15"/>
  <c r="AB114" i="15"/>
  <c r="X133" i="15"/>
  <c r="L86" i="16" s="1"/>
  <c r="AC133" i="15"/>
  <c r="V135" i="15"/>
  <c r="AA135" i="15"/>
  <c r="U209" i="15"/>
  <c r="V209" i="15" s="1"/>
  <c r="AC113" i="15"/>
  <c r="X113" i="15"/>
  <c r="V139" i="15"/>
  <c r="AA139" i="15"/>
  <c r="Z135" i="15"/>
  <c r="AE135" i="15"/>
  <c r="X130" i="15"/>
  <c r="AC130" i="15"/>
  <c r="W127" i="15"/>
  <c r="AB127" i="15"/>
  <c r="AD123" i="15"/>
  <c r="W212" i="15"/>
  <c r="X212" i="15" s="1"/>
  <c r="Y123" i="15"/>
  <c r="AC120" i="15"/>
  <c r="X120" i="15"/>
  <c r="AB117" i="15"/>
  <c r="W117" i="15"/>
  <c r="V114" i="15"/>
  <c r="AA114" i="15"/>
  <c r="AB133" i="15"/>
  <c r="W133" i="15"/>
  <c r="K86" i="16" s="1"/>
  <c r="AA133" i="15"/>
  <c r="V133" i="15"/>
  <c r="X141" i="15"/>
  <c r="AC141" i="15"/>
  <c r="AC136" i="15"/>
  <c r="X136" i="15"/>
  <c r="AB113" i="15"/>
  <c r="S209" i="15"/>
  <c r="T209" i="15" s="1"/>
  <c r="W113" i="15"/>
  <c r="Z138" i="15"/>
  <c r="AE138" i="15"/>
  <c r="Y135" i="15"/>
  <c r="AD135" i="15"/>
  <c r="W130" i="15"/>
  <c r="AB130" i="15"/>
  <c r="V127" i="15"/>
  <c r="AA127" i="15"/>
  <c r="AC123" i="15"/>
  <c r="U212" i="15"/>
  <c r="V212" i="15" s="1"/>
  <c r="X123" i="15"/>
  <c r="AB120" i="15"/>
  <c r="W120" i="15"/>
  <c r="AA117" i="15"/>
  <c r="V117" i="15"/>
  <c r="V113" i="15"/>
  <c r="AA113" i="15"/>
  <c r="Z141" i="15"/>
  <c r="AE141" i="15"/>
  <c r="Y138" i="15"/>
  <c r="M99" i="16" s="1"/>
  <c r="AD138" i="15"/>
  <c r="X135" i="15"/>
  <c r="AC135" i="15"/>
  <c r="V130" i="15"/>
  <c r="AA130" i="15"/>
  <c r="Y213" i="15"/>
  <c r="Z213" i="15" s="1"/>
  <c r="AE126" i="15"/>
  <c r="Z126" i="15"/>
  <c r="AB123" i="15"/>
  <c r="S212" i="15"/>
  <c r="T212" i="15" s="1"/>
  <c r="W123" i="15"/>
  <c r="AA120" i="15"/>
  <c r="V120" i="15"/>
  <c r="Z116" i="15"/>
  <c r="AE116" i="15"/>
  <c r="D12" i="8"/>
  <c r="C12" i="8"/>
  <c r="Y141" i="15"/>
  <c r="AD141" i="15"/>
  <c r="X138" i="15"/>
  <c r="AC138" i="15"/>
  <c r="W135" i="15"/>
  <c r="AB135" i="15"/>
  <c r="Y214" i="15"/>
  <c r="Z214" i="15" s="1"/>
  <c r="Z129" i="15"/>
  <c r="AE129" i="15"/>
  <c r="AD126" i="15"/>
  <c r="Y126" i="15"/>
  <c r="W213" i="15"/>
  <c r="X213" i="15" s="1"/>
  <c r="V123" i="15"/>
  <c r="AA123" i="15"/>
  <c r="Z119" i="15"/>
  <c r="N57" i="16" s="1"/>
  <c r="Y211" i="15"/>
  <c r="Z211" i="15" s="1"/>
  <c r="AE119" i="15"/>
  <c r="Y116" i="15"/>
  <c r="AD116" i="15"/>
  <c r="Z122" i="15"/>
  <c r="AE122" i="15"/>
  <c r="AB141" i="15"/>
  <c r="W141" i="15"/>
  <c r="V138" i="15"/>
  <c r="AA138" i="15"/>
  <c r="AD134" i="15"/>
  <c r="W215" i="15"/>
  <c r="X215" i="15" s="1"/>
  <c r="Y134" i="15"/>
  <c r="U214" i="15"/>
  <c r="V214" i="15" s="1"/>
  <c r="X129" i="15"/>
  <c r="AC129" i="15"/>
  <c r="Z125" i="15"/>
  <c r="AE125" i="15"/>
  <c r="Y122" i="15"/>
  <c r="AD122" i="15"/>
  <c r="X119" i="15"/>
  <c r="U211" i="15"/>
  <c r="V211" i="15" s="1"/>
  <c r="AC119" i="15"/>
  <c r="W116" i="15"/>
  <c r="AB116" i="15"/>
  <c r="W138" i="15"/>
  <c r="AB138" i="15"/>
  <c r="AA141" i="15"/>
  <c r="V141" i="15"/>
  <c r="Z137" i="15"/>
  <c r="Y216" i="15"/>
  <c r="Z216" i="15" s="1"/>
  <c r="AE137" i="15"/>
  <c r="U215" i="15"/>
  <c r="V215" i="15" s="1"/>
  <c r="X134" i="15"/>
  <c r="AC134" i="15"/>
  <c r="S214" i="15"/>
  <c r="T214" i="15" s="1"/>
  <c r="W129" i="15"/>
  <c r="AB129" i="15"/>
  <c r="Y125" i="15"/>
  <c r="AD125" i="15"/>
  <c r="X122" i="15"/>
  <c r="AC122" i="15"/>
  <c r="W119" i="15"/>
  <c r="S211" i="15"/>
  <c r="T211" i="15" s="1"/>
  <c r="AB119" i="15"/>
  <c r="V116" i="15"/>
  <c r="AA116" i="15"/>
  <c r="W126" i="15"/>
  <c r="S213" i="15"/>
  <c r="T213" i="15" s="1"/>
  <c r="AB126" i="15"/>
  <c r="Y217" i="15"/>
  <c r="Z217" i="15" s="1"/>
  <c r="Z140" i="15"/>
  <c r="AE140" i="15"/>
  <c r="Y137" i="15"/>
  <c r="W216" i="15"/>
  <c r="X216" i="15" s="1"/>
  <c r="AD137" i="15"/>
  <c r="S215" i="15"/>
  <c r="T215" i="15" s="1"/>
  <c r="W134" i="15"/>
  <c r="AB134" i="15"/>
  <c r="V129" i="15"/>
  <c r="AA129" i="15"/>
  <c r="X125" i="15"/>
  <c r="AC125" i="15"/>
  <c r="W122" i="15"/>
  <c r="AB122" i="15"/>
  <c r="V119" i="15"/>
  <c r="AA119" i="15"/>
  <c r="Y210" i="15"/>
  <c r="Z210" i="15" s="1"/>
  <c r="AE115" i="15"/>
  <c r="Z115" i="15"/>
  <c r="AA126" i="15"/>
  <c r="AE134" i="15"/>
  <c r="Y215" i="15"/>
  <c r="Z215" i="15" s="1"/>
  <c r="Z134" i="15"/>
  <c r="W217" i="15"/>
  <c r="X217" i="15" s="1"/>
  <c r="Y140" i="15"/>
  <c r="AD140" i="15"/>
  <c r="X137" i="15"/>
  <c r="U216" i="15"/>
  <c r="V216" i="15" s="1"/>
  <c r="AC137" i="15"/>
  <c r="V134" i="15"/>
  <c r="AA134" i="15"/>
  <c r="Z128" i="15"/>
  <c r="AE128" i="15"/>
  <c r="AB125" i="15"/>
  <c r="W125" i="15"/>
  <c r="V122" i="15"/>
  <c r="AA122" i="15"/>
  <c r="AE118" i="15"/>
  <c r="Z118" i="15"/>
  <c r="W210" i="15"/>
  <c r="X210" i="15" s="1"/>
  <c r="AD115" i="15"/>
  <c r="Y115" i="15"/>
  <c r="U213" i="15"/>
  <c r="V213" i="15" s="1"/>
  <c r="Y119" i="15"/>
  <c r="W211" i="15"/>
  <c r="X211" i="15" s="1"/>
  <c r="AD119" i="15"/>
  <c r="U217" i="15"/>
  <c r="V217" i="15" s="1"/>
  <c r="X140" i="15"/>
  <c r="AC140" i="15"/>
  <c r="W137" i="15"/>
  <c r="S216" i="15"/>
  <c r="T216" i="15" s="1"/>
  <c r="AB137" i="15"/>
  <c r="AE131" i="15"/>
  <c r="Z131" i="15"/>
  <c r="AD128" i="15"/>
  <c r="Y128" i="15"/>
  <c r="AA125" i="15"/>
  <c r="V125" i="15"/>
  <c r="Z121" i="15"/>
  <c r="AE121" i="15"/>
  <c r="AD118" i="15"/>
  <c r="Y118" i="15"/>
  <c r="U210" i="15"/>
  <c r="V210" i="15" s="1"/>
  <c r="AC115" i="15"/>
  <c r="X115" i="15"/>
  <c r="AC126" i="15"/>
  <c r="X116" i="15"/>
  <c r="AC116" i="15"/>
  <c r="AO184" i="15"/>
  <c r="W140" i="15"/>
  <c r="AB140" i="15"/>
  <c r="S217" i="15"/>
  <c r="T217" i="15" s="1"/>
  <c r="V137" i="15"/>
  <c r="AA137" i="15"/>
  <c r="AD131" i="15"/>
  <c r="Y131" i="15"/>
  <c r="AC128" i="15"/>
  <c r="X128" i="15"/>
  <c r="Z124" i="15"/>
  <c r="AE124" i="15"/>
  <c r="Y121" i="15"/>
  <c r="AD121" i="15"/>
  <c r="X118" i="15"/>
  <c r="AC118" i="15"/>
  <c r="S210" i="15"/>
  <c r="T210" i="15" s="1"/>
  <c r="AB115" i="15"/>
  <c r="W115" i="15"/>
  <c r="T201" i="15"/>
  <c r="Z132" i="15"/>
  <c r="AE132" i="15"/>
  <c r="AC131" i="15"/>
  <c r="X131" i="15"/>
  <c r="AB128" i="15"/>
  <c r="W128" i="15"/>
  <c r="Y124" i="15"/>
  <c r="AD124" i="15"/>
  <c r="X121" i="15"/>
  <c r="AC121" i="15"/>
  <c r="W118" i="15"/>
  <c r="AB118" i="15"/>
  <c r="V115" i="15"/>
  <c r="AA115" i="15"/>
  <c r="Y132" i="15"/>
  <c r="M85" i="16" s="1"/>
  <c r="AD132" i="15"/>
  <c r="AB21" i="14"/>
  <c r="AO22" i="14"/>
  <c r="AO21" i="14" s="1"/>
  <c r="AF72" i="13"/>
  <c r="D26" i="13"/>
  <c r="D72" i="13" s="1"/>
  <c r="N26" i="12"/>
  <c r="N72" i="12" s="1"/>
  <c r="N8" i="12"/>
  <c r="AQ54" i="13"/>
  <c r="AQ44" i="12"/>
  <c r="AQ63" i="13"/>
  <c r="G26" i="14"/>
  <c r="G72" i="14" s="1"/>
  <c r="AQ10" i="14"/>
  <c r="AQ39" i="14"/>
  <c r="AA8" i="12"/>
  <c r="AS185" i="15"/>
  <c r="AS189" i="15" s="1"/>
  <c r="AS190" i="15" s="1"/>
  <c r="AG29" i="14"/>
  <c r="AQ46" i="14"/>
  <c r="AF26" i="12"/>
  <c r="AQ33" i="12"/>
  <c r="AB45" i="12"/>
  <c r="Z29" i="14"/>
  <c r="AG8" i="12"/>
  <c r="AQ11" i="12"/>
  <c r="O26" i="12"/>
  <c r="O72" i="12" s="1"/>
  <c r="U26" i="13"/>
  <c r="U72" i="13" s="1"/>
  <c r="C30" i="13"/>
  <c r="AQ51" i="13"/>
  <c r="W26" i="14"/>
  <c r="W72" i="14" s="1"/>
  <c r="AE8" i="12"/>
  <c r="J29" i="12"/>
  <c r="AQ36" i="12"/>
  <c r="S8" i="13"/>
  <c r="AQ70" i="13"/>
  <c r="N29" i="14"/>
  <c r="AQ37" i="12"/>
  <c r="AQ47" i="13"/>
  <c r="AQ66" i="14"/>
  <c r="AF8" i="12"/>
  <c r="AJ29" i="12"/>
  <c r="AQ41" i="12"/>
  <c r="AQ49" i="12"/>
  <c r="L21" i="13"/>
  <c r="AQ36" i="13"/>
  <c r="H9" i="14"/>
  <c r="AQ59" i="14"/>
  <c r="AB7" i="12"/>
  <c r="AH26" i="12"/>
  <c r="AH8" i="12"/>
  <c r="L9" i="12"/>
  <c r="W26" i="12"/>
  <c r="L30" i="12"/>
  <c r="D57" i="12"/>
  <c r="AM26" i="13"/>
  <c r="AM72" i="13" s="1"/>
  <c r="AQ14" i="13"/>
  <c r="AQ67" i="13"/>
  <c r="AA8" i="14"/>
  <c r="G8" i="14"/>
  <c r="AD8" i="14"/>
  <c r="AD29" i="14"/>
  <c r="AQ63" i="14"/>
  <c r="AQ67" i="14"/>
  <c r="AQ71" i="14"/>
  <c r="AI26" i="12"/>
  <c r="AI72" i="12" s="1"/>
  <c r="E26" i="13"/>
  <c r="E72" i="13" s="1"/>
  <c r="H45" i="12"/>
  <c r="R26" i="12"/>
  <c r="W26" i="13"/>
  <c r="W72" i="13" s="1"/>
  <c r="AH29" i="13"/>
  <c r="N26" i="14"/>
  <c r="N72" i="14" s="1"/>
  <c r="AQ25" i="14"/>
  <c r="AJ26" i="12"/>
  <c r="AJ72" i="12" s="1"/>
  <c r="AQ34" i="12"/>
  <c r="AR188" i="15"/>
  <c r="AO188" i="15" s="1"/>
  <c r="Y29" i="12"/>
  <c r="AO8" i="13"/>
  <c r="AQ10" i="13"/>
  <c r="AG29" i="13"/>
  <c r="AQ48" i="13"/>
  <c r="M8" i="14"/>
  <c r="N129" i="15"/>
  <c r="AE29" i="12"/>
  <c r="C30" i="12"/>
  <c r="AR182" i="15"/>
  <c r="AO182" i="15" s="1"/>
  <c r="AD26" i="12"/>
  <c r="AD72" i="12" s="1"/>
  <c r="AQ2" i="12"/>
  <c r="AQ6" i="12"/>
  <c r="AI8" i="12"/>
  <c r="AD26" i="14"/>
  <c r="AQ51" i="14"/>
  <c r="H7" i="12"/>
  <c r="S26" i="12"/>
  <c r="S72" i="12" s="1"/>
  <c r="L15" i="12"/>
  <c r="AQ15" i="12" s="1"/>
  <c r="H15" i="12"/>
  <c r="P29" i="12"/>
  <c r="AP29" i="12"/>
  <c r="R29" i="13"/>
  <c r="AI29" i="13"/>
  <c r="AQ60" i="13"/>
  <c r="AQ64" i="13"/>
  <c r="AQ5" i="14"/>
  <c r="AQ20" i="14"/>
  <c r="L7" i="12"/>
  <c r="T26" i="12"/>
  <c r="T72" i="12" s="1"/>
  <c r="AK26" i="12"/>
  <c r="AK72" i="12" s="1"/>
  <c r="V29" i="12"/>
  <c r="R29" i="12"/>
  <c r="AN29" i="12"/>
  <c r="AQ38" i="12"/>
  <c r="AQ42" i="12"/>
  <c r="Z29" i="12"/>
  <c r="AQ46" i="12"/>
  <c r="AQ70" i="12"/>
  <c r="G26" i="13"/>
  <c r="G72" i="13" s="1"/>
  <c r="Y26" i="13"/>
  <c r="AP8" i="13"/>
  <c r="AQ37" i="13"/>
  <c r="AQ52" i="13"/>
  <c r="AQ56" i="13"/>
  <c r="AE26" i="14"/>
  <c r="AQ44" i="14"/>
  <c r="C15" i="13"/>
  <c r="AC21" i="14"/>
  <c r="U72" i="12"/>
  <c r="AP8" i="12"/>
  <c r="AQ50" i="12"/>
  <c r="P15" i="16"/>
  <c r="P31" i="16"/>
  <c r="P47" i="16"/>
  <c r="P63" i="16"/>
  <c r="P79" i="16"/>
  <c r="P95" i="16"/>
  <c r="P16" i="16"/>
  <c r="P32" i="16"/>
  <c r="P48" i="16"/>
  <c r="P64" i="16"/>
  <c r="P80" i="16"/>
  <c r="P96" i="16"/>
  <c r="P17" i="16"/>
  <c r="P33" i="16"/>
  <c r="P49" i="16"/>
  <c r="P65" i="16"/>
  <c r="P81" i="16"/>
  <c r="P97" i="16"/>
  <c r="P18" i="16"/>
  <c r="P34" i="16"/>
  <c r="P50" i="16"/>
  <c r="P66" i="16"/>
  <c r="P82" i="16"/>
  <c r="P98" i="16"/>
  <c r="P19" i="16"/>
  <c r="P35" i="16"/>
  <c r="P51" i="16"/>
  <c r="P83" i="16"/>
  <c r="P99" i="16"/>
  <c r="P20" i="16"/>
  <c r="P36" i="16"/>
  <c r="P52" i="16"/>
  <c r="P68" i="16"/>
  <c r="P84" i="16"/>
  <c r="P100" i="16"/>
  <c r="P21" i="16"/>
  <c r="P37" i="16"/>
  <c r="P53" i="16"/>
  <c r="P69" i="16"/>
  <c r="P85" i="16"/>
  <c r="P101" i="16"/>
  <c r="P22" i="16"/>
  <c r="P38" i="16"/>
  <c r="P54" i="16"/>
  <c r="P70" i="16"/>
  <c r="P86" i="16"/>
  <c r="P102" i="16"/>
  <c r="P7" i="16"/>
  <c r="P23" i="16"/>
  <c r="P39" i="16"/>
  <c r="P55" i="16"/>
  <c r="P71" i="16"/>
  <c r="P87" i="16"/>
  <c r="P103" i="16"/>
  <c r="P24" i="16"/>
  <c r="P40" i="16"/>
  <c r="P56" i="16"/>
  <c r="P72" i="16"/>
  <c r="P88" i="16"/>
  <c r="P104" i="16"/>
  <c r="P9" i="16"/>
  <c r="P25" i="16"/>
  <c r="P41" i="16"/>
  <c r="P57" i="16"/>
  <c r="P73" i="16"/>
  <c r="P89" i="16"/>
  <c r="P105" i="16"/>
  <c r="P10" i="16"/>
  <c r="P26" i="16"/>
  <c r="P42" i="16"/>
  <c r="P58" i="16"/>
  <c r="P74" i="16"/>
  <c r="P90" i="16"/>
  <c r="P106" i="16"/>
  <c r="P11" i="16"/>
  <c r="P27" i="16"/>
  <c r="P43" i="16"/>
  <c r="P59" i="16"/>
  <c r="P75" i="16"/>
  <c r="P91" i="16"/>
  <c r="P107" i="16"/>
  <c r="P12" i="16"/>
  <c r="P28" i="16"/>
  <c r="P44" i="16"/>
  <c r="P60" i="16"/>
  <c r="P76" i="16"/>
  <c r="P92" i="16"/>
  <c r="P108" i="16"/>
  <c r="P13" i="16"/>
  <c r="P29" i="16"/>
  <c r="P45" i="16"/>
  <c r="P61" i="16"/>
  <c r="P77" i="16"/>
  <c r="P93" i="16"/>
  <c r="P109" i="16"/>
  <c r="P14" i="16"/>
  <c r="P30" i="16"/>
  <c r="P46" i="16"/>
  <c r="P62" i="16"/>
  <c r="P78" i="16"/>
  <c r="P94" i="16"/>
  <c r="P6" i="16"/>
  <c r="AP72" i="12"/>
  <c r="H21" i="14"/>
  <c r="R8" i="13"/>
  <c r="AL26" i="12"/>
  <c r="AL72" i="12" s="1"/>
  <c r="W29" i="12"/>
  <c r="AQ54" i="12"/>
  <c r="O26" i="14"/>
  <c r="W8" i="14"/>
  <c r="H15" i="14"/>
  <c r="AB45" i="14"/>
  <c r="AQ68" i="14"/>
  <c r="C7" i="12"/>
  <c r="D26" i="12"/>
  <c r="D72" i="12" s="1"/>
  <c r="V26" i="12"/>
  <c r="V72" i="12" s="1"/>
  <c r="AM8" i="12"/>
  <c r="C9" i="12"/>
  <c r="V8" i="12"/>
  <c r="L45" i="12"/>
  <c r="AQ59" i="12"/>
  <c r="AQ63" i="12"/>
  <c r="AQ4" i="13"/>
  <c r="J8" i="13"/>
  <c r="AA8" i="13"/>
  <c r="M8" i="13"/>
  <c r="AJ29" i="13"/>
  <c r="AL29" i="13"/>
  <c r="V57" i="13"/>
  <c r="AI29" i="14"/>
  <c r="AQ33" i="14"/>
  <c r="AJ29" i="14"/>
  <c r="AQ48" i="14"/>
  <c r="C8" i="14"/>
  <c r="M26" i="12"/>
  <c r="M72" i="12" s="1"/>
  <c r="AN26" i="12"/>
  <c r="F8" i="12"/>
  <c r="AQ35" i="12"/>
  <c r="AQ67" i="12"/>
  <c r="P8" i="13"/>
  <c r="AB30" i="13"/>
  <c r="H58" i="13"/>
  <c r="H57" i="13" s="1"/>
  <c r="AQ61" i="13"/>
  <c r="AQ2" i="14"/>
  <c r="AQ6" i="14"/>
  <c r="AH8" i="14"/>
  <c r="M29" i="14"/>
  <c r="N140" i="15"/>
  <c r="AQ41" i="14"/>
  <c r="D29" i="14"/>
  <c r="AM186" i="15"/>
  <c r="G8" i="12"/>
  <c r="AQ4" i="12"/>
  <c r="Z26" i="12"/>
  <c r="J8" i="12"/>
  <c r="AQ31" i="12"/>
  <c r="AG29" i="12"/>
  <c r="O72" i="13"/>
  <c r="AK8" i="14"/>
  <c r="AL26" i="14"/>
  <c r="AL72" i="14" s="1"/>
  <c r="AQ13" i="14"/>
  <c r="R8" i="14"/>
  <c r="AN29" i="14"/>
  <c r="AQ49" i="14"/>
  <c r="K26" i="12"/>
  <c r="K72" i="12" s="1"/>
  <c r="AC26" i="12"/>
  <c r="AC72" i="12" s="1"/>
  <c r="R8" i="12"/>
  <c r="H9" i="12"/>
  <c r="AQ19" i="12"/>
  <c r="AQ25" i="12"/>
  <c r="AF29" i="12"/>
  <c r="AQ40" i="12"/>
  <c r="AR185" i="15"/>
  <c r="AO185" i="15" s="1"/>
  <c r="AQ68" i="12"/>
  <c r="C7" i="13"/>
  <c r="Q8" i="13"/>
  <c r="AH8" i="13"/>
  <c r="T26" i="13"/>
  <c r="T72" i="13" s="1"/>
  <c r="AJ26" i="13"/>
  <c r="AJ72" i="13" s="1"/>
  <c r="AB22" i="13"/>
  <c r="D8" i="14"/>
  <c r="AM26" i="14"/>
  <c r="AM72" i="14" s="1"/>
  <c r="F26" i="14"/>
  <c r="AQ42" i="14"/>
  <c r="H45" i="14"/>
  <c r="D57" i="14"/>
  <c r="J72" i="12"/>
  <c r="AB9" i="12"/>
  <c r="AH29" i="12"/>
  <c r="AN6" i="16"/>
  <c r="AO6" i="16" s="1"/>
  <c r="AP6" i="16" s="1"/>
  <c r="U196" i="15"/>
  <c r="I8" i="10" s="1"/>
  <c r="T196" i="15"/>
  <c r="I7" i="10" s="1"/>
  <c r="W199" i="15"/>
  <c r="I25" i="10" s="1"/>
  <c r="W200" i="15"/>
  <c r="I30" i="10" s="1"/>
  <c r="V199" i="15"/>
  <c r="I24" i="10" s="1"/>
  <c r="W201" i="15"/>
  <c r="I35" i="10" s="1"/>
  <c r="V200" i="15"/>
  <c r="I29" i="10" s="1"/>
  <c r="U199" i="15"/>
  <c r="I23" i="10" s="1"/>
  <c r="W202" i="15"/>
  <c r="I40" i="10" s="1"/>
  <c r="V201" i="15"/>
  <c r="I34" i="10" s="1"/>
  <c r="U200" i="15"/>
  <c r="I28" i="10" s="1"/>
  <c r="T199" i="15"/>
  <c r="I22" i="10" s="1"/>
  <c r="V202" i="15"/>
  <c r="I39" i="10" s="1"/>
  <c r="U201" i="15"/>
  <c r="I33" i="10" s="1"/>
  <c r="T200" i="15"/>
  <c r="I27" i="10" s="1"/>
  <c r="S199" i="15"/>
  <c r="W198" i="15"/>
  <c r="I20" i="10" s="1"/>
  <c r="W203" i="15"/>
  <c r="U202" i="15"/>
  <c r="I38" i="10" s="1"/>
  <c r="I32" i="10"/>
  <c r="S200" i="15"/>
  <c r="V198" i="15"/>
  <c r="I19" i="10" s="1"/>
  <c r="W204" i="15"/>
  <c r="I45" i="10" s="1"/>
  <c r="V203" i="15"/>
  <c r="T202" i="15"/>
  <c r="I37" i="10" s="1"/>
  <c r="S201" i="15"/>
  <c r="U198" i="15"/>
  <c r="I18" i="10" s="1"/>
  <c r="V204" i="15"/>
  <c r="I44" i="10" s="1"/>
  <c r="T198" i="15"/>
  <c r="I17" i="10" s="1"/>
  <c r="U204" i="15"/>
  <c r="I43" i="10" s="1"/>
  <c r="T203" i="15"/>
  <c r="S198" i="15"/>
  <c r="W197" i="15"/>
  <c r="I15" i="10" s="1"/>
  <c r="K80" i="16"/>
  <c r="T204" i="15"/>
  <c r="I42" i="10" s="1"/>
  <c r="S203" i="15"/>
  <c r="V197" i="15"/>
  <c r="I14" i="10" s="1"/>
  <c r="U203" i="15"/>
  <c r="N139" i="15"/>
  <c r="N124" i="15"/>
  <c r="S204" i="15"/>
  <c r="U197" i="15"/>
  <c r="I13" i="10" s="1"/>
  <c r="D142" i="15"/>
  <c r="D143" i="15" s="1"/>
  <c r="S202" i="15"/>
  <c r="F142" i="15"/>
  <c r="F143" i="15" s="1"/>
  <c r="N130" i="15"/>
  <c r="T197" i="15"/>
  <c r="I12" i="10" s="1"/>
  <c r="S196" i="15"/>
  <c r="S197" i="15"/>
  <c r="W196" i="15"/>
  <c r="I10" i="10" s="1"/>
  <c r="N138" i="15"/>
  <c r="V196" i="15"/>
  <c r="I9" i="10" s="1"/>
  <c r="AM187" i="15"/>
  <c r="AM183" i="15"/>
  <c r="AM182" i="15"/>
  <c r="O118" i="15"/>
  <c r="F18" i="16"/>
  <c r="AM181" i="15"/>
  <c r="O130" i="15"/>
  <c r="F17" i="16"/>
  <c r="K66" i="16"/>
  <c r="K69" i="16"/>
  <c r="K73" i="16"/>
  <c r="K71" i="16"/>
  <c r="N23" i="16"/>
  <c r="N27" i="16"/>
  <c r="N31" i="16"/>
  <c r="N17" i="16"/>
  <c r="N20" i="16"/>
  <c r="O129" i="15"/>
  <c r="F16" i="16"/>
  <c r="N37" i="16"/>
  <c r="AM188" i="15"/>
  <c r="AM184" i="15"/>
  <c r="L37" i="16"/>
  <c r="L41" i="16"/>
  <c r="L45" i="16"/>
  <c r="L49" i="16"/>
  <c r="L53" i="16"/>
  <c r="L57" i="16"/>
  <c r="O136" i="15"/>
  <c r="F59" i="16"/>
  <c r="AM185" i="15"/>
  <c r="O139" i="15"/>
  <c r="F60" i="16"/>
  <c r="O123" i="15"/>
  <c r="F6" i="16"/>
  <c r="N137" i="15"/>
  <c r="AM180" i="15"/>
  <c r="N80" i="16"/>
  <c r="N85" i="16"/>
  <c r="O114" i="15"/>
  <c r="F7" i="16"/>
  <c r="M80" i="16"/>
  <c r="L80" i="16"/>
  <c r="L85" i="16"/>
  <c r="L100" i="16"/>
  <c r="N113" i="15"/>
  <c r="N133" i="15"/>
  <c r="N132" i="15"/>
  <c r="P142" i="15"/>
  <c r="Q142" i="15"/>
  <c r="R142" i="15"/>
  <c r="N120" i="15"/>
  <c r="N122" i="15"/>
  <c r="K100" i="16"/>
  <c r="O132" i="15"/>
  <c r="O207" i="15"/>
  <c r="O203" i="15"/>
  <c r="O199" i="15"/>
  <c r="O195" i="15"/>
  <c r="AE163" i="15" s="1"/>
  <c r="O191" i="15"/>
  <c r="O187" i="15"/>
  <c r="O183" i="15"/>
  <c r="O133" i="15"/>
  <c r="S142" i="15"/>
  <c r="I179" i="15"/>
  <c r="J188" i="15"/>
  <c r="M100" i="16"/>
  <c r="H205" i="15"/>
  <c r="H201" i="15"/>
  <c r="H197" i="15"/>
  <c r="H193" i="15"/>
  <c r="H189" i="15"/>
  <c r="X157" i="15" s="1"/>
  <c r="H185" i="15"/>
  <c r="H181" i="15"/>
  <c r="N101" i="16"/>
  <c r="N136" i="15"/>
  <c r="N195" i="15"/>
  <c r="AD163" i="15" s="1"/>
  <c r="H142" i="15"/>
  <c r="H143" i="15" s="1"/>
  <c r="L101" i="16"/>
  <c r="N127" i="15"/>
  <c r="N118" i="15"/>
  <c r="N114" i="15"/>
  <c r="E142" i="15"/>
  <c r="E143" i="15" s="1"/>
  <c r="N119" i="15"/>
  <c r="L99" i="16"/>
  <c r="K99" i="16"/>
  <c r="J204" i="15"/>
  <c r="J200" i="15"/>
  <c r="J196" i="15"/>
  <c r="Z164" i="15" s="1"/>
  <c r="J192" i="15"/>
  <c r="J184" i="15"/>
  <c r="Z152" i="15" s="1"/>
  <c r="J180" i="15"/>
  <c r="Z148" i="15" s="1"/>
  <c r="N100" i="16"/>
  <c r="K142" i="15"/>
  <c r="K143" i="15" s="1"/>
  <c r="G197" i="15"/>
  <c r="G185" i="15"/>
  <c r="F205" i="15"/>
  <c r="F193" i="15"/>
  <c r="F203" i="15"/>
  <c r="F195" i="15"/>
  <c r="V163" i="15" s="1"/>
  <c r="F187" i="15"/>
  <c r="F183" i="15"/>
  <c r="N135" i="15"/>
  <c r="N117" i="15"/>
  <c r="O128" i="15"/>
  <c r="M142" i="15"/>
  <c r="M143" i="15" s="1"/>
  <c r="N134" i="15"/>
  <c r="N116" i="15"/>
  <c r="O127" i="15"/>
  <c r="L179" i="15"/>
  <c r="O206" i="15"/>
  <c r="K205" i="15"/>
  <c r="G204" i="15"/>
  <c r="O202" i="15"/>
  <c r="K201" i="15"/>
  <c r="G200" i="15"/>
  <c r="O198" i="15"/>
  <c r="K197" i="15"/>
  <c r="G196" i="15"/>
  <c r="W164" i="15" s="1"/>
  <c r="O194" i="15"/>
  <c r="K193" i="15"/>
  <c r="G192" i="15"/>
  <c r="O190" i="15"/>
  <c r="K189" i="15"/>
  <c r="AA157" i="15" s="1"/>
  <c r="G188" i="15"/>
  <c r="O186" i="15"/>
  <c r="K185" i="15"/>
  <c r="G184" i="15"/>
  <c r="O182" i="15"/>
  <c r="K181" i="15"/>
  <c r="G180" i="15"/>
  <c r="W148" i="15" s="1"/>
  <c r="L142" i="15"/>
  <c r="L143" i="15" s="1"/>
  <c r="N131" i="15"/>
  <c r="N115" i="15"/>
  <c r="O126" i="15"/>
  <c r="O125" i="15"/>
  <c r="I142" i="15"/>
  <c r="I143" i="15" s="1"/>
  <c r="O113" i="15"/>
  <c r="O124" i="15"/>
  <c r="N128" i="15"/>
  <c r="O141" i="15"/>
  <c r="G201" i="15"/>
  <c r="G142" i="15"/>
  <c r="G143" i="15" s="1"/>
  <c r="O140" i="15"/>
  <c r="O122" i="15"/>
  <c r="N99" i="16"/>
  <c r="F201" i="15"/>
  <c r="F189" i="15"/>
  <c r="V157" i="15" s="1"/>
  <c r="F185" i="15"/>
  <c r="F181" i="15"/>
  <c r="N126" i="15"/>
  <c r="O121" i="15"/>
  <c r="G189" i="15"/>
  <c r="W157" i="15" s="1"/>
  <c r="N191" i="15"/>
  <c r="N183" i="15"/>
  <c r="M207" i="15"/>
  <c r="I206" i="15"/>
  <c r="M203" i="15"/>
  <c r="I202" i="15"/>
  <c r="M199" i="15"/>
  <c r="I198" i="15"/>
  <c r="M195" i="15"/>
  <c r="AC163" i="15" s="1"/>
  <c r="I194" i="15"/>
  <c r="M191" i="15"/>
  <c r="I190" i="15"/>
  <c r="M187" i="15"/>
  <c r="I186" i="15"/>
  <c r="M183" i="15"/>
  <c r="I182" i="15"/>
  <c r="N125" i="15"/>
  <c r="O138" i="15"/>
  <c r="O120" i="15"/>
  <c r="G205" i="15"/>
  <c r="N199" i="15"/>
  <c r="O137" i="15"/>
  <c r="O119" i="15"/>
  <c r="N187" i="15"/>
  <c r="O180" i="15"/>
  <c r="AE148" i="15" s="1"/>
  <c r="N141" i="15"/>
  <c r="N123" i="15"/>
  <c r="F197" i="15"/>
  <c r="O135" i="15"/>
  <c r="O117" i="15"/>
  <c r="N203" i="15"/>
  <c r="N180" i="15"/>
  <c r="AD148" i="15" s="1"/>
  <c r="M180" i="15"/>
  <c r="AC148" i="15" s="1"/>
  <c r="N121" i="15"/>
  <c r="O134" i="15"/>
  <c r="O116" i="15"/>
  <c r="AE150" i="15" s="1"/>
  <c r="G193" i="15"/>
  <c r="G181" i="15"/>
  <c r="N207" i="15"/>
  <c r="H203" i="15"/>
  <c r="H199" i="15"/>
  <c r="L196" i="15"/>
  <c r="AB164" i="15" s="1"/>
  <c r="H195" i="15"/>
  <c r="X163" i="15" s="1"/>
  <c r="L192" i="15"/>
  <c r="H191" i="15"/>
  <c r="L188" i="15"/>
  <c r="H187" i="15"/>
  <c r="L184" i="15"/>
  <c r="H183" i="15"/>
  <c r="L180" i="15"/>
  <c r="AB148" i="15" s="1"/>
  <c r="O131" i="15"/>
  <c r="O115" i="15"/>
  <c r="L204" i="15"/>
  <c r="L200" i="15"/>
  <c r="K180" i="15"/>
  <c r="AA148" i="15" s="1"/>
  <c r="F207" i="15"/>
  <c r="F199" i="15"/>
  <c r="F191" i="15"/>
  <c r="J142" i="15"/>
  <c r="J143" i="15" s="1"/>
  <c r="N198" i="15"/>
  <c r="F196" i="15"/>
  <c r="V164" i="15" s="1"/>
  <c r="N182" i="15"/>
  <c r="J181" i="15"/>
  <c r="F180" i="15"/>
  <c r="V148" i="15" s="1"/>
  <c r="N179" i="15"/>
  <c r="M206" i="15"/>
  <c r="I205" i="15"/>
  <c r="Y173" i="15" s="1"/>
  <c r="E204" i="15"/>
  <c r="M202" i="15"/>
  <c r="I201" i="15"/>
  <c r="E200" i="15"/>
  <c r="M198" i="15"/>
  <c r="I197" i="15"/>
  <c r="E196" i="15"/>
  <c r="U164" i="15" s="1"/>
  <c r="M194" i="15"/>
  <c r="I193" i="15"/>
  <c r="E192" i="15"/>
  <c r="M190" i="15"/>
  <c r="I189" i="15"/>
  <c r="Y157" i="15" s="1"/>
  <c r="E188" i="15"/>
  <c r="M186" i="15"/>
  <c r="I185" i="15"/>
  <c r="E184" i="15"/>
  <c r="U152" i="15" s="1"/>
  <c r="M182" i="15"/>
  <c r="I181" i="15"/>
  <c r="E180" i="15"/>
  <c r="U148" i="15" s="1"/>
  <c r="N190" i="15"/>
  <c r="L206" i="15"/>
  <c r="D204" i="15"/>
  <c r="L202" i="15"/>
  <c r="D200" i="15"/>
  <c r="L198" i="15"/>
  <c r="D196" i="15"/>
  <c r="T164" i="15" s="1"/>
  <c r="L194" i="15"/>
  <c r="D192" i="15"/>
  <c r="L190" i="15"/>
  <c r="D188" i="15"/>
  <c r="L186" i="15"/>
  <c r="D184" i="15"/>
  <c r="T152" i="15" s="1"/>
  <c r="L182" i="15"/>
  <c r="D180" i="15"/>
  <c r="J189" i="15"/>
  <c r="Z157" i="15" s="1"/>
  <c r="N186" i="15"/>
  <c r="J193" i="15"/>
  <c r="E205" i="15"/>
  <c r="E201" i="15"/>
  <c r="E197" i="15"/>
  <c r="E193" i="15"/>
  <c r="U161" i="15" s="1"/>
  <c r="E189" i="15"/>
  <c r="U157" i="15" s="1"/>
  <c r="E185" i="15"/>
  <c r="E181" i="15"/>
  <c r="N206" i="15"/>
  <c r="F192" i="15"/>
  <c r="L207" i="15"/>
  <c r="H206" i="15"/>
  <c r="D205" i="15"/>
  <c r="L203" i="15"/>
  <c r="H202" i="15"/>
  <c r="D201" i="15"/>
  <c r="L199" i="15"/>
  <c r="H198" i="15"/>
  <c r="D197" i="15"/>
  <c r="L195" i="15"/>
  <c r="AB163" i="15" s="1"/>
  <c r="H194" i="15"/>
  <c r="X162" i="15" s="1"/>
  <c r="D193" i="15"/>
  <c r="L191" i="15"/>
  <c r="H190" i="15"/>
  <c r="D189" i="15"/>
  <c r="T157" i="15" s="1"/>
  <c r="L187" i="15"/>
  <c r="H186" i="15"/>
  <c r="D185" i="15"/>
  <c r="L183" i="15"/>
  <c r="H182" i="15"/>
  <c r="D181" i="15"/>
  <c r="M179" i="15"/>
  <c r="F184" i="15"/>
  <c r="D179" i="15"/>
  <c r="K207" i="15"/>
  <c r="G206" i="15"/>
  <c r="O204" i="15"/>
  <c r="K203" i="15"/>
  <c r="G202" i="15"/>
  <c r="O200" i="15"/>
  <c r="K199" i="15"/>
  <c r="G198" i="15"/>
  <c r="W166" i="15" s="1"/>
  <c r="O196" i="15"/>
  <c r="AE164" i="15" s="1"/>
  <c r="K195" i="15"/>
  <c r="AA163" i="15" s="1"/>
  <c r="G194" i="15"/>
  <c r="O192" i="15"/>
  <c r="K191" i="15"/>
  <c r="G190" i="15"/>
  <c r="O188" i="15"/>
  <c r="K187" i="15"/>
  <c r="G186" i="15"/>
  <c r="O184" i="15"/>
  <c r="K183" i="15"/>
  <c r="G182" i="15"/>
  <c r="J197" i="15"/>
  <c r="O179" i="15"/>
  <c r="E179" i="15"/>
  <c r="J207" i="15"/>
  <c r="F206" i="15"/>
  <c r="N204" i="15"/>
  <c r="J203" i="15"/>
  <c r="F202" i="15"/>
  <c r="N200" i="15"/>
  <c r="J199" i="15"/>
  <c r="F198" i="15"/>
  <c r="N196" i="15"/>
  <c r="AD164" i="15" s="1"/>
  <c r="J195" i="15"/>
  <c r="Z163" i="15" s="1"/>
  <c r="F194" i="15"/>
  <c r="N192" i="15"/>
  <c r="J191" i="15"/>
  <c r="F190" i="15"/>
  <c r="N188" i="15"/>
  <c r="J187" i="15"/>
  <c r="F186" i="15"/>
  <c r="N184" i="15"/>
  <c r="AD152" i="15" s="1"/>
  <c r="J183" i="15"/>
  <c r="F182" i="15"/>
  <c r="F200" i="15"/>
  <c r="J185" i="15"/>
  <c r="F179" i="15"/>
  <c r="I207" i="15"/>
  <c r="E206" i="15"/>
  <c r="M204" i="15"/>
  <c r="I203" i="15"/>
  <c r="E202" i="15"/>
  <c r="M200" i="15"/>
  <c r="I199" i="15"/>
  <c r="E198" i="15"/>
  <c r="U166" i="15" s="1"/>
  <c r="M196" i="15"/>
  <c r="AC164" i="15" s="1"/>
  <c r="I195" i="15"/>
  <c r="Y163" i="15" s="1"/>
  <c r="E194" i="15"/>
  <c r="M192" i="15"/>
  <c r="I191" i="15"/>
  <c r="E190" i="15"/>
  <c r="M188" i="15"/>
  <c r="I187" i="15"/>
  <c r="E186" i="15"/>
  <c r="M184" i="15"/>
  <c r="I183" i="15"/>
  <c r="E182" i="15"/>
  <c r="N194" i="15"/>
  <c r="AD162" i="15" s="1"/>
  <c r="G179" i="15"/>
  <c r="D206" i="15"/>
  <c r="D202" i="15"/>
  <c r="T170" i="15" s="1"/>
  <c r="D198" i="15"/>
  <c r="D194" i="15"/>
  <c r="D190" i="15"/>
  <c r="D186" i="15"/>
  <c r="D182" i="15"/>
  <c r="J201" i="15"/>
  <c r="F188" i="15"/>
  <c r="H207" i="15"/>
  <c r="H179" i="15"/>
  <c r="G207" i="15"/>
  <c r="O205" i="15"/>
  <c r="K204" i="15"/>
  <c r="G203" i="15"/>
  <c r="O201" i="15"/>
  <c r="K200" i="15"/>
  <c r="G199" i="15"/>
  <c r="O197" i="15"/>
  <c r="K196" i="15"/>
  <c r="AA164" i="15" s="1"/>
  <c r="G195" i="15"/>
  <c r="W163" i="15" s="1"/>
  <c r="O193" i="15"/>
  <c r="K192" i="15"/>
  <c r="G191" i="15"/>
  <c r="O189" i="15"/>
  <c r="AE157" i="15" s="1"/>
  <c r="K188" i="15"/>
  <c r="G187" i="15"/>
  <c r="O185" i="15"/>
  <c r="K184" i="15"/>
  <c r="G183" i="15"/>
  <c r="O181" i="15"/>
  <c r="N202" i="15"/>
  <c r="N205" i="15"/>
  <c r="N201" i="15"/>
  <c r="N197" i="15"/>
  <c r="N193" i="15"/>
  <c r="N189" i="15"/>
  <c r="AD157" i="15" s="1"/>
  <c r="N185" i="15"/>
  <c r="N181" i="15"/>
  <c r="J205" i="15"/>
  <c r="J179" i="15"/>
  <c r="E207" i="15"/>
  <c r="M205" i="15"/>
  <c r="I204" i="15"/>
  <c r="E203" i="15"/>
  <c r="M201" i="15"/>
  <c r="I200" i="15"/>
  <c r="E199" i="15"/>
  <c r="M197" i="15"/>
  <c r="I196" i="15"/>
  <c r="Y164" i="15" s="1"/>
  <c r="E195" i="15"/>
  <c r="U163" i="15" s="1"/>
  <c r="M193" i="15"/>
  <c r="I192" i="15"/>
  <c r="E191" i="15"/>
  <c r="M189" i="15"/>
  <c r="AC157" i="15" s="1"/>
  <c r="I188" i="15"/>
  <c r="E187" i="15"/>
  <c r="M185" i="15"/>
  <c r="I184" i="15"/>
  <c r="E183" i="15"/>
  <c r="M181" i="15"/>
  <c r="I180" i="15"/>
  <c r="Y148" i="15" s="1"/>
  <c r="F204" i="15"/>
  <c r="K179" i="15"/>
  <c r="D207" i="15"/>
  <c r="L205" i="15"/>
  <c r="H204" i="15"/>
  <c r="D203" i="15"/>
  <c r="L201" i="15"/>
  <c r="H200" i="15"/>
  <c r="D199" i="15"/>
  <c r="L197" i="15"/>
  <c r="H196" i="15"/>
  <c r="X164" i="15" s="1"/>
  <c r="D195" i="15"/>
  <c r="T163" i="15" s="1"/>
  <c r="L193" i="15"/>
  <c r="H192" i="15"/>
  <c r="X160" i="15" s="1"/>
  <c r="D191" i="15"/>
  <c r="L189" i="15"/>
  <c r="AB157" i="15" s="1"/>
  <c r="H188" i="15"/>
  <c r="D187" i="15"/>
  <c r="L185" i="15"/>
  <c r="H184" i="15"/>
  <c r="D183" i="15"/>
  <c r="L181" i="15"/>
  <c r="H180" i="15"/>
  <c r="X148" i="15" s="1"/>
  <c r="K186" i="15"/>
  <c r="J206" i="15"/>
  <c r="J202" i="15"/>
  <c r="J194" i="15"/>
  <c r="J182" i="15"/>
  <c r="K202" i="15"/>
  <c r="J198" i="15"/>
  <c r="J190" i="15"/>
  <c r="K198" i="15"/>
  <c r="K182" i="15"/>
  <c r="J186" i="15"/>
  <c r="K206" i="15"/>
  <c r="K194" i="15"/>
  <c r="K190" i="15"/>
  <c r="O72" i="14"/>
  <c r="AQ7" i="12"/>
  <c r="C8" i="12"/>
  <c r="AQ9" i="12"/>
  <c r="E26" i="12"/>
  <c r="E72" i="12" s="1"/>
  <c r="AF72" i="12"/>
  <c r="AN72" i="12"/>
  <c r="AO22" i="12"/>
  <c r="AO21" i="12" s="1"/>
  <c r="AO26" i="12" s="1"/>
  <c r="AO72" i="12" s="1"/>
  <c r="AB21" i="12"/>
  <c r="AB26" i="12" s="1"/>
  <c r="X28" i="12"/>
  <c r="H29" i="12"/>
  <c r="M72" i="13"/>
  <c r="AB8" i="12"/>
  <c r="L29" i="12"/>
  <c r="R72" i="12"/>
  <c r="Z72" i="12"/>
  <c r="Z28" i="12"/>
  <c r="Z27" i="12" s="1"/>
  <c r="Z8" i="12" s="1"/>
  <c r="AE72" i="12"/>
  <c r="H8" i="12"/>
  <c r="H26" i="12"/>
  <c r="AQ30" i="12"/>
  <c r="Y28" i="13"/>
  <c r="Y27" i="13" s="1"/>
  <c r="Y8" i="13" s="1"/>
  <c r="P26" i="12"/>
  <c r="P72" i="12" s="1"/>
  <c r="AQ48" i="12"/>
  <c r="C8" i="13"/>
  <c r="F26" i="13"/>
  <c r="F72" i="13" s="1"/>
  <c r="F8" i="13"/>
  <c r="AQ24" i="13"/>
  <c r="C21" i="13"/>
  <c r="AQ33" i="13"/>
  <c r="C45" i="14"/>
  <c r="J57" i="14"/>
  <c r="H58" i="14"/>
  <c r="H57" i="14" s="1"/>
  <c r="X28" i="13"/>
  <c r="D8" i="12"/>
  <c r="AJ8" i="12"/>
  <c r="E8" i="12"/>
  <c r="M8" i="12"/>
  <c r="U8" i="12"/>
  <c r="AC8" i="12"/>
  <c r="AK8" i="12"/>
  <c r="C24" i="12"/>
  <c r="I26" i="12"/>
  <c r="I72" i="12" s="1"/>
  <c r="Q26" i="12"/>
  <c r="Q72" i="12" s="1"/>
  <c r="Y26" i="12"/>
  <c r="AG26" i="12"/>
  <c r="AG72" i="12" s="1"/>
  <c r="C45" i="12"/>
  <c r="AQ45" i="12" s="1"/>
  <c r="AQ65" i="12"/>
  <c r="H7" i="13"/>
  <c r="U8" i="13"/>
  <c r="C9" i="13"/>
  <c r="AQ9" i="13" s="1"/>
  <c r="AQ34" i="13"/>
  <c r="C45" i="13"/>
  <c r="AQ46" i="13"/>
  <c r="L45" i="13"/>
  <c r="AQ69" i="13"/>
  <c r="C21" i="14"/>
  <c r="AQ24" i="14"/>
  <c r="AA26" i="14"/>
  <c r="AA72" i="14" s="1"/>
  <c r="AQ37" i="14"/>
  <c r="AQ5" i="12"/>
  <c r="T8" i="12"/>
  <c r="L7" i="13"/>
  <c r="I26" i="13"/>
  <c r="I72" i="13" s="1"/>
  <c r="J29" i="13"/>
  <c r="L58" i="13"/>
  <c r="L57" i="13" s="1"/>
  <c r="M29" i="13"/>
  <c r="M57" i="13"/>
  <c r="Y57" i="13"/>
  <c r="Y29" i="13"/>
  <c r="AF26" i="14"/>
  <c r="AF72" i="14" s="1"/>
  <c r="AF8" i="14"/>
  <c r="AN26" i="14"/>
  <c r="AN72" i="14" s="1"/>
  <c r="AN8" i="14"/>
  <c r="L9" i="14"/>
  <c r="AQ19" i="14"/>
  <c r="J72" i="14"/>
  <c r="AB30" i="14"/>
  <c r="AB29" i="14" s="1"/>
  <c r="AQ52" i="14"/>
  <c r="L58" i="14"/>
  <c r="L57" i="14" s="1"/>
  <c r="AQ60" i="14"/>
  <c r="AQ17" i="14"/>
  <c r="L15" i="14"/>
  <c r="AQ15" i="14" s="1"/>
  <c r="AQ16" i="12"/>
  <c r="L58" i="12"/>
  <c r="L57" i="12" s="1"/>
  <c r="AB7" i="13"/>
  <c r="E8" i="13"/>
  <c r="AG26" i="13"/>
  <c r="AQ32" i="13"/>
  <c r="L30" i="13"/>
  <c r="L29" i="13" s="1"/>
  <c r="AQ49" i="13"/>
  <c r="L26" i="14"/>
  <c r="P26" i="14"/>
  <c r="P8" i="14"/>
  <c r="X26" i="14"/>
  <c r="AG26" i="14"/>
  <c r="AG72" i="14" s="1"/>
  <c r="AO26" i="14"/>
  <c r="AO72" i="14" s="1"/>
  <c r="K26" i="14"/>
  <c r="K72" i="14" s="1"/>
  <c r="AH72" i="14"/>
  <c r="AQ32" i="14"/>
  <c r="V29" i="14"/>
  <c r="V72" i="14" s="1"/>
  <c r="V57" i="14"/>
  <c r="AQ32" i="12"/>
  <c r="AQ53" i="12"/>
  <c r="AQ62" i="12"/>
  <c r="AQ71" i="12"/>
  <c r="K8" i="13"/>
  <c r="AC26" i="13"/>
  <c r="AK26" i="13"/>
  <c r="AK72" i="13" s="1"/>
  <c r="AC8" i="13"/>
  <c r="AQ15" i="13"/>
  <c r="AB15" i="13"/>
  <c r="AQ19" i="13"/>
  <c r="AQ25" i="13"/>
  <c r="P72" i="13"/>
  <c r="AQ31" i="13"/>
  <c r="H30" i="13"/>
  <c r="AQ42" i="13"/>
  <c r="H45" i="13"/>
  <c r="AC29" i="13"/>
  <c r="AB58" i="13"/>
  <c r="AB57" i="13" s="1"/>
  <c r="AC57" i="13"/>
  <c r="AB8" i="14"/>
  <c r="AB26" i="14"/>
  <c r="H7" i="14"/>
  <c r="AQ7" i="14" s="1"/>
  <c r="Q26" i="14"/>
  <c r="Q72" i="14" s="1"/>
  <c r="Y26" i="14"/>
  <c r="AQ11" i="14"/>
  <c r="C9" i="14"/>
  <c r="AQ22" i="14"/>
  <c r="AI26" i="14"/>
  <c r="AI72" i="14" s="1"/>
  <c r="P29" i="14"/>
  <c r="L45" i="14"/>
  <c r="AQ56" i="14"/>
  <c r="O29" i="14"/>
  <c r="O57" i="14"/>
  <c r="AE57" i="12"/>
  <c r="AB58" i="12"/>
  <c r="AB57" i="12" s="1"/>
  <c r="AQ31" i="14"/>
  <c r="C30" i="14"/>
  <c r="L30" i="14"/>
  <c r="AQ36" i="14"/>
  <c r="AE29" i="14"/>
  <c r="AE72" i="14" s="1"/>
  <c r="AE57" i="14"/>
  <c r="AQ64" i="12"/>
  <c r="AQ3" i="13"/>
  <c r="AD26" i="13"/>
  <c r="AD72" i="13" s="1"/>
  <c r="AD8" i="13"/>
  <c r="AL26" i="13"/>
  <c r="AL72" i="13" s="1"/>
  <c r="AL8" i="13"/>
  <c r="H21" i="13"/>
  <c r="AO22" i="13"/>
  <c r="AO21" i="13" s="1"/>
  <c r="AO26" i="13" s="1"/>
  <c r="AO72" i="13" s="1"/>
  <c r="AB21" i="13"/>
  <c r="Q26" i="13"/>
  <c r="Q72" i="13" s="1"/>
  <c r="AN72" i="13"/>
  <c r="AQ35" i="13"/>
  <c r="AQ55" i="13"/>
  <c r="C57" i="13"/>
  <c r="AQ59" i="13"/>
  <c r="AQ68" i="13"/>
  <c r="I26" i="14"/>
  <c r="I72" i="14" s="1"/>
  <c r="AQ14" i="14"/>
  <c r="R72" i="14"/>
  <c r="H30" i="14"/>
  <c r="H29" i="14" s="1"/>
  <c r="AQ40" i="14"/>
  <c r="AQ70" i="14"/>
  <c r="AQ3" i="12"/>
  <c r="AQ58" i="12"/>
  <c r="C57" i="12"/>
  <c r="AQ66" i="12"/>
  <c r="N26" i="13"/>
  <c r="N72" i="13" s="1"/>
  <c r="N8" i="13"/>
  <c r="V26" i="13"/>
  <c r="V72" i="13" s="1"/>
  <c r="V8" i="13"/>
  <c r="AQ11" i="13"/>
  <c r="S26" i="14"/>
  <c r="S72" i="14" s="1"/>
  <c r="C58" i="14"/>
  <c r="F29" i="14"/>
  <c r="F72" i="14" s="1"/>
  <c r="F57" i="14"/>
  <c r="J26" i="13"/>
  <c r="J72" i="13" s="1"/>
  <c r="R26" i="13"/>
  <c r="R72" i="13" s="1"/>
  <c r="Z26" i="13"/>
  <c r="AH26" i="13"/>
  <c r="AH72" i="13" s="1"/>
  <c r="AP26" i="13"/>
  <c r="AP72" i="13" s="1"/>
  <c r="E21" i="14"/>
  <c r="E26" i="14" s="1"/>
  <c r="E72" i="14" s="1"/>
  <c r="D26" i="14"/>
  <c r="D72" i="14" s="1"/>
  <c r="T26" i="14"/>
  <c r="T72" i="14" s="1"/>
  <c r="AJ26" i="14"/>
  <c r="AJ72" i="14" s="1"/>
  <c r="N57" i="14"/>
  <c r="G8" i="13"/>
  <c r="O8" i="13"/>
  <c r="W8" i="13"/>
  <c r="AE8" i="13"/>
  <c r="AM8" i="13"/>
  <c r="K26" i="13"/>
  <c r="K72" i="13" s="1"/>
  <c r="S26" i="13"/>
  <c r="S72" i="13" s="1"/>
  <c r="AA26" i="13"/>
  <c r="AA72" i="13" s="1"/>
  <c r="AI26" i="13"/>
  <c r="AI72" i="13" s="1"/>
  <c r="I8" i="14"/>
  <c r="Q8" i="14"/>
  <c r="AG8" i="14"/>
  <c r="AO8" i="14"/>
  <c r="M26" i="14"/>
  <c r="M72" i="14" s="1"/>
  <c r="U26" i="14"/>
  <c r="U72" i="14" s="1"/>
  <c r="AC26" i="14"/>
  <c r="AC72" i="14" s="1"/>
  <c r="AK26" i="14"/>
  <c r="AK72" i="14" s="1"/>
  <c r="Z28" i="14"/>
  <c r="Z27" i="14" s="1"/>
  <c r="Z8" i="14" s="1"/>
  <c r="T173" i="15" l="1"/>
  <c r="W173" i="15"/>
  <c r="N53" i="16"/>
  <c r="N49" i="16"/>
  <c r="AB152" i="15"/>
  <c r="AO189" i="15"/>
  <c r="AO190" i="15" s="1"/>
  <c r="X152" i="15"/>
  <c r="AB173" i="15"/>
  <c r="AD173" i="15"/>
  <c r="AE152" i="15"/>
  <c r="X173" i="15"/>
  <c r="U173" i="15"/>
  <c r="AC152" i="15"/>
  <c r="Y152" i="15"/>
  <c r="AC173" i="15"/>
  <c r="V152" i="15"/>
  <c r="AC166" i="15"/>
  <c r="V173" i="15"/>
  <c r="AA152" i="15"/>
  <c r="AE173" i="15"/>
  <c r="AA173" i="15"/>
  <c r="N41" i="16"/>
  <c r="AR189" i="15"/>
  <c r="AR190" i="15" s="1"/>
  <c r="W152" i="15"/>
  <c r="N45" i="16"/>
  <c r="Z173" i="15"/>
  <c r="T148" i="15"/>
  <c r="C9" i="8"/>
  <c r="C11" i="8"/>
  <c r="C10" i="8"/>
  <c r="C8" i="8"/>
  <c r="C7" i="8"/>
  <c r="C5" i="8"/>
  <c r="C6" i="8"/>
  <c r="Y170" i="15"/>
  <c r="W170" i="15"/>
  <c r="AG72" i="13"/>
  <c r="AD170" i="15"/>
  <c r="U170" i="15"/>
  <c r="Y72" i="13"/>
  <c r="AD72" i="14"/>
  <c r="AB170" i="15"/>
  <c r="AQ30" i="13"/>
  <c r="L26" i="12"/>
  <c r="AA170" i="15"/>
  <c r="K85" i="16"/>
  <c r="AQ21" i="14"/>
  <c r="C29" i="12"/>
  <c r="AE170" i="15"/>
  <c r="AQ9" i="14"/>
  <c r="X170" i="15"/>
  <c r="Z170" i="15"/>
  <c r="V170" i="15"/>
  <c r="AC170" i="15"/>
  <c r="W72" i="12"/>
  <c r="AB72" i="14"/>
  <c r="AC72" i="13"/>
  <c r="X165" i="15"/>
  <c r="U168" i="15"/>
  <c r="AH72" i="12"/>
  <c r="R6" i="16" a="1"/>
  <c r="R6" i="16" s="1"/>
  <c r="Q10" i="8"/>
  <c r="Q12" i="8"/>
  <c r="Q13" i="8"/>
  <c r="Q11" i="8"/>
  <c r="Y158" i="15"/>
  <c r="V147" i="15"/>
  <c r="V180" i="15" s="1"/>
  <c r="K35" i="16"/>
  <c r="K39" i="16"/>
  <c r="K43" i="16"/>
  <c r="K47" i="16"/>
  <c r="K51" i="16"/>
  <c r="K55" i="16"/>
  <c r="K68" i="16"/>
  <c r="K72" i="16"/>
  <c r="K70" i="16"/>
  <c r="K65" i="16"/>
  <c r="K74" i="16"/>
  <c r="K64" i="16"/>
  <c r="K67" i="16"/>
  <c r="M19" i="16"/>
  <c r="M16" i="16"/>
  <c r="M22" i="16"/>
  <c r="M26" i="16"/>
  <c r="M30" i="16"/>
  <c r="L35" i="16"/>
  <c r="L47" i="16"/>
  <c r="L51" i="16"/>
  <c r="L39" i="16"/>
  <c r="L55" i="16"/>
  <c r="L43" i="16"/>
  <c r="K42" i="16"/>
  <c r="K34" i="16"/>
  <c r="K38" i="16"/>
  <c r="K50" i="16"/>
  <c r="K46" i="16"/>
  <c r="K54" i="16"/>
  <c r="L88" i="16"/>
  <c r="L94" i="16"/>
  <c r="L97" i="16"/>
  <c r="L91" i="16"/>
  <c r="K20" i="16"/>
  <c r="K17" i="16"/>
  <c r="K23" i="16"/>
  <c r="K27" i="16"/>
  <c r="K31" i="16"/>
  <c r="M35" i="16"/>
  <c r="M39" i="16"/>
  <c r="M43" i="16"/>
  <c r="M47" i="16"/>
  <c r="M51" i="16"/>
  <c r="M55" i="16"/>
  <c r="L25" i="16"/>
  <c r="L29" i="16"/>
  <c r="L33" i="16"/>
  <c r="M75" i="16"/>
  <c r="M83" i="16"/>
  <c r="M78" i="16"/>
  <c r="M79" i="16"/>
  <c r="M76" i="16"/>
  <c r="M84" i="16"/>
  <c r="M25" i="16"/>
  <c r="M33" i="16"/>
  <c r="M29" i="16"/>
  <c r="M61" i="16"/>
  <c r="M58" i="16"/>
  <c r="N75" i="16"/>
  <c r="N83" i="16"/>
  <c r="N78" i="16"/>
  <c r="M24" i="16"/>
  <c r="M28" i="16"/>
  <c r="M32" i="16"/>
  <c r="M21" i="16"/>
  <c r="M18" i="16"/>
  <c r="M36" i="16"/>
  <c r="M40" i="16"/>
  <c r="M44" i="16"/>
  <c r="M48" i="16"/>
  <c r="M52" i="16"/>
  <c r="M56" i="16"/>
  <c r="L69" i="16"/>
  <c r="L73" i="16"/>
  <c r="L66" i="16"/>
  <c r="L71" i="16"/>
  <c r="K60" i="16"/>
  <c r="K63" i="16"/>
  <c r="K97" i="16"/>
  <c r="K94" i="16"/>
  <c r="K88" i="16"/>
  <c r="K91" i="16"/>
  <c r="N63" i="16"/>
  <c r="N60" i="16"/>
  <c r="M93" i="16"/>
  <c r="M96" i="16"/>
  <c r="M90" i="16"/>
  <c r="M67" i="16"/>
  <c r="M64" i="16"/>
  <c r="M34" i="16"/>
  <c r="M38" i="16"/>
  <c r="M42" i="16"/>
  <c r="M46" i="16"/>
  <c r="M50" i="16"/>
  <c r="M54" i="16"/>
  <c r="L8" i="16"/>
  <c r="L12" i="16"/>
  <c r="L10" i="16"/>
  <c r="L14" i="16"/>
  <c r="L6" i="16"/>
  <c r="K24" i="16"/>
  <c r="K28" i="16"/>
  <c r="K32" i="16"/>
  <c r="K21" i="16"/>
  <c r="K18" i="16"/>
  <c r="N71" i="16"/>
  <c r="N69" i="16"/>
  <c r="N73" i="16"/>
  <c r="N66" i="16"/>
  <c r="L78" i="16"/>
  <c r="L83" i="16"/>
  <c r="L75" i="16"/>
  <c r="M103" i="16"/>
  <c r="M107" i="16"/>
  <c r="M105" i="16"/>
  <c r="M109" i="16"/>
  <c r="N61" i="16"/>
  <c r="N58" i="16"/>
  <c r="L20" i="16"/>
  <c r="L17" i="16"/>
  <c r="L23" i="16"/>
  <c r="L27" i="16"/>
  <c r="L31" i="16"/>
  <c r="L60" i="16"/>
  <c r="L63" i="16"/>
  <c r="N81" i="16"/>
  <c r="N86" i="16"/>
  <c r="N8" i="16"/>
  <c r="N12" i="16"/>
  <c r="N6" i="16"/>
  <c r="N10" i="16"/>
  <c r="N14" i="16"/>
  <c r="N95" i="16"/>
  <c r="N89" i="16"/>
  <c r="N92" i="16"/>
  <c r="N98" i="16"/>
  <c r="K104" i="16"/>
  <c r="K108" i="16"/>
  <c r="K102" i="16"/>
  <c r="K106" i="16"/>
  <c r="N79" i="16"/>
  <c r="N76" i="16"/>
  <c r="N84" i="16"/>
  <c r="K93" i="16"/>
  <c r="K96" i="16"/>
  <c r="K90" i="16"/>
  <c r="L92" i="16"/>
  <c r="L89" i="16"/>
  <c r="L95" i="16"/>
  <c r="L98" i="16"/>
  <c r="L36" i="16"/>
  <c r="L40" i="16"/>
  <c r="L44" i="16"/>
  <c r="L48" i="16"/>
  <c r="L52" i="16"/>
  <c r="L56" i="16"/>
  <c r="M71" i="16"/>
  <c r="M73" i="16"/>
  <c r="M69" i="16"/>
  <c r="M66" i="16"/>
  <c r="L16" i="16"/>
  <c r="L22" i="16"/>
  <c r="L26" i="16"/>
  <c r="L30" i="16"/>
  <c r="L19" i="16"/>
  <c r="AE154" i="15"/>
  <c r="M91" i="16"/>
  <c r="M88" i="16"/>
  <c r="M97" i="16"/>
  <c r="M94" i="16"/>
  <c r="K105" i="16"/>
  <c r="K109" i="16"/>
  <c r="K103" i="16"/>
  <c r="K107" i="16"/>
  <c r="L62" i="16"/>
  <c r="L59" i="16"/>
  <c r="U151" i="15"/>
  <c r="N103" i="16"/>
  <c r="N107" i="16"/>
  <c r="N109" i="16"/>
  <c r="N105" i="16"/>
  <c r="M104" i="16"/>
  <c r="M108" i="16"/>
  <c r="M102" i="16"/>
  <c r="M106" i="16"/>
  <c r="N24" i="16"/>
  <c r="N28" i="16"/>
  <c r="N32" i="16"/>
  <c r="N21" i="16"/>
  <c r="N18" i="16"/>
  <c r="L68" i="16"/>
  <c r="L72" i="16"/>
  <c r="L65" i="16"/>
  <c r="L70" i="16"/>
  <c r="L74" i="16"/>
  <c r="K58" i="16"/>
  <c r="K61" i="16"/>
  <c r="M7" i="16"/>
  <c r="M11" i="16"/>
  <c r="M15" i="16"/>
  <c r="M13" i="16"/>
  <c r="M9" i="16"/>
  <c r="K77" i="16"/>
  <c r="K82" i="16"/>
  <c r="K87" i="16"/>
  <c r="T168" i="15"/>
  <c r="M59" i="16"/>
  <c r="M62" i="16"/>
  <c r="N34" i="16"/>
  <c r="N38" i="16"/>
  <c r="N42" i="16"/>
  <c r="N46" i="16"/>
  <c r="N50" i="16"/>
  <c r="N54" i="16"/>
  <c r="M87" i="16"/>
  <c r="M77" i="16"/>
  <c r="M82" i="16"/>
  <c r="K78" i="16"/>
  <c r="K75" i="16"/>
  <c r="K83" i="16"/>
  <c r="N35" i="16"/>
  <c r="N39" i="16"/>
  <c r="N43" i="16"/>
  <c r="N47" i="16"/>
  <c r="N51" i="16"/>
  <c r="N55" i="16"/>
  <c r="M63" i="16"/>
  <c r="M60" i="16"/>
  <c r="M65" i="16"/>
  <c r="M68" i="16"/>
  <c r="M72" i="16"/>
  <c r="M70" i="16"/>
  <c r="M74" i="16"/>
  <c r="N25" i="16"/>
  <c r="N33" i="16"/>
  <c r="N29" i="16"/>
  <c r="N96" i="16"/>
  <c r="N93" i="16"/>
  <c r="N90" i="16"/>
  <c r="AE167" i="15"/>
  <c r="N65" i="16"/>
  <c r="N68" i="16"/>
  <c r="N72" i="16"/>
  <c r="N70" i="16"/>
  <c r="N74" i="16"/>
  <c r="K62" i="16"/>
  <c r="K59" i="16"/>
  <c r="K36" i="16"/>
  <c r="K40" i="16"/>
  <c r="K44" i="16"/>
  <c r="K48" i="16"/>
  <c r="K52" i="16"/>
  <c r="K56" i="16"/>
  <c r="N104" i="16"/>
  <c r="N108" i="16"/>
  <c r="N102" i="16"/>
  <c r="N106" i="16"/>
  <c r="L108" i="16"/>
  <c r="L104" i="16"/>
  <c r="L102" i="16"/>
  <c r="L106" i="16"/>
  <c r="L96" i="16"/>
  <c r="L93" i="16"/>
  <c r="L90" i="16"/>
  <c r="N19" i="16"/>
  <c r="N16" i="16"/>
  <c r="N22" i="16"/>
  <c r="N26" i="16"/>
  <c r="N30" i="16"/>
  <c r="M23" i="16"/>
  <c r="M27" i="16"/>
  <c r="M31" i="16"/>
  <c r="M20" i="16"/>
  <c r="M17" i="16"/>
  <c r="L61" i="16"/>
  <c r="L58" i="16"/>
  <c r="M81" i="16"/>
  <c r="N87" i="16"/>
  <c r="N77" i="16"/>
  <c r="N82" i="16"/>
  <c r="L77" i="16"/>
  <c r="L87" i="16"/>
  <c r="L82" i="16"/>
  <c r="K37" i="16"/>
  <c r="K41" i="16"/>
  <c r="K45" i="16"/>
  <c r="K49" i="16"/>
  <c r="K53" i="16"/>
  <c r="K57" i="16"/>
  <c r="M6" i="16"/>
  <c r="M8" i="16"/>
  <c r="M12" i="16"/>
  <c r="M10" i="16"/>
  <c r="M14" i="16"/>
  <c r="N67" i="16"/>
  <c r="N64" i="16"/>
  <c r="K25" i="16"/>
  <c r="K29" i="16"/>
  <c r="K33" i="16"/>
  <c r="M45" i="16"/>
  <c r="M49" i="16"/>
  <c r="M41" i="16"/>
  <c r="M53" i="16"/>
  <c r="M57" i="16"/>
  <c r="M37" i="16"/>
  <c r="L64" i="16"/>
  <c r="L67" i="16"/>
  <c r="L81" i="16"/>
  <c r="K9" i="16"/>
  <c r="K13" i="16"/>
  <c r="K7" i="16"/>
  <c r="K11" i="16"/>
  <c r="K15" i="16"/>
  <c r="K92" i="16"/>
  <c r="K98" i="16"/>
  <c r="K89" i="16"/>
  <c r="K95" i="16"/>
  <c r="K8" i="16"/>
  <c r="K12" i="16"/>
  <c r="K10" i="16"/>
  <c r="K14" i="16"/>
  <c r="K6" i="16"/>
  <c r="L9" i="16"/>
  <c r="L13" i="16"/>
  <c r="L11" i="16"/>
  <c r="L15" i="16"/>
  <c r="L7" i="16"/>
  <c r="L105" i="16"/>
  <c r="L109" i="16"/>
  <c r="L103" i="16"/>
  <c r="L107" i="16"/>
  <c r="L24" i="16"/>
  <c r="L28" i="16"/>
  <c r="L32" i="16"/>
  <c r="L21" i="16"/>
  <c r="L18" i="16"/>
  <c r="N36" i="16"/>
  <c r="N40" i="16"/>
  <c r="N44" i="16"/>
  <c r="N48" i="16"/>
  <c r="N52" i="16"/>
  <c r="N56" i="16"/>
  <c r="M95" i="16"/>
  <c r="M92" i="16"/>
  <c r="M89" i="16"/>
  <c r="M98" i="16"/>
  <c r="K81" i="16"/>
  <c r="K76" i="16"/>
  <c r="K84" i="16"/>
  <c r="K79" i="16"/>
  <c r="N7" i="16"/>
  <c r="N11" i="16"/>
  <c r="N15" i="16"/>
  <c r="N9" i="16"/>
  <c r="N13" i="16"/>
  <c r="N97" i="16"/>
  <c r="N91" i="16"/>
  <c r="N88" i="16"/>
  <c r="N94" i="16"/>
  <c r="K22" i="16"/>
  <c r="K16" i="16"/>
  <c r="K26" i="16"/>
  <c r="K30" i="16"/>
  <c r="K19" i="16"/>
  <c r="L34" i="16"/>
  <c r="L38" i="16"/>
  <c r="L42" i="16"/>
  <c r="L46" i="16"/>
  <c r="L50" i="16"/>
  <c r="L54" i="16"/>
  <c r="N59" i="16"/>
  <c r="N62" i="16"/>
  <c r="L76" i="16"/>
  <c r="L84" i="16"/>
  <c r="L79" i="16"/>
  <c r="T147" i="15"/>
  <c r="T155" i="15"/>
  <c r="Z162" i="15"/>
  <c r="AC149" i="15"/>
  <c r="Y165" i="15"/>
  <c r="X168" i="15"/>
  <c r="AC153" i="15"/>
  <c r="Y162" i="15"/>
  <c r="T171" i="15"/>
  <c r="AD168" i="15"/>
  <c r="T166" i="15"/>
  <c r="U155" i="15"/>
  <c r="X156" i="15"/>
  <c r="AE158" i="15"/>
  <c r="AE174" i="15"/>
  <c r="AC159" i="15"/>
  <c r="V165" i="15"/>
  <c r="Z161" i="15"/>
  <c r="AD165" i="15"/>
  <c r="X172" i="15"/>
  <c r="AA160" i="15"/>
  <c r="T159" i="15"/>
  <c r="T169" i="15"/>
  <c r="T186" i="15" s="1"/>
  <c r="AE161" i="15"/>
  <c r="T175" i="15"/>
  <c r="Z167" i="15"/>
  <c r="U159" i="15"/>
  <c r="V167" i="15"/>
  <c r="X167" i="15"/>
  <c r="Z171" i="15"/>
  <c r="T165" i="15"/>
  <c r="AD167" i="15"/>
  <c r="X169" i="15"/>
  <c r="Y169" i="15"/>
  <c r="Z165" i="15"/>
  <c r="AA161" i="15"/>
  <c r="Y156" i="15"/>
  <c r="Y160" i="15"/>
  <c r="Z168" i="15"/>
  <c r="AE165" i="15"/>
  <c r="AB168" i="15"/>
  <c r="Y167" i="15"/>
  <c r="AD172" i="15"/>
  <c r="AA167" i="15"/>
  <c r="X166" i="15"/>
  <c r="U165" i="15"/>
  <c r="V169" i="15"/>
  <c r="W149" i="15"/>
  <c r="AE171" i="15"/>
  <c r="Y149" i="15"/>
  <c r="AD166" i="15"/>
  <c r="AE162" i="15"/>
  <c r="AB161" i="15"/>
  <c r="Z151" i="15"/>
  <c r="W169" i="15"/>
  <c r="AC161" i="15"/>
  <c r="AD169" i="15"/>
  <c r="W167" i="15"/>
  <c r="AC168" i="15"/>
  <c r="V150" i="15"/>
  <c r="V174" i="15"/>
  <c r="AE168" i="15"/>
  <c r="AB167" i="15"/>
  <c r="Y166" i="15"/>
  <c r="AA150" i="15"/>
  <c r="X149" i="15"/>
  <c r="T172" i="15"/>
  <c r="AC150" i="15"/>
  <c r="U172" i="15"/>
  <c r="V168" i="15"/>
  <c r="T153" i="15"/>
  <c r="V171" i="15"/>
  <c r="AA168" i="15"/>
  <c r="X171" i="15"/>
  <c r="Z175" i="15"/>
  <c r="AC167" i="15"/>
  <c r="V149" i="15"/>
  <c r="AD171" i="15"/>
  <c r="AE151" i="15"/>
  <c r="AA174" i="15"/>
  <c r="AB150" i="15"/>
  <c r="Z169" i="15"/>
  <c r="AA165" i="15"/>
  <c r="Z172" i="15"/>
  <c r="AE169" i="15"/>
  <c r="AB172" i="15"/>
  <c r="U150" i="15"/>
  <c r="Y171" i="15"/>
  <c r="V154" i="15"/>
  <c r="Y147" i="15"/>
  <c r="Y180" i="15" s="1"/>
  <c r="W150" i="15"/>
  <c r="AA171" i="15"/>
  <c r="AB171" i="15"/>
  <c r="U169" i="15"/>
  <c r="U186" i="15" s="1"/>
  <c r="Z150" i="15"/>
  <c r="W153" i="15"/>
  <c r="AE175" i="15"/>
  <c r="AB174" i="15"/>
  <c r="AB188" i="15" s="1"/>
  <c r="Y153" i="15"/>
  <c r="AC174" i="15"/>
  <c r="Z149" i="15"/>
  <c r="AE166" i="15"/>
  <c r="AB165" i="15"/>
  <c r="AC165" i="15"/>
  <c r="AD149" i="15"/>
  <c r="AE149" i="15"/>
  <c r="W171" i="15"/>
  <c r="T150" i="15"/>
  <c r="T174" i="15"/>
  <c r="Y151" i="15"/>
  <c r="AC172" i="15"/>
  <c r="Z155" i="15"/>
  <c r="AA151" i="15"/>
  <c r="AE172" i="15"/>
  <c r="T149" i="15"/>
  <c r="U149" i="15"/>
  <c r="AD151" i="15"/>
  <c r="Z174" i="15"/>
  <c r="AA154" i="15"/>
  <c r="X153" i="15"/>
  <c r="Z147" i="15"/>
  <c r="Z180" i="15" s="1"/>
  <c r="AC154" i="15"/>
  <c r="AA147" i="15"/>
  <c r="AA180" i="15" s="1"/>
  <c r="AD150" i="15"/>
  <c r="V172" i="15"/>
  <c r="W168" i="15"/>
  <c r="W186" i="15" s="1"/>
  <c r="T167" i="15"/>
  <c r="T154" i="15"/>
  <c r="Y168" i="15"/>
  <c r="V151" i="15"/>
  <c r="V175" i="15"/>
  <c r="W151" i="15"/>
  <c r="AA172" i="15"/>
  <c r="X151" i="15"/>
  <c r="X175" i="15"/>
  <c r="U174" i="15"/>
  <c r="AD156" i="15"/>
  <c r="W174" i="15"/>
  <c r="X150" i="15"/>
  <c r="X174" i="15"/>
  <c r="Y150" i="15"/>
  <c r="AC171" i="15"/>
  <c r="AC187" i="15" s="1"/>
  <c r="V153" i="15"/>
  <c r="AD175" i="15"/>
  <c r="AE155" i="15"/>
  <c r="AB154" i="15"/>
  <c r="U156" i="15"/>
  <c r="AA169" i="15"/>
  <c r="U167" i="15"/>
  <c r="AC169" i="15"/>
  <c r="AD153" i="15"/>
  <c r="U147" i="15"/>
  <c r="W147" i="15"/>
  <c r="W180" i="15" s="1"/>
  <c r="U154" i="15"/>
  <c r="Y175" i="15"/>
  <c r="V158" i="15"/>
  <c r="W154" i="15"/>
  <c r="AA175" i="15"/>
  <c r="AB151" i="15"/>
  <c r="AB175" i="15"/>
  <c r="AC151" i="15"/>
  <c r="Z154" i="15"/>
  <c r="T156" i="15"/>
  <c r="Z153" i="15"/>
  <c r="AD174" i="15"/>
  <c r="AA149" i="15"/>
  <c r="AB169" i="15"/>
  <c r="U171" i="15"/>
  <c r="V155" i="15"/>
  <c r="AE153" i="15"/>
  <c r="W175" i="15"/>
  <c r="X155" i="15"/>
  <c r="Y155" i="15"/>
  <c r="X147" i="15"/>
  <c r="X180" i="15" s="1"/>
  <c r="AD160" i="15"/>
  <c r="AA155" i="15"/>
  <c r="T180" i="15"/>
  <c r="X154" i="15"/>
  <c r="U153" i="15"/>
  <c r="Y174" i="15"/>
  <c r="AD155" i="15"/>
  <c r="AA158" i="15"/>
  <c r="AC158" i="15"/>
  <c r="AD154" i="15"/>
  <c r="AB147" i="15"/>
  <c r="AB180" i="15" s="1"/>
  <c r="AH180" i="15" s="1"/>
  <c r="W172" i="15"/>
  <c r="AB149" i="15"/>
  <c r="Y172" i="15"/>
  <c r="W155" i="15"/>
  <c r="AB156" i="15"/>
  <c r="AC156" i="15"/>
  <c r="V162" i="15"/>
  <c r="AE156" i="15"/>
  <c r="AB155" i="15"/>
  <c r="Y154" i="15"/>
  <c r="AC175" i="15"/>
  <c r="AE159" i="15"/>
  <c r="AB158" i="15"/>
  <c r="U160" i="15"/>
  <c r="V156" i="15"/>
  <c r="T151" i="15"/>
  <c r="Z166" i="15"/>
  <c r="AA166" i="15"/>
  <c r="V159" i="15"/>
  <c r="AA156" i="15"/>
  <c r="T158" i="15"/>
  <c r="T183" i="15" s="1"/>
  <c r="U158" i="15"/>
  <c r="W158" i="15"/>
  <c r="AC155" i="15"/>
  <c r="Z158" i="15"/>
  <c r="Z183" i="15" s="1"/>
  <c r="W161" i="15"/>
  <c r="T160" i="15"/>
  <c r="Y161" i="15"/>
  <c r="AA153" i="15"/>
  <c r="Z159" i="15"/>
  <c r="W160" i="15"/>
  <c r="U175" i="15"/>
  <c r="Z160" i="15"/>
  <c r="X159" i="15"/>
  <c r="Y159" i="15"/>
  <c r="Y183" i="15" s="1"/>
  <c r="AA159" i="15"/>
  <c r="X158" i="15"/>
  <c r="AD159" i="15"/>
  <c r="AA162" i="15"/>
  <c r="X161" i="15"/>
  <c r="X184" i="15" s="1"/>
  <c r="AC162" i="15"/>
  <c r="AD158" i="15"/>
  <c r="AD183" i="15" s="1"/>
  <c r="AC147" i="15"/>
  <c r="AC180" i="15" s="1"/>
  <c r="AB153" i="15"/>
  <c r="Z156" i="15"/>
  <c r="AE147" i="15"/>
  <c r="AD161" i="15"/>
  <c r="W159" i="15"/>
  <c r="AB160" i="15"/>
  <c r="AC160" i="15"/>
  <c r="V166" i="15"/>
  <c r="V185" i="15" s="1"/>
  <c r="AE160" i="15"/>
  <c r="AE184" i="15" s="1"/>
  <c r="AB159" i="15"/>
  <c r="V161" i="15"/>
  <c r="AB162" i="15"/>
  <c r="V160" i="15"/>
  <c r="W156" i="15"/>
  <c r="AD147" i="15"/>
  <c r="AD180" i="15" s="1"/>
  <c r="T162" i="15"/>
  <c r="U162" i="15"/>
  <c r="W162" i="15"/>
  <c r="T161" i="15"/>
  <c r="W165" i="15"/>
  <c r="W185" i="15" s="1"/>
  <c r="AB166" i="15"/>
  <c r="AB185" i="15" s="1"/>
  <c r="N142" i="15"/>
  <c r="H8" i="13"/>
  <c r="H26" i="13"/>
  <c r="AQ29" i="12"/>
  <c r="P72" i="14"/>
  <c r="H72" i="12"/>
  <c r="AB29" i="12"/>
  <c r="X27" i="13"/>
  <c r="L26" i="13"/>
  <c r="X27" i="12"/>
  <c r="AQ22" i="13"/>
  <c r="AQ21" i="13" s="1"/>
  <c r="AQ57" i="13"/>
  <c r="AQ45" i="13"/>
  <c r="AQ22" i="12"/>
  <c r="AQ24" i="12"/>
  <c r="C21" i="12"/>
  <c r="C26" i="12" s="1"/>
  <c r="AB8" i="13"/>
  <c r="AB26" i="13"/>
  <c r="AQ58" i="13"/>
  <c r="Y28" i="14"/>
  <c r="Y27" i="14" s="1"/>
  <c r="Y8" i="14" s="1"/>
  <c r="AQ45" i="14"/>
  <c r="C26" i="13"/>
  <c r="C57" i="14"/>
  <c r="AQ57" i="14" s="1"/>
  <c r="AQ58" i="14"/>
  <c r="AB72" i="12"/>
  <c r="Z28" i="13"/>
  <c r="Z27" i="13" s="1"/>
  <c r="Z8" i="13" s="1"/>
  <c r="L29" i="14"/>
  <c r="Y28" i="12"/>
  <c r="Y27" i="12" s="1"/>
  <c r="Y8" i="12" s="1"/>
  <c r="Z72" i="14"/>
  <c r="AQ7" i="13"/>
  <c r="AQ57" i="12"/>
  <c r="AQ30" i="14"/>
  <c r="C29" i="14"/>
  <c r="H26" i="14"/>
  <c r="H72" i="14" s="1"/>
  <c r="H8" i="14"/>
  <c r="H29" i="13"/>
  <c r="C26" i="14"/>
  <c r="C29" i="13"/>
  <c r="AB29" i="13"/>
  <c r="X28" i="14"/>
  <c r="V184" i="15" l="1"/>
  <c r="Y186" i="15"/>
  <c r="AB184" i="15"/>
  <c r="AD188" i="15"/>
  <c r="Y72" i="14"/>
  <c r="T188" i="15"/>
  <c r="X185" i="15"/>
  <c r="AC184" i="15"/>
  <c r="AH184" i="15"/>
  <c r="Z184" i="15"/>
  <c r="Z185" i="15"/>
  <c r="AE182" i="15"/>
  <c r="AE181" i="15"/>
  <c r="AQ29" i="14"/>
  <c r="AC183" i="15"/>
  <c r="AQ29" i="13"/>
  <c r="AA181" i="15"/>
  <c r="V186" i="15"/>
  <c r="S186" i="15" s="1"/>
  <c r="AC185" i="15"/>
  <c r="U6" i="16" a="1"/>
  <c r="U6" i="16" s="1"/>
  <c r="AA183" i="15"/>
  <c r="AE185" i="15"/>
  <c r="AA185" i="15"/>
  <c r="AE183" i="15"/>
  <c r="AK183" i="15" s="1"/>
  <c r="AJ180" i="15"/>
  <c r="AA182" i="15"/>
  <c r="T181" i="15"/>
  <c r="U183" i="15"/>
  <c r="S183" i="15" s="1"/>
  <c r="X183" i="15"/>
  <c r="AJ183" i="15" s="1"/>
  <c r="T185" i="15"/>
  <c r="AD185" i="15"/>
  <c r="W183" i="15"/>
  <c r="AI183" i="15" s="1"/>
  <c r="V183" i="15"/>
  <c r="X188" i="15"/>
  <c r="W187" i="15"/>
  <c r="AI187" i="15" s="1"/>
  <c r="AC186" i="15"/>
  <c r="AI186" i="15" s="1"/>
  <c r="X187" i="15"/>
  <c r="AF180" i="15"/>
  <c r="AD186" i="15"/>
  <c r="AB182" i="15"/>
  <c r="U185" i="15"/>
  <c r="AG185" i="15" s="1"/>
  <c r="AB183" i="15"/>
  <c r="AI180" i="15"/>
  <c r="T184" i="15"/>
  <c r="S184" i="15" s="1"/>
  <c r="U181" i="15"/>
  <c r="Y185" i="15"/>
  <c r="AH185" i="15"/>
  <c r="AF183" i="15"/>
  <c r="AB181" i="15"/>
  <c r="Z188" i="15"/>
  <c r="Y184" i="15"/>
  <c r="AK184" i="15" s="1"/>
  <c r="AI185" i="15"/>
  <c r="Z181" i="15"/>
  <c r="AC181" i="15"/>
  <c r="AC188" i="15"/>
  <c r="U182" i="15"/>
  <c r="Y182" i="15"/>
  <c r="X181" i="15"/>
  <c r="Y181" i="15"/>
  <c r="AE187" i="15"/>
  <c r="AA188" i="15"/>
  <c r="W181" i="15"/>
  <c r="AA184" i="15"/>
  <c r="W182" i="15"/>
  <c r="AD184" i="15"/>
  <c r="AJ184" i="15" s="1"/>
  <c r="V182" i="15"/>
  <c r="Z182" i="15"/>
  <c r="AD187" i="15"/>
  <c r="AE186" i="15"/>
  <c r="AK186" i="15" s="1"/>
  <c r="Y188" i="15"/>
  <c r="AB187" i="15"/>
  <c r="V176" i="15"/>
  <c r="V181" i="15"/>
  <c r="V188" i="15"/>
  <c r="AH188" i="15" s="1"/>
  <c r="Z187" i="15"/>
  <c r="T187" i="15"/>
  <c r="AA187" i="15"/>
  <c r="AC182" i="15"/>
  <c r="AD181" i="15"/>
  <c r="AA186" i="15"/>
  <c r="AG186" i="15" s="1"/>
  <c r="AB186" i="15"/>
  <c r="X186" i="15"/>
  <c r="W184" i="15"/>
  <c r="AI184" i="15" s="1"/>
  <c r="U187" i="15"/>
  <c r="U176" i="15"/>
  <c r="U180" i="15"/>
  <c r="AG180" i="15" s="1"/>
  <c r="U188" i="15"/>
  <c r="X182" i="15"/>
  <c r="Y187" i="15"/>
  <c r="V187" i="15"/>
  <c r="AE188" i="15"/>
  <c r="W188" i="15"/>
  <c r="AE176" i="15"/>
  <c r="AE180" i="15"/>
  <c r="AK180" i="15" s="1"/>
  <c r="U184" i="15"/>
  <c r="AD182" i="15"/>
  <c r="T182" i="15"/>
  <c r="Z186" i="15"/>
  <c r="AF186" i="15" s="1"/>
  <c r="T176" i="15"/>
  <c r="AC176" i="15"/>
  <c r="X176" i="15"/>
  <c r="AA176" i="15"/>
  <c r="AD176" i="15"/>
  <c r="Y176" i="15"/>
  <c r="AB176" i="15"/>
  <c r="W176" i="15"/>
  <c r="Z176" i="15"/>
  <c r="L28" i="13"/>
  <c r="Z72" i="13"/>
  <c r="C72" i="14"/>
  <c r="AQ26" i="14"/>
  <c r="X8" i="12"/>
  <c r="X72" i="12"/>
  <c r="AQ26" i="12"/>
  <c r="C72" i="12"/>
  <c r="L28" i="12"/>
  <c r="AB72" i="13"/>
  <c r="AQ26" i="13"/>
  <c r="C72" i="13"/>
  <c r="X27" i="14"/>
  <c r="L28" i="14"/>
  <c r="Y72" i="12"/>
  <c r="H72" i="13"/>
  <c r="AQ21" i="12"/>
  <c r="X8" i="13"/>
  <c r="X72" i="13"/>
  <c r="S187" i="15" l="1"/>
  <c r="S181" i="15"/>
  <c r="AK182" i="15"/>
  <c r="S188" i="15"/>
  <c r="S182" i="15"/>
  <c r="S180" i="15"/>
  <c r="AJ185" i="15"/>
  <c r="AL185" i="15" s="1"/>
  <c r="AK185" i="15"/>
  <c r="S185" i="15"/>
  <c r="AJ187" i="15"/>
  <c r="AG181" i="15"/>
  <c r="AF188" i="15"/>
  <c r="AJ188" i="15"/>
  <c r="AH183" i="15"/>
  <c r="AI188" i="15"/>
  <c r="AH186" i="15"/>
  <c r="AF181" i="15"/>
  <c r="AG182" i="15"/>
  <c r="AF185" i="15"/>
  <c r="AK181" i="15"/>
  <c r="AF184" i="15"/>
  <c r="AG183" i="15"/>
  <c r="AG184" i="15"/>
  <c r="AJ186" i="15"/>
  <c r="AK188" i="15"/>
  <c r="AL180" i="15"/>
  <c r="AI181" i="15"/>
  <c r="AH182" i="15"/>
  <c r="AG187" i="15"/>
  <c r="AH181" i="15"/>
  <c r="AH187" i="15"/>
  <c r="AK187" i="15"/>
  <c r="AI182" i="15"/>
  <c r="AF187" i="15"/>
  <c r="AF182" i="15"/>
  <c r="AG188" i="15"/>
  <c r="AJ181" i="15"/>
  <c r="AJ182" i="15"/>
  <c r="X8" i="14"/>
  <c r="X72" i="14"/>
  <c r="L27" i="14"/>
  <c r="AQ28" i="14"/>
  <c r="AQ27" i="14" s="1"/>
  <c r="L27" i="12"/>
  <c r="AQ28" i="12"/>
  <c r="AQ27" i="12" s="1"/>
  <c r="L27" i="13"/>
  <c r="AQ28" i="13"/>
  <c r="AQ27" i="13" s="1"/>
  <c r="AL186" i="15" l="1"/>
  <c r="AL184" i="15"/>
  <c r="AL183" i="15"/>
  <c r="AG189" i="15"/>
  <c r="AG190" i="15" s="1"/>
  <c r="AQ191" i="15" s="1"/>
  <c r="AI189" i="15"/>
  <c r="AI190" i="15" s="1"/>
  <c r="AS191" i="15" s="1"/>
  <c r="AK189" i="15"/>
  <c r="AK190" i="15" s="1"/>
  <c r="AU191" i="15" s="1"/>
  <c r="AL187" i="15"/>
  <c r="AL188" i="15"/>
  <c r="AF189" i="15"/>
  <c r="AF190" i="15" s="1"/>
  <c r="AP191" i="15" s="1"/>
  <c r="AL181" i="15"/>
  <c r="AH189" i="15"/>
  <c r="AH190" i="15" s="1"/>
  <c r="AR191" i="15" s="1"/>
  <c r="AJ189" i="15"/>
  <c r="AJ190" i="15" s="1"/>
  <c r="AT191" i="15" s="1"/>
  <c r="AL182" i="15"/>
  <c r="AL189" i="15" s="1"/>
  <c r="AL190" i="15" s="1"/>
  <c r="L8" i="14"/>
  <c r="AQ8" i="14" s="1"/>
  <c r="L72" i="14"/>
  <c r="AQ72" i="14" s="1"/>
  <c r="L8" i="12"/>
  <c r="AQ8" i="12" s="1"/>
  <c r="L72" i="12"/>
  <c r="AQ72" i="12" s="1"/>
  <c r="L8" i="13"/>
  <c r="AQ8" i="13" s="1"/>
  <c r="L72" i="13"/>
  <c r="AQ72" i="13" s="1"/>
  <c r="AB71" i="3" l="1"/>
  <c r="L71" i="3"/>
  <c r="H71" i="3"/>
  <c r="C71" i="3"/>
  <c r="AQ71" i="3" s="1"/>
  <c r="AB70" i="3"/>
  <c r="L70" i="3"/>
  <c r="H70" i="3"/>
  <c r="C70" i="3"/>
  <c r="AQ70" i="3" s="1"/>
  <c r="AB69" i="3"/>
  <c r="L69" i="3"/>
  <c r="H69" i="3"/>
  <c r="C69" i="3"/>
  <c r="AB68" i="3"/>
  <c r="L68" i="3"/>
  <c r="H68" i="3"/>
  <c r="C68" i="3"/>
  <c r="AB67" i="3"/>
  <c r="L67" i="3"/>
  <c r="H67" i="3"/>
  <c r="C67" i="3"/>
  <c r="AQ67" i="3" s="1"/>
  <c r="AB66" i="3"/>
  <c r="L66" i="3"/>
  <c r="H66" i="3"/>
  <c r="C66" i="3"/>
  <c r="AE65" i="3"/>
  <c r="AB65" i="3"/>
  <c r="V65" i="3"/>
  <c r="L65" i="3" s="1"/>
  <c r="H65" i="3"/>
  <c r="D65" i="3"/>
  <c r="D57" i="3" s="1"/>
  <c r="AQ64" i="3"/>
  <c r="AB64" i="3"/>
  <c r="L64" i="3"/>
  <c r="H64" i="3"/>
  <c r="C64" i="3"/>
  <c r="AB63" i="3"/>
  <c r="L63" i="3"/>
  <c r="H63" i="3"/>
  <c r="C63" i="3"/>
  <c r="AB62" i="3"/>
  <c r="L62" i="3"/>
  <c r="H62" i="3"/>
  <c r="C62" i="3"/>
  <c r="AQ62" i="3" s="1"/>
  <c r="AB61" i="3"/>
  <c r="L61" i="3"/>
  <c r="H61" i="3"/>
  <c r="C61" i="3"/>
  <c r="AQ61" i="3" s="1"/>
  <c r="AB60" i="3"/>
  <c r="L60" i="3"/>
  <c r="H60" i="3"/>
  <c r="C60" i="3"/>
  <c r="AB59" i="3"/>
  <c r="L59" i="3"/>
  <c r="H59" i="3"/>
  <c r="C59" i="3"/>
  <c r="AP58" i="3"/>
  <c r="AN58" i="3"/>
  <c r="AJ58" i="3"/>
  <c r="AJ57" i="3" s="1"/>
  <c r="AI58" i="3"/>
  <c r="AI57" i="3" s="1"/>
  <c r="AH58" i="3"/>
  <c r="AH57" i="3" s="1"/>
  <c r="AG58" i="3"/>
  <c r="AG57" i="3" s="1"/>
  <c r="AE58" i="3"/>
  <c r="AE57" i="3" s="1"/>
  <c r="AD58" i="3"/>
  <c r="AD57" i="3" s="1"/>
  <c r="AC58" i="3"/>
  <c r="AB58" i="3" s="1"/>
  <c r="AB57" i="3" s="1"/>
  <c r="Z58" i="3"/>
  <c r="Y58" i="3"/>
  <c r="X58" i="3"/>
  <c r="W58" i="3"/>
  <c r="V58" i="3"/>
  <c r="R58" i="3"/>
  <c r="R57" i="3" s="1"/>
  <c r="P58" i="3"/>
  <c r="P57" i="3" s="1"/>
  <c r="O58" i="3"/>
  <c r="O57" i="3" s="1"/>
  <c r="N58" i="3"/>
  <c r="N57" i="3" s="1"/>
  <c r="M58" i="3"/>
  <c r="L58" i="3" s="1"/>
  <c r="K58" i="3"/>
  <c r="K57" i="3" s="1"/>
  <c r="J58" i="3"/>
  <c r="J57" i="3" s="1"/>
  <c r="I58" i="3"/>
  <c r="H58" i="3" s="1"/>
  <c r="H57" i="3" s="1"/>
  <c r="F58" i="3"/>
  <c r="C58" i="3" s="1"/>
  <c r="AP57" i="3"/>
  <c r="AO57" i="3"/>
  <c r="AM57" i="3"/>
  <c r="AL57" i="3"/>
  <c r="AK57" i="3"/>
  <c r="AF57" i="3"/>
  <c r="AC57" i="3"/>
  <c r="AA57" i="3"/>
  <c r="Z57" i="3"/>
  <c r="Y57" i="3"/>
  <c r="X57" i="3"/>
  <c r="V57" i="3"/>
  <c r="U57" i="3"/>
  <c r="T57" i="3"/>
  <c r="S57" i="3"/>
  <c r="Q57" i="3"/>
  <c r="G57" i="3"/>
  <c r="E57" i="3"/>
  <c r="AB56" i="3"/>
  <c r="L56" i="3"/>
  <c r="H56" i="3"/>
  <c r="C56" i="3"/>
  <c r="AQ56" i="3" s="1"/>
  <c r="AQ55" i="3"/>
  <c r="AB55" i="3"/>
  <c r="L55" i="3"/>
  <c r="H55" i="3"/>
  <c r="C55" i="3"/>
  <c r="AB54" i="3"/>
  <c r="L54" i="3"/>
  <c r="H54" i="3"/>
  <c r="C54" i="3"/>
  <c r="AQ54" i="3" s="1"/>
  <c r="AB53" i="3"/>
  <c r="L53" i="3"/>
  <c r="H53" i="3"/>
  <c r="C53" i="3"/>
  <c r="AB52" i="3"/>
  <c r="L52" i="3"/>
  <c r="H52" i="3"/>
  <c r="C52" i="3"/>
  <c r="AB51" i="3"/>
  <c r="L51" i="3"/>
  <c r="H51" i="3"/>
  <c r="C51" i="3"/>
  <c r="AQ51" i="3" s="1"/>
  <c r="AB50" i="3"/>
  <c r="L50" i="3"/>
  <c r="H50" i="3"/>
  <c r="C50" i="3"/>
  <c r="AQ50" i="3" s="1"/>
  <c r="AB49" i="3"/>
  <c r="L49" i="3"/>
  <c r="H49" i="3"/>
  <c r="C49" i="3"/>
  <c r="AB48" i="3"/>
  <c r="L48" i="3"/>
  <c r="H48" i="3"/>
  <c r="C48" i="3"/>
  <c r="AB47" i="3"/>
  <c r="L47" i="3"/>
  <c r="H47" i="3"/>
  <c r="C47" i="3"/>
  <c r="AB46" i="3"/>
  <c r="L46" i="3"/>
  <c r="H46" i="3"/>
  <c r="C46" i="3"/>
  <c r="AQ46" i="3" s="1"/>
  <c r="AP45" i="3"/>
  <c r="AO45" i="3"/>
  <c r="AO29" i="3" s="1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AA29" i="3" s="1"/>
  <c r="Z45" i="3"/>
  <c r="Y45" i="3"/>
  <c r="Y29" i="3" s="1"/>
  <c r="X45" i="3"/>
  <c r="X29" i="3" s="1"/>
  <c r="W45" i="3"/>
  <c r="V45" i="3"/>
  <c r="U45" i="3"/>
  <c r="U29" i="3" s="1"/>
  <c r="T45" i="3"/>
  <c r="T29" i="3" s="1"/>
  <c r="S45" i="3"/>
  <c r="S29" i="3" s="1"/>
  <c r="R45" i="3"/>
  <c r="Q45" i="3"/>
  <c r="Q29" i="3" s="1"/>
  <c r="P45" i="3"/>
  <c r="O45" i="3"/>
  <c r="N45" i="3"/>
  <c r="M45" i="3"/>
  <c r="K45" i="3"/>
  <c r="J45" i="3"/>
  <c r="I45" i="3"/>
  <c r="G45" i="3"/>
  <c r="G29" i="3" s="1"/>
  <c r="F45" i="3"/>
  <c r="F29" i="3" s="1"/>
  <c r="E45" i="3"/>
  <c r="E29" i="3" s="1"/>
  <c r="D45" i="3"/>
  <c r="D29" i="3" s="1"/>
  <c r="AB44" i="3"/>
  <c r="L44" i="3"/>
  <c r="H44" i="3"/>
  <c r="C44" i="3"/>
  <c r="AB43" i="3"/>
  <c r="L43" i="3"/>
  <c r="H43" i="3"/>
  <c r="C43" i="3"/>
  <c r="AQ43" i="3" s="1"/>
  <c r="AB42" i="3"/>
  <c r="L42" i="3"/>
  <c r="H42" i="3"/>
  <c r="C42" i="3"/>
  <c r="AQ42" i="3" s="1"/>
  <c r="AB41" i="3"/>
  <c r="L41" i="3"/>
  <c r="H41" i="3"/>
  <c r="C41" i="3"/>
  <c r="AQ41" i="3" s="1"/>
  <c r="AB40" i="3"/>
  <c r="L40" i="3"/>
  <c r="BA185" i="15" s="1"/>
  <c r="H40" i="3"/>
  <c r="C40" i="3"/>
  <c r="AB39" i="3"/>
  <c r="L39" i="3"/>
  <c r="BA184" i="15" s="1"/>
  <c r="H39" i="3"/>
  <c r="C39" i="3"/>
  <c r="AB38" i="3"/>
  <c r="L38" i="3"/>
  <c r="BA180" i="15" s="1"/>
  <c r="H38" i="3"/>
  <c r="C38" i="3"/>
  <c r="AB37" i="3"/>
  <c r="L37" i="3"/>
  <c r="H37" i="3"/>
  <c r="C37" i="3"/>
  <c r="AQ37" i="3" s="1"/>
  <c r="AB36" i="3"/>
  <c r="L36" i="3"/>
  <c r="BA181" i="15" s="1"/>
  <c r="H36" i="3"/>
  <c r="C36" i="3"/>
  <c r="AB35" i="3"/>
  <c r="L35" i="3"/>
  <c r="H35" i="3"/>
  <c r="C35" i="3"/>
  <c r="AQ35" i="3" s="1"/>
  <c r="AB34" i="3"/>
  <c r="L34" i="3"/>
  <c r="BA188" i="15" s="1"/>
  <c r="H34" i="3"/>
  <c r="C34" i="3"/>
  <c r="AB33" i="3"/>
  <c r="L33" i="3"/>
  <c r="H33" i="3"/>
  <c r="C33" i="3"/>
  <c r="AQ33" i="3" s="1"/>
  <c r="AB32" i="3"/>
  <c r="L32" i="3"/>
  <c r="BA182" i="15" s="1"/>
  <c r="H32" i="3"/>
  <c r="C32" i="3"/>
  <c r="AB31" i="3"/>
  <c r="L31" i="3"/>
  <c r="H31" i="3"/>
  <c r="C31" i="3"/>
  <c r="AP30" i="3"/>
  <c r="AP29" i="3" s="1"/>
  <c r="AN30" i="3"/>
  <c r="AM30" i="3"/>
  <c r="AM29" i="3" s="1"/>
  <c r="AL30" i="3"/>
  <c r="AL29" i="3" s="1"/>
  <c r="AK30" i="3"/>
  <c r="AJ30" i="3"/>
  <c r="AJ29" i="3" s="1"/>
  <c r="AI30" i="3"/>
  <c r="AI29" i="3" s="1"/>
  <c r="AH30" i="3"/>
  <c r="AH29" i="3" s="1"/>
  <c r="AG30" i="3"/>
  <c r="AG29" i="3" s="1"/>
  <c r="AF30" i="3"/>
  <c r="AE30" i="3"/>
  <c r="AD30" i="3"/>
  <c r="AC30" i="3"/>
  <c r="Z30" i="3"/>
  <c r="Y30" i="3"/>
  <c r="X30" i="3"/>
  <c r="W30" i="3"/>
  <c r="R30" i="3"/>
  <c r="P30" i="3"/>
  <c r="O30" i="3"/>
  <c r="O29" i="3" s="1"/>
  <c r="N30" i="3"/>
  <c r="M30" i="3"/>
  <c r="M29" i="3" s="1"/>
  <c r="K30" i="3"/>
  <c r="K29" i="3" s="1"/>
  <c r="J30" i="3"/>
  <c r="J29" i="3" s="1"/>
  <c r="I30" i="3"/>
  <c r="I29" i="3" s="1"/>
  <c r="AF29" i="3"/>
  <c r="Z29" i="3"/>
  <c r="V29" i="3"/>
  <c r="R29" i="3"/>
  <c r="P29" i="3"/>
  <c r="N29" i="3"/>
  <c r="AB28" i="3"/>
  <c r="AB27" i="3" s="1"/>
  <c r="H28" i="3"/>
  <c r="C28" i="3"/>
  <c r="AP27" i="3"/>
  <c r="AO27" i="3"/>
  <c r="AN27" i="3"/>
  <c r="AM27" i="3"/>
  <c r="AL27" i="3"/>
  <c r="AK27" i="3"/>
  <c r="AJ27" i="3"/>
  <c r="AI27" i="3"/>
  <c r="AI8" i="3" s="1"/>
  <c r="AH27" i="3"/>
  <c r="AG27" i="3"/>
  <c r="AF27" i="3"/>
  <c r="AE27" i="3"/>
  <c r="AD27" i="3"/>
  <c r="AC27" i="3"/>
  <c r="AA27" i="3"/>
  <c r="V27" i="3"/>
  <c r="U27" i="3"/>
  <c r="U8" i="3" s="1"/>
  <c r="T27" i="3"/>
  <c r="S27" i="3"/>
  <c r="R27" i="3"/>
  <c r="Q27" i="3"/>
  <c r="P27" i="3"/>
  <c r="O27" i="3"/>
  <c r="O8" i="3" s="1"/>
  <c r="N27" i="3"/>
  <c r="M27" i="3"/>
  <c r="K27" i="3"/>
  <c r="J27" i="3"/>
  <c r="I27" i="3"/>
  <c r="H27" i="3"/>
  <c r="G27" i="3"/>
  <c r="F27" i="3"/>
  <c r="E27" i="3"/>
  <c r="D27" i="3"/>
  <c r="C27" i="3"/>
  <c r="S26" i="3"/>
  <c r="AB25" i="3"/>
  <c r="L25" i="3"/>
  <c r="BA187" i="15" s="1"/>
  <c r="H25" i="3"/>
  <c r="C25" i="3"/>
  <c r="AB24" i="3"/>
  <c r="L24" i="3"/>
  <c r="E24" i="3"/>
  <c r="E21" i="3" s="1"/>
  <c r="C24" i="3"/>
  <c r="C21" i="3" s="1"/>
  <c r="AQ23" i="3"/>
  <c r="AD22" i="3"/>
  <c r="AC22" i="3"/>
  <c r="AB22" i="3"/>
  <c r="AB21" i="3" s="1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F21" i="3"/>
  <c r="D21" i="3"/>
  <c r="AB20" i="3"/>
  <c r="L20" i="3"/>
  <c r="H20" i="3"/>
  <c r="AB19" i="3"/>
  <c r="L19" i="3"/>
  <c r="H19" i="3"/>
  <c r="AQ18" i="3"/>
  <c r="AB17" i="3"/>
  <c r="L17" i="3"/>
  <c r="H17" i="3"/>
  <c r="H15" i="3" s="1"/>
  <c r="C17" i="3"/>
  <c r="AQ17" i="3" s="1"/>
  <c r="AQ16" i="3"/>
  <c r="AB16" i="3"/>
  <c r="AB15" i="3" s="1"/>
  <c r="L16" i="3"/>
  <c r="H16" i="3"/>
  <c r="C16" i="3"/>
  <c r="AP15" i="3"/>
  <c r="AO15" i="3"/>
  <c r="AN15" i="3"/>
  <c r="AM15" i="3"/>
  <c r="AL15" i="3"/>
  <c r="AK15" i="3"/>
  <c r="AJ15" i="3"/>
  <c r="AI15" i="3"/>
  <c r="AI26" i="3" s="1"/>
  <c r="AH15" i="3"/>
  <c r="AG15" i="3"/>
  <c r="AF15" i="3"/>
  <c r="AE15" i="3"/>
  <c r="AE26" i="3" s="1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26" i="3" s="1"/>
  <c r="O72" i="3" s="1"/>
  <c r="N15" i="3"/>
  <c r="M15" i="3"/>
  <c r="K15" i="3"/>
  <c r="J15" i="3"/>
  <c r="I15" i="3"/>
  <c r="G15" i="3"/>
  <c r="F15" i="3"/>
  <c r="E15" i="3"/>
  <c r="D15" i="3"/>
  <c r="AB14" i="3"/>
  <c r="L14" i="3"/>
  <c r="H14" i="3"/>
  <c r="C14" i="3"/>
  <c r="AB13" i="3"/>
  <c r="AB9" i="3" s="1"/>
  <c r="L13" i="3"/>
  <c r="H13" i="3"/>
  <c r="C13" i="3"/>
  <c r="AQ12" i="3"/>
  <c r="AB11" i="3"/>
  <c r="L11" i="3"/>
  <c r="H11" i="3"/>
  <c r="C11" i="3"/>
  <c r="AB10" i="3"/>
  <c r="L10" i="3"/>
  <c r="H10" i="3"/>
  <c r="C10" i="3"/>
  <c r="C9" i="3" s="1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G9" i="3"/>
  <c r="F9" i="3"/>
  <c r="E9" i="3"/>
  <c r="D9" i="3"/>
  <c r="AO8" i="3"/>
  <c r="G8" i="3"/>
  <c r="AP7" i="3"/>
  <c r="AO7" i="3"/>
  <c r="AN7" i="3"/>
  <c r="AN26" i="3" s="1"/>
  <c r="AM7" i="3"/>
  <c r="AM26" i="3" s="1"/>
  <c r="AM72" i="3" s="1"/>
  <c r="AL7" i="3"/>
  <c r="AK7" i="3"/>
  <c r="AJ7" i="3"/>
  <c r="AI7" i="3"/>
  <c r="AH7" i="3"/>
  <c r="AG7" i="3"/>
  <c r="AF7" i="3"/>
  <c r="AE7" i="3"/>
  <c r="AE8" i="3" s="1"/>
  <c r="AD7" i="3"/>
  <c r="AD8" i="3" s="1"/>
  <c r="AC7" i="3"/>
  <c r="AA7" i="3"/>
  <c r="AA26" i="3" s="1"/>
  <c r="Z7" i="3"/>
  <c r="Y7" i="3"/>
  <c r="X7" i="3"/>
  <c r="W7" i="3"/>
  <c r="W8" i="3" s="1"/>
  <c r="V7" i="3"/>
  <c r="V8" i="3" s="1"/>
  <c r="U7" i="3"/>
  <c r="T7" i="3"/>
  <c r="S7" i="3"/>
  <c r="S8" i="3" s="1"/>
  <c r="R7" i="3"/>
  <c r="Q7" i="3"/>
  <c r="P7" i="3"/>
  <c r="O7" i="3"/>
  <c r="N7" i="3"/>
  <c r="M7" i="3"/>
  <c r="K7" i="3"/>
  <c r="K26" i="3" s="1"/>
  <c r="J7" i="3"/>
  <c r="J26" i="3" s="1"/>
  <c r="I7" i="3"/>
  <c r="G7" i="3"/>
  <c r="G26" i="3" s="1"/>
  <c r="F7" i="3"/>
  <c r="F8" i="3" s="1"/>
  <c r="E7" i="3"/>
  <c r="E8" i="3" s="1"/>
  <c r="D7" i="3"/>
  <c r="D8" i="3" s="1"/>
  <c r="AB6" i="3"/>
  <c r="L6" i="3"/>
  <c r="H6" i="3"/>
  <c r="C6" i="3"/>
  <c r="AQ6" i="3" s="1"/>
  <c r="AB5" i="3"/>
  <c r="L5" i="3"/>
  <c r="H5" i="3"/>
  <c r="C5" i="3"/>
  <c r="AQ5" i="3" s="1"/>
  <c r="AB4" i="3"/>
  <c r="L4" i="3"/>
  <c r="H4" i="3"/>
  <c r="C4" i="3"/>
  <c r="AQ4" i="3" s="1"/>
  <c r="AB3" i="3"/>
  <c r="L3" i="3"/>
  <c r="H3" i="3"/>
  <c r="H7" i="3" s="1"/>
  <c r="C3" i="3"/>
  <c r="AB2" i="3"/>
  <c r="L2" i="3"/>
  <c r="H2" i="3"/>
  <c r="C2" i="3"/>
  <c r="E36" i="5"/>
  <c r="D22" i="7" s="1"/>
  <c r="D36" i="5"/>
  <c r="C22" i="7" s="1"/>
  <c r="E35" i="5"/>
  <c r="D21" i="7" s="1"/>
  <c r="D35" i="5"/>
  <c r="C21" i="7" s="1"/>
  <c r="F22" i="7"/>
  <c r="F21" i="7"/>
  <c r="G72" i="3" l="1"/>
  <c r="AA72" i="3"/>
  <c r="AB30" i="3"/>
  <c r="AQ48" i="3"/>
  <c r="AQ52" i="3"/>
  <c r="AQ68" i="3"/>
  <c r="Y26" i="3"/>
  <c r="Y28" i="3" s="1"/>
  <c r="Y27" i="3" s="1"/>
  <c r="Y8" i="3" s="1"/>
  <c r="AP26" i="3"/>
  <c r="AP72" i="3" s="1"/>
  <c r="AQ14" i="3"/>
  <c r="I26" i="3"/>
  <c r="I72" i="3" s="1"/>
  <c r="Z26" i="3"/>
  <c r="Z28" i="3" s="1"/>
  <c r="Z27" i="3" s="1"/>
  <c r="Z72" i="3" s="1"/>
  <c r="AK29" i="3"/>
  <c r="AQ53" i="3"/>
  <c r="AQ69" i="3"/>
  <c r="AM8" i="3"/>
  <c r="AQ34" i="3"/>
  <c r="AZ188" i="15"/>
  <c r="AW188" i="15" s="1"/>
  <c r="L57" i="3"/>
  <c r="AQ38" i="3"/>
  <c r="AZ180" i="15"/>
  <c r="AW180" i="15" s="1"/>
  <c r="AQ49" i="3"/>
  <c r="M26" i="3"/>
  <c r="M72" i="3" s="1"/>
  <c r="M8" i="3"/>
  <c r="I57" i="3"/>
  <c r="AN29" i="3"/>
  <c r="AN72" i="3" s="1"/>
  <c r="W26" i="3"/>
  <c r="W72" i="3" s="1"/>
  <c r="N8" i="3"/>
  <c r="L9" i="3"/>
  <c r="L26" i="3" s="1"/>
  <c r="L15" i="3"/>
  <c r="AQ15" i="3" s="1"/>
  <c r="H45" i="3"/>
  <c r="K8" i="3"/>
  <c r="AF26" i="3"/>
  <c r="AF72" i="3" s="1"/>
  <c r="AQ31" i="3"/>
  <c r="AZ186" i="15"/>
  <c r="M57" i="3"/>
  <c r="AQ59" i="3"/>
  <c r="AQ63" i="3"/>
  <c r="AQ66" i="3"/>
  <c r="S72" i="3"/>
  <c r="J72" i="3"/>
  <c r="P26" i="3"/>
  <c r="P72" i="3" s="1"/>
  <c r="AG26" i="3"/>
  <c r="AQ11" i="3"/>
  <c r="AQ25" i="3"/>
  <c r="AZ187" i="15"/>
  <c r="AW187" i="15" s="1"/>
  <c r="AA8" i="3"/>
  <c r="AD29" i="3"/>
  <c r="AQ39" i="3"/>
  <c r="AZ184" i="15"/>
  <c r="AW184" i="15" s="1"/>
  <c r="AB45" i="3"/>
  <c r="X26" i="3"/>
  <c r="AC26" i="3"/>
  <c r="AC72" i="3" s="1"/>
  <c r="C7" i="3"/>
  <c r="AB7" i="3"/>
  <c r="AQ7" i="3" s="1"/>
  <c r="Q26" i="3"/>
  <c r="Q72" i="3" s="1"/>
  <c r="AH26" i="3"/>
  <c r="AH72" i="3" s="1"/>
  <c r="H9" i="3"/>
  <c r="AQ20" i="3"/>
  <c r="L30" i="3"/>
  <c r="L29" i="3" s="1"/>
  <c r="BA186" i="15"/>
  <c r="BA189" i="15" s="1"/>
  <c r="BA190" i="15" s="1"/>
  <c r="C45" i="3"/>
  <c r="AQ45" i="3" s="1"/>
  <c r="W29" i="3"/>
  <c r="R26" i="3"/>
  <c r="R72" i="3" s="1"/>
  <c r="AC8" i="3"/>
  <c r="L21" i="3"/>
  <c r="AC29" i="3"/>
  <c r="L7" i="3"/>
  <c r="AJ8" i="3"/>
  <c r="C15" i="3"/>
  <c r="AQ32" i="3"/>
  <c r="AZ182" i="15"/>
  <c r="AW182" i="15" s="1"/>
  <c r="L45" i="3"/>
  <c r="AQ60" i="3"/>
  <c r="T8" i="3"/>
  <c r="AK26" i="3"/>
  <c r="AG8" i="3"/>
  <c r="AE29" i="3"/>
  <c r="AE72" i="3" s="1"/>
  <c r="H30" i="3"/>
  <c r="AQ36" i="3"/>
  <c r="AZ181" i="15"/>
  <c r="AQ40" i="3"/>
  <c r="AZ185" i="15"/>
  <c r="AW185" i="15" s="1"/>
  <c r="E26" i="3"/>
  <c r="E72" i="3" s="1"/>
  <c r="AQ3" i="3"/>
  <c r="U26" i="3"/>
  <c r="U72" i="3" s="1"/>
  <c r="AL8" i="3"/>
  <c r="AK8" i="3"/>
  <c r="AQ13" i="3"/>
  <c r="AQ44" i="3"/>
  <c r="AQ47" i="3"/>
  <c r="H26" i="3"/>
  <c r="H8" i="3"/>
  <c r="AG72" i="3"/>
  <c r="AQ58" i="3"/>
  <c r="C8" i="3"/>
  <c r="C26" i="3"/>
  <c r="AI72" i="3"/>
  <c r="H29" i="3"/>
  <c r="X28" i="3"/>
  <c r="AB8" i="3"/>
  <c r="AB26" i="3"/>
  <c r="K72" i="3"/>
  <c r="P8" i="3"/>
  <c r="AF8" i="3"/>
  <c r="AN8" i="3"/>
  <c r="D26" i="3"/>
  <c r="D72" i="3" s="1"/>
  <c r="T26" i="3"/>
  <c r="T72" i="3" s="1"/>
  <c r="AJ26" i="3"/>
  <c r="AJ72" i="3" s="1"/>
  <c r="F57" i="3"/>
  <c r="C65" i="3"/>
  <c r="AQ65" i="3" s="1"/>
  <c r="I8" i="3"/>
  <c r="Q8" i="3"/>
  <c r="AQ10" i="3"/>
  <c r="AQ19" i="3"/>
  <c r="AQ24" i="3"/>
  <c r="C30" i="3"/>
  <c r="W57" i="3"/>
  <c r="J8" i="3"/>
  <c r="R8" i="3"/>
  <c r="AH8" i="3"/>
  <c r="AP8" i="3"/>
  <c r="AO22" i="3"/>
  <c r="AO21" i="3" s="1"/>
  <c r="AO26" i="3" s="1"/>
  <c r="AO72" i="3" s="1"/>
  <c r="F26" i="3"/>
  <c r="F72" i="3" s="1"/>
  <c r="N26" i="3"/>
  <c r="N72" i="3" s="1"/>
  <c r="V26" i="3"/>
  <c r="V72" i="3" s="1"/>
  <c r="AD26" i="3"/>
  <c r="AD72" i="3" s="1"/>
  <c r="AL26" i="3"/>
  <c r="AL72" i="3" s="1"/>
  <c r="AN57" i="3"/>
  <c r="AQ2" i="3"/>
  <c r="E23" i="5"/>
  <c r="D23" i="5"/>
  <c r="E27" i="5"/>
  <c r="D27" i="5"/>
  <c r="AQ9" i="3" l="1"/>
  <c r="AK72" i="3"/>
  <c r="AW186" i="15"/>
  <c r="AB29" i="3"/>
  <c r="AB72" i="3" s="1"/>
  <c r="AZ189" i="15"/>
  <c r="AZ190" i="15" s="1"/>
  <c r="AW181" i="15"/>
  <c r="AW189" i="15" s="1"/>
  <c r="AW190" i="15" s="1"/>
  <c r="Z8" i="3"/>
  <c r="X27" i="3"/>
  <c r="L28" i="3"/>
  <c r="AQ26" i="3"/>
  <c r="AQ22" i="3"/>
  <c r="AQ21" i="3" s="1"/>
  <c r="Y72" i="3"/>
  <c r="AQ30" i="3"/>
  <c r="AQ29" i="3" s="1"/>
  <c r="C29" i="3"/>
  <c r="C72" i="3" s="1"/>
  <c r="C57" i="3"/>
  <c r="AQ57" i="3" s="1"/>
  <c r="H72" i="3"/>
  <c r="F19" i="7"/>
  <c r="D33" i="5"/>
  <c r="C19" i="7" s="1"/>
  <c r="E33" i="5"/>
  <c r="D19" i="7" s="1"/>
  <c r="D18" i="5"/>
  <c r="E18" i="5"/>
  <c r="L27" i="3" l="1"/>
  <c r="AQ28" i="3"/>
  <c r="AQ27" i="3" s="1"/>
  <c r="X8" i="3"/>
  <c r="X72" i="3"/>
  <c r="D5" i="5"/>
  <c r="E34" i="5"/>
  <c r="E32" i="5"/>
  <c r="E31" i="5"/>
  <c r="E30" i="5"/>
  <c r="E29" i="5"/>
  <c r="E28" i="5"/>
  <c r="D14" i="7" s="1"/>
  <c r="E26" i="5"/>
  <c r="E25" i="5"/>
  <c r="E24" i="5"/>
  <c r="E22" i="5"/>
  <c r="E21" i="5"/>
  <c r="E20" i="5"/>
  <c r="D34" i="5"/>
  <c r="D32" i="5"/>
  <c r="D31" i="5"/>
  <c r="D30" i="5"/>
  <c r="D29" i="5"/>
  <c r="D28" i="5"/>
  <c r="C14" i="7" s="1"/>
  <c r="D26" i="5"/>
  <c r="D25" i="5"/>
  <c r="D24" i="5"/>
  <c r="D22" i="5"/>
  <c r="D21" i="5"/>
  <c r="D20" i="5"/>
  <c r="D6" i="5"/>
  <c r="D7" i="5"/>
  <c r="D8" i="5"/>
  <c r="D9" i="5"/>
  <c r="D10" i="5"/>
  <c r="D11" i="5"/>
  <c r="D12" i="5"/>
  <c r="D13" i="5"/>
  <c r="D14" i="5"/>
  <c r="C46" i="10" s="1"/>
  <c r="D15" i="5"/>
  <c r="C47" i="10" s="1"/>
  <c r="D16" i="5"/>
  <c r="D17" i="5"/>
  <c r="F11" i="10"/>
  <c r="F16" i="10"/>
  <c r="F21" i="10"/>
  <c r="F26" i="10"/>
  <c r="F31" i="10"/>
  <c r="F36" i="10"/>
  <c r="F46" i="10"/>
  <c r="F47" i="10"/>
  <c r="F6" i="10"/>
  <c r="F14" i="7"/>
  <c r="F7" i="7"/>
  <c r="F8" i="7"/>
  <c r="F15" i="7"/>
  <c r="F16" i="7"/>
  <c r="F17" i="7"/>
  <c r="F18" i="7"/>
  <c r="F20" i="7"/>
  <c r="F6" i="7"/>
  <c r="B5" i="8"/>
  <c r="B6" i="8"/>
  <c r="B7" i="8"/>
  <c r="B8" i="8"/>
  <c r="B9" i="8"/>
  <c r="B10" i="8"/>
  <c r="B11" i="8"/>
  <c r="B4" i="8"/>
  <c r="E15" i="10" l="1"/>
  <c r="E14" i="10"/>
  <c r="E13" i="10"/>
  <c r="E12" i="10"/>
  <c r="E35" i="10"/>
  <c r="E34" i="10"/>
  <c r="E33" i="10"/>
  <c r="E32" i="10"/>
  <c r="E25" i="10"/>
  <c r="E24" i="10"/>
  <c r="E23" i="10"/>
  <c r="E22" i="10"/>
  <c r="E40" i="10"/>
  <c r="E39" i="10"/>
  <c r="E38" i="10"/>
  <c r="E37" i="10"/>
  <c r="E20" i="10"/>
  <c r="E19" i="10"/>
  <c r="E18" i="10"/>
  <c r="E17" i="10"/>
  <c r="E30" i="10"/>
  <c r="E29" i="10"/>
  <c r="E28" i="10"/>
  <c r="E27" i="10"/>
  <c r="Q19" i="8"/>
  <c r="Q23" i="8"/>
  <c r="Q24" i="8"/>
  <c r="Q25" i="8"/>
  <c r="Q26" i="8"/>
  <c r="Q20" i="8"/>
  <c r="Q21" i="8"/>
  <c r="Q28" i="8"/>
  <c r="Q22" i="8"/>
  <c r="Q18" i="8"/>
  <c r="Q29" i="8"/>
  <c r="Q27" i="8"/>
  <c r="Q17" i="8"/>
  <c r="E10" i="10"/>
  <c r="E9" i="10"/>
  <c r="E8" i="10"/>
  <c r="E7" i="10"/>
  <c r="L8" i="3"/>
  <c r="AQ8" i="3" s="1"/>
  <c r="L72" i="3"/>
  <c r="AQ72" i="3" s="1"/>
  <c r="D7" i="7"/>
  <c r="D8" i="7"/>
  <c r="D15" i="7"/>
  <c r="D16" i="7"/>
  <c r="D17" i="7"/>
  <c r="D18" i="7"/>
  <c r="D20" i="7"/>
  <c r="D6" i="7"/>
  <c r="C20" i="7"/>
  <c r="C7" i="7"/>
  <c r="C8" i="7"/>
  <c r="C15" i="7"/>
  <c r="C16" i="7"/>
  <c r="C17" i="7"/>
  <c r="C18" i="7"/>
  <c r="C6" i="7"/>
  <c r="E6" i="5"/>
  <c r="D11" i="10" s="1"/>
  <c r="E7" i="5"/>
  <c r="D16" i="10" s="1"/>
  <c r="E8" i="5"/>
  <c r="D21" i="10" s="1"/>
  <c r="D26" i="10"/>
  <c r="E10" i="5"/>
  <c r="D31" i="10" s="1"/>
  <c r="E11" i="5"/>
  <c r="D36" i="10" s="1"/>
  <c r="E12" i="5"/>
  <c r="D41" i="10"/>
  <c r="E14" i="5"/>
  <c r="D46" i="10" s="1"/>
  <c r="E15" i="5"/>
  <c r="D47" i="10" s="1"/>
  <c r="E16" i="5"/>
  <c r="E17" i="5"/>
  <c r="E5" i="5"/>
  <c r="D6" i="10" s="1"/>
  <c r="D7" i="2" l="1"/>
  <c r="C7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7" i="2" s="1"/>
  <c r="Y5" i="2"/>
  <c r="Y7" i="2" s="1"/>
  <c r="X5" i="2"/>
  <c r="X6" i="2" s="1"/>
  <c r="W5" i="2"/>
  <c r="W6" i="2" s="1"/>
  <c r="V5" i="2"/>
  <c r="V7" i="2" s="1"/>
  <c r="U5" i="2"/>
  <c r="U7" i="2" s="1"/>
  <c r="T5" i="2"/>
  <c r="T7" i="2" s="1"/>
  <c r="S5" i="2"/>
  <c r="S7" i="2" s="1"/>
  <c r="R5" i="2"/>
  <c r="R7" i="2" s="1"/>
  <c r="Q5" i="2"/>
  <c r="Q7" i="2" s="1"/>
  <c r="P5" i="2"/>
  <c r="P6" i="2" s="1"/>
  <c r="O5" i="2"/>
  <c r="O6" i="2" s="1"/>
  <c r="N5" i="2"/>
  <c r="N7" i="2" s="1"/>
  <c r="M5" i="2"/>
  <c r="M7" i="2" s="1"/>
  <c r="L5" i="2"/>
  <c r="L7" i="2" s="1"/>
  <c r="K5" i="2"/>
  <c r="K7" i="2" s="1"/>
  <c r="J5" i="2"/>
  <c r="J7" i="2" s="1"/>
  <c r="I5" i="2"/>
  <c r="I7" i="2" s="1"/>
  <c r="H5" i="2"/>
  <c r="H6" i="2" s="1"/>
  <c r="G5" i="2"/>
  <c r="G6" i="2" s="1"/>
  <c r="F5" i="2"/>
  <c r="F7" i="2" s="1"/>
  <c r="E5" i="2"/>
  <c r="E7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D3" i="8" s="1"/>
  <c r="C3" i="2" a="1"/>
  <c r="C3" i="2" s="1"/>
  <c r="AB3" i="2" l="1" a="1"/>
  <c r="AB3" i="2" s="1"/>
  <c r="F6" i="2"/>
  <c r="AC3" i="2" a="1"/>
  <c r="AC3" i="2" s="1"/>
  <c r="M6" i="2"/>
  <c r="L3" i="2" a="1"/>
  <c r="L3" i="2" s="1"/>
  <c r="AD3" i="2" a="1"/>
  <c r="AD3" i="2" s="1"/>
  <c r="N6" i="2"/>
  <c r="U6" i="2"/>
  <c r="AA3" i="2" a="1"/>
  <c r="AA3" i="2" s="1"/>
  <c r="N3" i="2" a="1"/>
  <c r="N3" i="2" s="1"/>
  <c r="V6" i="2"/>
  <c r="O3" i="2" a="1"/>
  <c r="O3" i="2" s="1"/>
  <c r="AC6" i="2"/>
  <c r="K3" i="2" a="1"/>
  <c r="K3" i="2" s="1"/>
  <c r="P3" i="2" a="1"/>
  <c r="P3" i="2" s="1"/>
  <c r="Q3" i="2" a="1"/>
  <c r="Q3" i="2" s="1"/>
  <c r="R3" i="2" a="1"/>
  <c r="R3" i="2" s="1"/>
  <c r="AD6" i="2"/>
  <c r="M3" i="2" a="1"/>
  <c r="M3" i="2" s="1"/>
  <c r="C57" i="6"/>
  <c r="C73" i="6"/>
  <c r="C56" i="6"/>
  <c r="C36" i="6"/>
  <c r="C46" i="5"/>
  <c r="C62" i="5"/>
  <c r="C78" i="5"/>
  <c r="C94" i="5"/>
  <c r="C110" i="5"/>
  <c r="C126" i="5"/>
  <c r="C58" i="6"/>
  <c r="C74" i="6"/>
  <c r="C55" i="6"/>
  <c r="C47" i="5"/>
  <c r="C63" i="5"/>
  <c r="C79" i="5"/>
  <c r="C95" i="5"/>
  <c r="C111" i="5"/>
  <c r="C127" i="5"/>
  <c r="C59" i="6"/>
  <c r="C75" i="6"/>
  <c r="C54" i="6"/>
  <c r="C48" i="5"/>
  <c r="C64" i="5"/>
  <c r="C80" i="5"/>
  <c r="C96" i="5"/>
  <c r="C112" i="5"/>
  <c r="C128" i="5"/>
  <c r="C60" i="6"/>
  <c r="C76" i="6"/>
  <c r="C53" i="6"/>
  <c r="C49" i="5"/>
  <c r="C65" i="5"/>
  <c r="C81" i="5"/>
  <c r="C97" i="5"/>
  <c r="C113" i="5"/>
  <c r="C129" i="5"/>
  <c r="C61" i="6"/>
  <c r="C77" i="6"/>
  <c r="C50" i="5"/>
  <c r="C66" i="5"/>
  <c r="C82" i="5"/>
  <c r="C98" i="5"/>
  <c r="C114" i="5"/>
  <c r="C130" i="5"/>
  <c r="C62" i="6"/>
  <c r="C78" i="6"/>
  <c r="C51" i="5"/>
  <c r="C67" i="5"/>
  <c r="C83" i="5"/>
  <c r="C99" i="5"/>
  <c r="C115" i="5"/>
  <c r="C131" i="5"/>
  <c r="C63" i="6"/>
  <c r="C79" i="6"/>
  <c r="C52" i="5"/>
  <c r="C68" i="5"/>
  <c r="C84" i="5"/>
  <c r="C100" i="5"/>
  <c r="C116" i="5"/>
  <c r="C132" i="5"/>
  <c r="C64" i="6"/>
  <c r="C80" i="6"/>
  <c r="C53" i="5"/>
  <c r="C69" i="5"/>
  <c r="C85" i="5"/>
  <c r="C101" i="5"/>
  <c r="C117" i="5"/>
  <c r="C133" i="5"/>
  <c r="C65" i="6"/>
  <c r="C81" i="6"/>
  <c r="C38" i="5"/>
  <c r="C54" i="5"/>
  <c r="C70" i="5"/>
  <c r="C86" i="5"/>
  <c r="C102" i="5"/>
  <c r="C118" i="5"/>
  <c r="C134" i="5"/>
  <c r="C66" i="6"/>
  <c r="C82" i="6"/>
  <c r="C39" i="5"/>
  <c r="C55" i="5"/>
  <c r="C71" i="5"/>
  <c r="C87" i="5"/>
  <c r="C103" i="5"/>
  <c r="C119" i="5"/>
  <c r="C135" i="5"/>
  <c r="C67" i="6"/>
  <c r="C83" i="6"/>
  <c r="C15" i="6"/>
  <c r="C40" i="5"/>
  <c r="C56" i="5"/>
  <c r="C72" i="5"/>
  <c r="C88" i="5"/>
  <c r="C104" i="5"/>
  <c r="C120" i="5"/>
  <c r="C136" i="5"/>
  <c r="C68" i="6"/>
  <c r="C84" i="6"/>
  <c r="C16" i="6"/>
  <c r="C41" i="5"/>
  <c r="C57" i="5"/>
  <c r="C73" i="5"/>
  <c r="C89" i="5"/>
  <c r="C105" i="5"/>
  <c r="C121" i="5"/>
  <c r="C137" i="5"/>
  <c r="C69" i="6"/>
  <c r="C85" i="6"/>
  <c r="C17" i="6"/>
  <c r="C42" i="5"/>
  <c r="C58" i="5"/>
  <c r="C74" i="5"/>
  <c r="C90" i="5"/>
  <c r="C106" i="5"/>
  <c r="C122" i="5"/>
  <c r="C138" i="5"/>
  <c r="C70" i="6"/>
  <c r="C86" i="6"/>
  <c r="C18" i="6"/>
  <c r="C43" i="5"/>
  <c r="C59" i="5"/>
  <c r="C75" i="5"/>
  <c r="C91" i="5"/>
  <c r="C107" i="5"/>
  <c r="C123" i="5"/>
  <c r="C139" i="5"/>
  <c r="C71" i="6"/>
  <c r="C87" i="6"/>
  <c r="C44" i="5"/>
  <c r="C60" i="5"/>
  <c r="C76" i="5"/>
  <c r="C92" i="5"/>
  <c r="C108" i="5"/>
  <c r="C124" i="5"/>
  <c r="C140" i="5"/>
  <c r="C72" i="6"/>
  <c r="C88" i="6"/>
  <c r="C37" i="6"/>
  <c r="C45" i="5"/>
  <c r="C61" i="5"/>
  <c r="C77" i="5"/>
  <c r="C93" i="5"/>
  <c r="C109" i="5"/>
  <c r="C125" i="5"/>
  <c r="C37" i="5"/>
  <c r="C36" i="5"/>
  <c r="B47" i="10"/>
  <c r="B36" i="10"/>
  <c r="B21" i="10"/>
  <c r="C35" i="5"/>
  <c r="B6" i="10"/>
  <c r="B21" i="7"/>
  <c r="B22" i="7"/>
  <c r="B11" i="10"/>
  <c r="C25" i="6"/>
  <c r="B41" i="10"/>
  <c r="B26" i="10"/>
  <c r="B46" i="10"/>
  <c r="B31" i="10"/>
  <c r="C24" i="6"/>
  <c r="B16" i="10"/>
  <c r="C27" i="5"/>
  <c r="C23" i="5"/>
  <c r="C8" i="6"/>
  <c r="C33" i="5"/>
  <c r="C12" i="6"/>
  <c r="C18" i="5"/>
  <c r="B19" i="7"/>
  <c r="C22" i="6"/>
  <c r="B18" i="7"/>
  <c r="C25" i="5"/>
  <c r="B20" i="7"/>
  <c r="C3" i="8"/>
  <c r="C10" i="6"/>
  <c r="B17" i="7"/>
  <c r="B14" i="7"/>
  <c r="B7" i="7"/>
  <c r="C24" i="5"/>
  <c r="C11" i="6"/>
  <c r="C13" i="6"/>
  <c r="B6" i="7"/>
  <c r="C26" i="5"/>
  <c r="C9" i="6"/>
  <c r="B16" i="7"/>
  <c r="C28" i="5"/>
  <c r="B8" i="7"/>
  <c r="B15" i="7"/>
  <c r="C32" i="5"/>
  <c r="C31" i="6"/>
  <c r="C20" i="6"/>
  <c r="C30" i="6"/>
  <c r="C14" i="6"/>
  <c r="C13" i="5"/>
  <c r="C31" i="5"/>
  <c r="C34" i="5"/>
  <c r="C21" i="6"/>
  <c r="C23" i="6"/>
  <c r="C28" i="6"/>
  <c r="C6" i="6"/>
  <c r="C27" i="6"/>
  <c r="C12" i="5"/>
  <c r="C21" i="5"/>
  <c r="C15" i="5"/>
  <c r="C20" i="5"/>
  <c r="C29" i="6"/>
  <c r="C7" i="6"/>
  <c r="C14" i="5"/>
  <c r="C5" i="5"/>
  <c r="C17" i="5"/>
  <c r="C49" i="6"/>
  <c r="C35" i="6"/>
  <c r="C51" i="6"/>
  <c r="C6" i="5"/>
  <c r="C44" i="6"/>
  <c r="C5" i="6"/>
  <c r="C46" i="6"/>
  <c r="C11" i="5"/>
  <c r="C19" i="6"/>
  <c r="C7" i="5"/>
  <c r="C43" i="6"/>
  <c r="C47" i="6"/>
  <c r="C22" i="5"/>
  <c r="C50" i="6"/>
  <c r="C32" i="6"/>
  <c r="C8" i="5"/>
  <c r="C48" i="6"/>
  <c r="C9" i="5"/>
  <c r="C45" i="6"/>
  <c r="C29" i="5"/>
  <c r="C33" i="6"/>
  <c r="C10" i="5"/>
  <c r="C30" i="5"/>
  <c r="C42" i="6"/>
  <c r="C16" i="5"/>
  <c r="S3" i="2" a="1"/>
  <c r="S3" i="2" s="1"/>
  <c r="T3" i="2" a="1"/>
  <c r="T3" i="2" s="1"/>
  <c r="I6" i="2"/>
  <c r="Q6" i="2"/>
  <c r="Y6" i="2"/>
  <c r="J6" i="2"/>
  <c r="R6" i="2"/>
  <c r="Z6" i="2"/>
  <c r="K6" i="2"/>
  <c r="S6" i="2"/>
  <c r="AA6" i="2"/>
  <c r="G7" i="2"/>
  <c r="O7" i="2"/>
  <c r="W7" i="2"/>
  <c r="L6" i="2"/>
  <c r="T6" i="2"/>
  <c r="AB6" i="2"/>
  <c r="H7" i="2"/>
  <c r="P7" i="2"/>
  <c r="X7" i="2"/>
  <c r="D5" i="8" l="1"/>
  <c r="D4" i="8"/>
  <c r="D6" i="8"/>
  <c r="D7" i="8"/>
  <c r="D10" i="8"/>
  <c r="D11" i="8"/>
  <c r="D9" i="8"/>
  <c r="D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tc={BD5A9F51-A744-45B5-93C6-1792A49D4216}</author>
  </authors>
  <commentList>
    <comment ref="P67" authorId="0" shapeId="0" xr:uid="{BD5A9F51-A744-45B5-93C6-1792A49D4216}">
      <text>
        <t>[Threaded comment]
Your version of Excel allows you to read this threaded comment; however, any edits to it will get removed if the file is opened in a newer version of Excel. Learn more: https://go.microsoft.com/fwlink/?linkid=870924
Comment:
    5 PJ from CHP in power sector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<sst xmlns="http://schemas.openxmlformats.org/spreadsheetml/2006/main" count="4503" uniqueCount="601">
  <si>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</si>
  <si>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</si>
  <si>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</si>
  <si>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</si>
  <si>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</si>
  <si>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</si>
  <si>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</si>
  <si>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</si>
  <si>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</si>
  <si>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</si>
  <si>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</si>
  <si>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</si>
  <si>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</si>
  <si>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</si>
  <si>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</si>
  <si>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</si>
  <si>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</si>
  <si>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</si>
  <si>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</si>
  <si>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</si>
  <si>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</si>
  <si>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</si>
  <si>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</si>
  <si>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</si>
  <si>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</si>
  <si>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</si>
  <si>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</si>
  <si>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</si>
  <si>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</si>
  <si>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</si>
  <si>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</si>
  <si>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</si>
  <si>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</si>
  <si>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</si>
  <si>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</si>
  <si>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</si>
  <si>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</si>
  <si>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</si>
  <si>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</si>
  <si>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</si>
  <si>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</si>
  <si>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</si>
  <si>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</si>
  <si>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</si>
  <si>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</si>
  <si>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</si>
  <si>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</si>
  <si>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</si>
  <si>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</si>
  <si>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</si>
  <si>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</si>
  <si>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</si>
  <si>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</si>
  <si>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</si>
  <si>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</si>
  <si>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</si>
  <si>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</si>
  <si>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</si>
  <si>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</si>
  <si>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</si>
  <si>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</si>
  <si>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</si>
  <si>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</si>
  <si>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</si>
  <si>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</si>
  <si>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</si>
  <si>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</si>
  <si>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</si>
  <si>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</si>
  <si>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</si>
  <si>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</si>
  <si>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</si>
  <si>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</si>
  <si>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</si>
  <si>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</si>
  <si>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</si>
  <si>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</si>
  <si>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</si>
  <si>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</si>
  <si>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</si>
  <si>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</si>
  <si>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</si>
  <si>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</si>
  <si>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</si>
  <si>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</si>
  <si>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</si>
  <si>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</si>
  <si>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</si>
  <si>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</si>
  <si>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</si>
  <si>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</si>
  <si>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</si>
  <si>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</si>
  <si>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</si>
  <si>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</si>
  <si>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</si>
  <si>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</si>
  <si>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</si>
  <si>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</si>
  <si>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</si>
  <si>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</si>
  <si>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</si>
  <si>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</si>
  <si>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</si>
  <si>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</si>
  <si>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</si>
  <si>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</si>
  <si>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</si>
  <si>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</si>
  <si>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</si>
  <si>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</si>
  <si>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</si>
  <si>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</si>
  <si>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</si>
  <si>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</si>
  <si>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</si>
  <si>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</si>
  <si>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</si>
  <si>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</si>
  <si>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</si>
  <si>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</si>
  <si>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</si>
  <si>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</si>
  <si>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</si>
  <si>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</si>
  <si>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</si>
  <si>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</si>
  <si>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</si>
  <si>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</si>
  <si>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</si>
  <si>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</si>
  <si>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</si>
  <si>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</si>
  <si>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</si>
  <si>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</si>
  <si>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</si>
  <si>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</si>
  <si>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</si>
  <si>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</si>
  <si>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</si>
  <si>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</si>
  <si>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</si>
  <si>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</si>
  <si>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</si>
  <si>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</si>
  <si>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</si>
  <si>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</si>
  <si>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</si>
  <si>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</si>
  <si>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</si>
  <si>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</si>
  <si>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</si>
  <si>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</si>
  <si>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</si>
  <si>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</si>
  <si>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</si>
  <si>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</si>
  <si>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</si>
  <si>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</si>
  <si>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</si>
  <si>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</si>
  <si>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</si>
  <si>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</si>
  <si>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</si>
  <si>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</si>
  <si>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</si>
  <si>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PJ</t>
  </si>
  <si>
    <t>PEAT</t>
  </si>
  <si>
    <t>OILKER</t>
  </si>
  <si>
    <t>OILHFO</t>
  </si>
  <si>
    <t>OILDST</t>
  </si>
  <si>
    <t>OILLPG</t>
  </si>
  <si>
    <t>OILCOK</t>
  </si>
  <si>
    <t>GASNAT</t>
  </si>
  <si>
    <t>\I: Emissions commodities</t>
  </si>
  <si>
    <t>ENV</t>
  </si>
  <si>
    <t>kt</t>
  </si>
  <si>
    <t>INDCH4N</t>
  </si>
  <si>
    <t>Methane - eNergy Emissions (IND)</t>
  </si>
  <si>
    <t>INDCH4P</t>
  </si>
  <si>
    <t>Methane Emissions - Process Emissions (IND)</t>
  </si>
  <si>
    <t>INDN2ON</t>
  </si>
  <si>
    <t>N2O Emissions - eNergy Emissions (IND)</t>
  </si>
  <si>
    <t>INDSO2N</t>
  </si>
  <si>
    <t>Sulfur dioxide - eNergy Emissions (IND)</t>
  </si>
  <si>
    <t>INDCO2N</t>
  </si>
  <si>
    <t>Carbon Dioxide - eNergy Emissions (IND)</t>
  </si>
  <si>
    <t>INDCO2P</t>
  </si>
  <si>
    <t>Carbon Dioxide - Process Emissions (IND)</t>
  </si>
  <si>
    <t>INDCO2S</t>
  </si>
  <si>
    <t>Carbon Dioxide - Sequestered (IND)</t>
  </si>
  <si>
    <t>INDNOXN</t>
  </si>
  <si>
    <t>Nitrogen Oxide  - eNergy Emissions (IND)</t>
  </si>
  <si>
    <t>INDPM10</t>
  </si>
  <si>
    <t>Particulate Matter &lt;10 µm (IND)</t>
  </si>
  <si>
    <t>INDPM25</t>
  </si>
  <si>
    <t>Particulate Matter &lt;2.5 µm (IND)</t>
  </si>
  <si>
    <t>INDPEA</t>
  </si>
  <si>
    <t xml:space="preserve">Peat (IND) </t>
  </si>
  <si>
    <t>INDCOA</t>
  </si>
  <si>
    <t>Coal (IND)</t>
  </si>
  <si>
    <t>Natural Gas (IND)</t>
  </si>
  <si>
    <t>INDGAS</t>
  </si>
  <si>
    <t>Region</t>
  </si>
  <si>
    <t>Electricity (IND)</t>
  </si>
  <si>
    <t>INDELC</t>
  </si>
  <si>
    <t>Non-renewable waste (IND)</t>
  </si>
  <si>
    <t>INDBGS</t>
  </si>
  <si>
    <t>Biogas (IND)</t>
  </si>
  <si>
    <t>\I: Energy commodities</t>
  </si>
  <si>
    <t>\I: Demand commodities</t>
  </si>
  <si>
    <t>DEM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</si>
  <si>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</si>
  <si>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</si>
  <si>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</si>
  <si>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</si>
  <si>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</si>
  <si>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</si>
  <si>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</si>
  <si>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</si>
  <si>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</si>
  <si>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DAYNITE</t>
  </si>
  <si>
    <t>PRE</t>
  </si>
  <si>
    <t>\I: Fuel Technologies</t>
  </si>
  <si>
    <t>PJa</t>
  </si>
  <si>
    <t>\I: Demand Processes</t>
  </si>
  <si>
    <t>DMD</t>
  </si>
  <si>
    <t>~FI_T:COM_PROJ~2018</t>
  </si>
  <si>
    <t>Conversion factors</t>
  </si>
  <si>
    <t>1 ktoe</t>
  </si>
  <si>
    <t>~FI_T</t>
  </si>
  <si>
    <t>Comm-IN</t>
  </si>
  <si>
    <t>Comm-OUT</t>
  </si>
  <si>
    <t>EFF</t>
  </si>
  <si>
    <t>Input Commodity</t>
  </si>
  <si>
    <t>Output Commodity</t>
  </si>
  <si>
    <t>Efficiency</t>
  </si>
  <si>
    <t>Lifetime</t>
  </si>
  <si>
    <t>*Units</t>
  </si>
  <si>
    <t>Years</t>
  </si>
  <si>
    <t>BIOGAS1G,BIOGAS2G</t>
  </si>
  <si>
    <t>NCAP_TLIFE</t>
  </si>
  <si>
    <t>*Region Name</t>
  </si>
  <si>
    <t>ELCD</t>
  </si>
  <si>
    <t>*TechDesc</t>
  </si>
  <si>
    <t>Technology Description</t>
  </si>
  <si>
    <t>Technology Name</t>
  </si>
  <si>
    <t>INDHFO</t>
  </si>
  <si>
    <t>INDLPG</t>
  </si>
  <si>
    <t>INDCOK</t>
  </si>
  <si>
    <t>Petroleum Coke (IND)</t>
  </si>
  <si>
    <t>INDDST</t>
  </si>
  <si>
    <t>Diesel (IND)</t>
  </si>
  <si>
    <t>Liquified Petroleum Gas (IND)</t>
  </si>
  <si>
    <t>Heavy Fuel Oil (IND)</t>
  </si>
  <si>
    <t>Input Share</t>
  </si>
  <si>
    <t>I/E rule</t>
  </si>
  <si>
    <t>SHARE-I~UP~2018</t>
  </si>
  <si>
    <t>SHARE-I~UP~0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</si>
  <si>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</si>
  <si>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</si>
  <si>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</si>
  <si>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</si>
  <si>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</si>
  <si>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</si>
  <si>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</si>
  <si>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</si>
  <si>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</si>
  <si>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</si>
  <si>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</si>
  <si>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</si>
  <si>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</si>
  <si>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</si>
  <si>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</si>
  <si>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</si>
  <si>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</si>
  <si>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</si>
  <si>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</si>
  <si>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</si>
  <si>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</si>
  <si>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</si>
  <si>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</si>
  <si>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</si>
  <si>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</si>
  <si>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</si>
  <si>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</si>
  <si>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</si>
  <si>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</si>
  <si>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</si>
  <si>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</si>
  <si>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</si>
  <si>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Biomass (IND)</t>
  </si>
  <si>
    <t>Renewable waste (IND)</t>
  </si>
  <si>
    <t>INDBIO</t>
  </si>
  <si>
    <t>INDRWS</t>
  </si>
  <si>
    <t>INDNWS</t>
  </si>
  <si>
    <t>BIODST1G,BIODST2G</t>
  </si>
  <si>
    <t>BioKerosene (IND)</t>
  </si>
  <si>
    <t>INDBKE</t>
  </si>
  <si>
    <t>BIOJKR</t>
  </si>
  <si>
    <t>INDH2L</t>
  </si>
  <si>
    <t>Hydrogen gaseous (IND)</t>
  </si>
  <si>
    <t>INDH2G</t>
  </si>
  <si>
    <t>Hydrogen liquid (IND)</t>
  </si>
  <si>
    <t>SUPH2GC, SUPH2GD</t>
  </si>
  <si>
    <t>SUPH2LC, SUPH2LD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</si>
  <si>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</si>
  <si>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</si>
  <si>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</si>
  <si>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</si>
  <si>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</si>
  <si>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</si>
  <si>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</si>
  <si>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</si>
  <si>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</si>
  <si>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</si>
  <si>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</si>
  <si>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</si>
  <si>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Base Year Template</t>
  </si>
  <si>
    <t>Industry sector (IND)</t>
  </si>
  <si>
    <t>Specify base year data and define sector structure</t>
  </si>
  <si>
    <t>Olexandr Balyk (UCC, olexandr.balyk@ucc.ie)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</si>
  <si>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</si>
  <si>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</si>
  <si>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</si>
  <si>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</si>
  <si>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</si>
  <si>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</si>
  <si>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</si>
  <si>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</si>
  <si>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</si>
  <si>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</si>
  <si>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</si>
  <si>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</si>
  <si>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</si>
  <si>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</si>
  <si>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</si>
  <si>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 xml:space="preserve">2019                        Units = ktoe
</t>
  </si>
  <si>
    <t>*Industry &amp; Services sub-sectoral breakdown is based on the CSO Business Energy Use (BEU) survey results for 2019.</t>
  </si>
  <si>
    <t>2019 provisional data</t>
  </si>
  <si>
    <t>2019 provisional data based on 2018 breakdown</t>
  </si>
  <si>
    <t>2018 data</t>
  </si>
  <si>
    <t xml:space="preserve">2020                        Units = ktoe
</t>
  </si>
  <si>
    <t>2020 provisional data</t>
  </si>
  <si>
    <t>2020 provisional data based on 2019 breakdown</t>
  </si>
  <si>
    <t>2019 data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</si>
  <si>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</si>
  <si>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</si>
  <si>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</si>
  <si>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</si>
  <si>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</si>
  <si>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FX</t>
  </si>
  <si>
    <t>Industry</t>
  </si>
  <si>
    <t>Metals</t>
  </si>
  <si>
    <t>ETS</t>
  </si>
  <si>
    <t>Industrial Gas CHP</t>
  </si>
  <si>
    <t>Gas</t>
  </si>
  <si>
    <t>Industrial Oil CHP</t>
  </si>
  <si>
    <t>Oil</t>
  </si>
  <si>
    <t>Cement</t>
  </si>
  <si>
    <t>Industrial Bio waste Cement/Lime Kiln</t>
  </si>
  <si>
    <t>Bio waste</t>
  </si>
  <si>
    <t>Industrial Non-bio waste Cement/Lime Kiln</t>
  </si>
  <si>
    <t>Non-bio waste</t>
  </si>
  <si>
    <t>Industrial Solid Fuels Cement/Lime Kiln</t>
  </si>
  <si>
    <t>Solid Fuels</t>
  </si>
  <si>
    <t>Industrial Oil Furnace</t>
  </si>
  <si>
    <t>Industrial Gas Furnace</t>
  </si>
  <si>
    <t>Industrial Gas Boiler</t>
  </si>
  <si>
    <t>Refining</t>
  </si>
  <si>
    <t>Lime</t>
  </si>
  <si>
    <t>Industrial Gas Cement/Lime Kiln</t>
  </si>
  <si>
    <t>Wood Products</t>
  </si>
  <si>
    <t>Industrial Bio fuel Dryer</t>
  </si>
  <si>
    <t>Bio fuel</t>
  </si>
  <si>
    <t>Other Industry</t>
  </si>
  <si>
    <t>Industrial Bio fuel Boiler</t>
  </si>
  <si>
    <t>Food and Drink</t>
  </si>
  <si>
    <t>Industrial Bio fuel CHP</t>
  </si>
  <si>
    <t>Industrial Gas Oven</t>
  </si>
  <si>
    <t>Industrial Bio fuel Oven</t>
  </si>
  <si>
    <t>Industrial Oil Boiler</t>
  </si>
  <si>
    <t>Industrial Oil Oven</t>
  </si>
  <si>
    <t>Industrial Solid Fuels Furnace</t>
  </si>
  <si>
    <t>Industrial Solid Fuels Dryer</t>
  </si>
  <si>
    <t>Industrial Non-bio waste Dryer</t>
  </si>
  <si>
    <t>Industrial Bio waste Dryer</t>
  </si>
  <si>
    <t>Chemicals</t>
  </si>
  <si>
    <t>Other Minerals</t>
  </si>
  <si>
    <t>Industrial Solid Fuels Boiler</t>
  </si>
  <si>
    <t>Industrial Gas Dryer</t>
  </si>
  <si>
    <t>Industrial Oil Dryer</t>
  </si>
  <si>
    <t>Industrial Gas Other Kiln</t>
  </si>
  <si>
    <t>Industrial Solid Fuels Other Kiln</t>
  </si>
  <si>
    <t>Non-ETS</t>
  </si>
  <si>
    <t>Industrial Solid Fuels CHP</t>
  </si>
  <si>
    <t>Industrial Bio fuel Other Kiln</t>
  </si>
  <si>
    <t>Industrial Oil Other Kiln</t>
  </si>
  <si>
    <t>Industrial Solid Fuels Oven</t>
  </si>
  <si>
    <t>Space heating demand (MWh)</t>
  </si>
  <si>
    <t>Electricity consumption (MWh)</t>
  </si>
  <si>
    <t>Cooling consumption (MWh)</t>
  </si>
  <si>
    <t>Stock</t>
  </si>
  <si>
    <t>Space heating fuel use (MWh)</t>
  </si>
  <si>
    <t>Cooling fuel use (MWh)</t>
  </si>
  <si>
    <t>Other electricity fuel use (MWh)</t>
  </si>
  <si>
    <t>Site Stock</t>
  </si>
  <si>
    <t>Heating Demand (MWh)</t>
  </si>
  <si>
    <t>High Grade Heat (&gt;500 C)</t>
  </si>
  <si>
    <t>Medium Grade Heat (150 - 500 C)</t>
  </si>
  <si>
    <t>Medium/Low Grade Heat (100 - 150 C)</t>
  </si>
  <si>
    <t>Low Grade Heat (&lt;100 C)</t>
  </si>
  <si>
    <t>Label for Heating technology</t>
  </si>
  <si>
    <t>Electricity Demand (Non-Net)</t>
  </si>
  <si>
    <t>Subsector</t>
  </si>
  <si>
    <t>Building type</t>
  </si>
  <si>
    <t>ETS status</t>
  </si>
  <si>
    <t>Heating</t>
  </si>
  <si>
    <t>Fuel (industrial)</t>
  </si>
  <si>
    <t>Cement/Lime Kiln</t>
  </si>
  <si>
    <t>Dryer</t>
  </si>
  <si>
    <t>CHP</t>
  </si>
  <si>
    <t>Boiler</t>
  </si>
  <si>
    <t>Oven</t>
  </si>
  <si>
    <t>Furnace</t>
  </si>
  <si>
    <t>Other Kiln</t>
  </si>
  <si>
    <t>Heating demand, National Heat Study, SEAI</t>
  </si>
  <si>
    <t xml:space="preserve">1 MWh </t>
  </si>
  <si>
    <t>Heating Demand (PJ)</t>
  </si>
  <si>
    <t>Industrial Oil Cement/Lime Kiln</t>
  </si>
  <si>
    <t>Heat temperature level shares</t>
  </si>
  <si>
    <t>Total</t>
  </si>
  <si>
    <t>Electricity</t>
  </si>
  <si>
    <t>Total (excluding electricity</t>
  </si>
  <si>
    <t>Energy Balance 2019</t>
  </si>
  <si>
    <t>CEM</t>
  </si>
  <si>
    <t>LIM</t>
  </si>
  <si>
    <t>REF</t>
  </si>
  <si>
    <t>CAF</t>
  </si>
  <si>
    <t>FAP</t>
  </si>
  <si>
    <t>MAP</t>
  </si>
  <si>
    <t>OMA</t>
  </si>
  <si>
    <t>ONM</t>
  </si>
  <si>
    <t>WAP</t>
  </si>
  <si>
    <t>KLN</t>
  </si>
  <si>
    <t>DRR</t>
  </si>
  <si>
    <t>OVN</t>
  </si>
  <si>
    <t>BLR</t>
  </si>
  <si>
    <t>FRN</t>
  </si>
  <si>
    <t>OKL</t>
  </si>
  <si>
    <t>Sector</t>
  </si>
  <si>
    <t>LIFE</t>
  </si>
  <si>
    <t>NWS</t>
  </si>
  <si>
    <t>RWS</t>
  </si>
  <si>
    <t>COA</t>
  </si>
  <si>
    <t>OIL</t>
  </si>
  <si>
    <t>GAS</t>
  </si>
  <si>
    <t>BIO</t>
  </si>
  <si>
    <t>NETS</t>
  </si>
  <si>
    <t>INDOIL</t>
  </si>
  <si>
    <t>Output share of heat temperature</t>
  </si>
  <si>
    <t>*Technology Name</t>
  </si>
  <si>
    <t>Availability</t>
  </si>
  <si>
    <t>CAP2ACT</t>
  </si>
  <si>
    <t>Capacity unit</t>
  </si>
  <si>
    <t>*Calibration</t>
  </si>
  <si>
    <t>*Output</t>
  </si>
  <si>
    <t xml:space="preserve">\I: </t>
  </si>
  <si>
    <t>Other non-metallic minerals</t>
  </si>
  <si>
    <t>Cement industry demand</t>
  </si>
  <si>
    <t>Chemicals industry demand</t>
  </si>
  <si>
    <t>INDHTH</t>
  </si>
  <si>
    <t>INDMTH</t>
  </si>
  <si>
    <t>INDLTH</t>
  </si>
  <si>
    <t>INDHET</t>
  </si>
  <si>
    <t>Energy Balance 2018</t>
  </si>
  <si>
    <t>Petroleum coke</t>
  </si>
  <si>
    <t>Energy consumption</t>
  </si>
  <si>
    <t>*SHARE-I~UP~2019</t>
  </si>
  <si>
    <t>*SHARE-I~UP~2020</t>
  </si>
  <si>
    <t>MW</t>
  </si>
  <si>
    <t>INDCOA,INDCOK</t>
  </si>
  <si>
    <t>IELC</t>
  </si>
  <si>
    <t>Electricity consumption industry</t>
  </si>
  <si>
    <t>IOIL</t>
  </si>
  <si>
    <t>Residual oil consumption industry</t>
  </si>
  <si>
    <t>INDOIl</t>
  </si>
  <si>
    <t>Heating temperature levels, %</t>
  </si>
  <si>
    <t>\I:</t>
  </si>
  <si>
    <t>Oil products (IND)</t>
  </si>
  <si>
    <t>Share-I</t>
  </si>
  <si>
    <t>Input share</t>
  </si>
  <si>
    <t>%</t>
  </si>
  <si>
    <t>Share-I~0</t>
  </si>
  <si>
    <t>Input share interpolation</t>
  </si>
  <si>
    <t>Table Name:</t>
  </si>
  <si>
    <t>Unsaved_144844</t>
  </si>
  <si>
    <t>Attribute</t>
  </si>
  <si>
    <t>Commodity</t>
  </si>
  <si>
    <t>VAR_FIn</t>
  </si>
  <si>
    <t>VAR_FOut</t>
  </si>
  <si>
    <t>ICAF</t>
  </si>
  <si>
    <t>ICEM</t>
  </si>
  <si>
    <t>IFAP</t>
  </si>
  <si>
    <t>ILIM</t>
  </si>
  <si>
    <t>IMAP</t>
  </si>
  <si>
    <t>IOMA</t>
  </si>
  <si>
    <t>IONM</t>
  </si>
  <si>
    <t>IWAP</t>
  </si>
  <si>
    <t>Gas(CHP)</t>
  </si>
  <si>
    <t>HTHEAT</t>
  </si>
  <si>
    <t>LTHEAT</t>
  </si>
  <si>
    <t>ELC</t>
  </si>
  <si>
    <t>*SHARE-O~UP~INDHTH</t>
  </si>
  <si>
    <t>*SHARE-O~UP~INDMTH</t>
  </si>
  <si>
    <t>*SHARE-O~UP~INDLTH</t>
  </si>
  <si>
    <t>*SHARE-O~UP~INDHET</t>
  </si>
  <si>
    <t>*SHARE-O~UP~0</t>
  </si>
  <si>
    <t>CEMHTH</t>
  </si>
  <si>
    <t>CEMMTH</t>
  </si>
  <si>
    <t>CEMLTH</t>
  </si>
  <si>
    <t>CEMHET</t>
  </si>
  <si>
    <t>CAFHTH</t>
  </si>
  <si>
    <t>CAFMTH</t>
  </si>
  <si>
    <t>CAFLTH</t>
  </si>
  <si>
    <t>CAFHET</t>
  </si>
  <si>
    <t>FAPHTH</t>
  </si>
  <si>
    <t>FAPMTH</t>
  </si>
  <si>
    <t>FAPLTH</t>
  </si>
  <si>
    <t>FAPHET</t>
  </si>
  <si>
    <t>LIMHTH</t>
  </si>
  <si>
    <t>LIMMTH</t>
  </si>
  <si>
    <t>LIMLTH</t>
  </si>
  <si>
    <t>LIMHET</t>
  </si>
  <si>
    <t>MAPHTH</t>
  </si>
  <si>
    <t>MAPMTH</t>
  </si>
  <si>
    <t>MAPLTH</t>
  </si>
  <si>
    <t>MAPHET</t>
  </si>
  <si>
    <t>OMAHTH</t>
  </si>
  <si>
    <t>OMAMTH</t>
  </si>
  <si>
    <t>OMALTH</t>
  </si>
  <si>
    <t>OMAHET</t>
  </si>
  <si>
    <t>ONMHTH</t>
  </si>
  <si>
    <t>ONMMTH</t>
  </si>
  <si>
    <t>ONMLTH</t>
  </si>
  <si>
    <t>ONMHET</t>
  </si>
  <si>
    <t>REFHTH</t>
  </si>
  <si>
    <t>REFMTH</t>
  </si>
  <si>
    <t>REFLTH</t>
  </si>
  <si>
    <t>REFHET</t>
  </si>
  <si>
    <t>WAPHTH</t>
  </si>
  <si>
    <t>WAPMTH</t>
  </si>
  <si>
    <t>WAPLTH</t>
  </si>
  <si>
    <t>WAPHET</t>
  </si>
  <si>
    <t>Share-O</t>
  </si>
  <si>
    <t>For definition of processes and commoditites</t>
  </si>
  <si>
    <t>Commodity name</t>
  </si>
  <si>
    <t>Empty column</t>
  </si>
  <si>
    <t>BIOWPE,BIOWCH,BIOWOO,BIOWOO1,BIOINDF</t>
  </si>
  <si>
    <t>INDWOO</t>
  </si>
  <si>
    <t>Solid biomass (IND)</t>
  </si>
  <si>
    <t>BIOWPE,BIOWCH,BIOWOO,BIOWOO1</t>
  </si>
  <si>
    <t>Year</t>
  </si>
  <si>
    <t>Pset_Set</t>
  </si>
  <si>
    <t>Pset_PN</t>
  </si>
  <si>
    <t>Cset_CN</t>
  </si>
  <si>
    <t>Other_indexes</t>
  </si>
  <si>
    <t>AllRegions</t>
  </si>
  <si>
    <t>Source</t>
  </si>
  <si>
    <t>FLO_EMIS</t>
  </si>
  <si>
    <t>I*</t>
  </si>
  <si>
    <t>kt/PJ</t>
  </si>
  <si>
    <t>https://www.seai.ie/data-and-insights/seai-statistics/conversion-factors/</t>
  </si>
  <si>
    <t>INDKER</t>
  </si>
  <si>
    <t>Industrial Processes</t>
  </si>
  <si>
    <t>2018, kt</t>
  </si>
  <si>
    <t>Heat demand 2018</t>
  </si>
  <si>
    <t>ENV_ACT</t>
  </si>
  <si>
    <t>I-DMD-CEM-E0</t>
  </si>
  <si>
    <t>kt/PJ useful</t>
  </si>
  <si>
    <t>Mineral industry</t>
  </si>
  <si>
    <t>~COMEMI</t>
  </si>
  <si>
    <t>IE,National</t>
  </si>
  <si>
    <t>*INDKER</t>
  </si>
  <si>
    <t>*INDHFO</t>
  </si>
  <si>
    <t>*INDLPG</t>
  </si>
  <si>
    <t>*INDDST</t>
  </si>
  <si>
    <t>ENV_ACT~INDCO2P</t>
  </si>
  <si>
    <t>This sheet is used to calculate fuel shares in generating different heat levels in industry by specific subsectors</t>
  </si>
  <si>
    <t>Bakytzhan Suleimenov (UCC, bsuleimenov@ucc.ie)</t>
  </si>
  <si>
    <t>WASTE</t>
  </si>
  <si>
    <t>Non-renewable waste</t>
  </si>
  <si>
    <t>MIN-WASTE</t>
  </si>
  <si>
    <t>Non-renewable waste production</t>
  </si>
  <si>
    <t>MIN</t>
  </si>
  <si>
    <t>COST</t>
  </si>
  <si>
    <t>BIOWOO2,BIOMSW1,BIOMUN</t>
  </si>
  <si>
    <t>CF</t>
  </si>
  <si>
    <t>Electricity use</t>
  </si>
  <si>
    <t>ETS share, %</t>
  </si>
  <si>
    <t>2019,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</si>
</sst>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00000"/>
    <numFmt numFmtId="170" formatCode="0.0"/>
    <numFmt numFmtId="171" formatCode="0.0000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</numFmts>
  <fonts count="7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0.79998168889431442"/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3" tint="0.79998168889431442"/>
        <bgColor theme="6" tint="0.59999389629810485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4"/>
        <bgColor theme="6"/>
      </patternFill>
    </fill>
    <fill>
      <patternFill patternType="solid">
        <fgColor rgb="FF92D050"/>
        <bgColor theme="6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70">
    <xf numFmtId="0" fontId="0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1" fillId="0" borderId="0"/>
    <xf numFmtId="0" fontId="32" fillId="0" borderId="0"/>
    <xf numFmtId="0" fontId="2" fillId="0" borderId="0"/>
    <xf numFmtId="0" fontId="37" fillId="0" borderId="0"/>
    <xf numFmtId="9" fontId="3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/>
    <xf numFmtId="0" fontId="2" fillId="0" borderId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166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57" fillId="0" borderId="0"/>
    <xf numFmtId="0" fontId="2" fillId="0" borderId="0"/>
    <xf numFmtId="0" fontId="2" fillId="0" borderId="0"/>
    <xf numFmtId="0" fontId="59" fillId="61" borderId="0" applyNumberFormat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63" fillId="0" borderId="173" applyNumberFormat="0" applyFill="0" applyAlignment="0" applyProtection="0">
      <alignment vertical="center"/>
    </xf>
    <xf numFmtId="0" fontId="64" fillId="0" borderId="174" applyNumberFormat="0" applyFill="0" applyAlignment="0" applyProtection="0">
      <alignment vertical="center"/>
    </xf>
    <xf numFmtId="0" fontId="65" fillId="0" borderId="17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9" fillId="58" borderId="176" applyNumberFormat="0" applyAlignment="0" applyProtection="0">
      <alignment vertical="center"/>
    </xf>
    <xf numFmtId="0" fontId="70" fillId="59" borderId="177" applyNumberFormat="0" applyAlignment="0" applyProtection="0">
      <alignment vertical="center"/>
    </xf>
    <xf numFmtId="0" fontId="71" fillId="59" borderId="176" applyNumberFormat="0" applyAlignment="0" applyProtection="0">
      <alignment vertical="center"/>
    </xf>
    <xf numFmtId="0" fontId="72" fillId="0" borderId="178" applyNumberFormat="0" applyFill="0" applyAlignment="0" applyProtection="0">
      <alignment vertical="center"/>
    </xf>
    <xf numFmtId="0" fontId="73" fillId="60" borderId="17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0" applyNumberFormat="0" applyFill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8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8" fillId="69" borderId="0" applyNumberFormat="0" applyBorder="0" applyAlignment="0" applyProtection="0">
      <alignment vertical="center"/>
    </xf>
    <xf numFmtId="0" fontId="77" fillId="70" borderId="0" applyNumberFormat="0" applyBorder="0" applyAlignment="0" applyProtection="0">
      <alignment vertical="center"/>
    </xf>
    <xf numFmtId="0" fontId="77" fillId="71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77" fillId="75" borderId="0" applyNumberFormat="0" applyBorder="0" applyAlignment="0" applyProtection="0">
      <alignment vertical="center"/>
    </xf>
    <xf numFmtId="0" fontId="77" fillId="76" borderId="0" applyNumberFormat="0" applyBorder="0" applyAlignment="0" applyProtection="0">
      <alignment vertical="center"/>
    </xf>
    <xf numFmtId="0" fontId="78" fillId="77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78" fillId="81" borderId="0" applyNumberFormat="0" applyBorder="0" applyAlignment="0" applyProtection="0">
      <alignment vertical="center"/>
    </xf>
    <xf numFmtId="0" fontId="77" fillId="82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/>
  </cellStyleXfs>
  <cellXfs count="5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0" fontId="9" fillId="9" borderId="0" xfId="0" applyFont="1" applyFill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1" fillId="10" borderId="140" xfId="0" applyFont="1" applyFill="1" applyBorder="1" applyAlignment="1">
      <alignment horizontal="left" vertical="center"/>
    </xf>
    <xf numFmtId="0" fontId="12" fillId="11" borderId="135" xfId="0" applyFont="1" applyFill="1" applyBorder="1" applyAlignment="1">
      <alignment horizontal="left" vertical="center" wrapText="1"/>
    </xf>
    <xf numFmtId="0" fontId="12" fillId="11" borderId="135" xfId="0" applyFont="1" applyFill="1" applyBorder="1" applyAlignment="1">
      <alignment horizontal="left" vertical="center"/>
    </xf>
    <xf numFmtId="0" fontId="13" fillId="9" borderId="0" xfId="0" applyFont="1" applyFill="1"/>
    <xf numFmtId="0" fontId="14" fillId="9" borderId="0" xfId="0" applyFont="1" applyFill="1"/>
    <xf numFmtId="2" fontId="12" fillId="11" borderId="135" xfId="0" applyNumberFormat="1" applyFont="1" applyFill="1" applyBorder="1" applyAlignment="1">
      <alignment horizontal="left" vertical="center"/>
    </xf>
    <xf numFmtId="38" fontId="14" fillId="9" borderId="0" xfId="0" applyNumberFormat="1" applyFont="1" applyFill="1"/>
    <xf numFmtId="0" fontId="10" fillId="9" borderId="0" xfId="0" applyFont="1" applyFill="1" applyAlignment="1">
      <alignment vertical="center"/>
    </xf>
    <xf numFmtId="0" fontId="15" fillId="9" borderId="0" xfId="0" applyFont="1" applyFill="1"/>
    <xf numFmtId="168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8" fontId="15" fillId="0" borderId="0" xfId="0" applyNumberFormat="1" applyFont="1"/>
    <xf numFmtId="168" fontId="15" fillId="9" borderId="0" xfId="0" applyNumberFormat="1" applyFont="1" applyFill="1"/>
    <xf numFmtId="0" fontId="12" fillId="9" borderId="0" xfId="0" applyFont="1" applyFill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/>
    <xf numFmtId="0" fontId="2" fillId="0" borderId="1" xfId="0" applyFont="1" applyBorder="1"/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169" fontId="0" fillId="0" borderId="0" xfId="0" applyNumberFormat="1"/>
    <xf numFmtId="0" fontId="0" fillId="0" borderId="1" xfId="0" applyBorder="1"/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0" fontId="19" fillId="9" borderId="0" xfId="0" applyFont="1" applyFill="1"/>
    <xf numFmtId="168" fontId="19" fillId="9" borderId="0" xfId="0" applyNumberFormat="1" applyFont="1" applyFill="1"/>
    <xf numFmtId="0" fontId="19" fillId="9" borderId="0" xfId="0" applyFont="1" applyFill="1" applyAlignment="1">
      <alignment vertical="center"/>
    </xf>
    <xf numFmtId="0" fontId="20" fillId="9" borderId="0" xfId="0" applyFont="1" applyFill="1" applyAlignment="1">
      <alignment horizontal="left" vertical="center"/>
    </xf>
    <xf numFmtId="0" fontId="18" fillId="0" borderId="0" xfId="0" applyFont="1"/>
    <xf numFmtId="168" fontId="21" fillId="0" borderId="0" xfId="0" applyNumberFormat="1" applyFont="1"/>
    <xf numFmtId="0" fontId="21" fillId="0" borderId="0" xfId="0" applyFont="1"/>
    <xf numFmtId="9" fontId="5" fillId="0" borderId="0" xfId="2" applyFont="1"/>
    <xf numFmtId="0" fontId="17" fillId="4" borderId="0" xfId="4" applyFont="1" applyFill="1" applyAlignment="1">
      <alignment vertical="center"/>
    </xf>
    <xf numFmtId="0" fontId="17" fillId="12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22" fillId="12" borderId="0" xfId="4" applyFont="1" applyFill="1" applyAlignment="1">
      <alignment vertical="center"/>
    </xf>
    <xf numFmtId="0" fontId="17" fillId="8" borderId="0" xfId="4" applyFont="1" applyFill="1" applyAlignment="1">
      <alignment vertical="center"/>
    </xf>
    <xf numFmtId="0" fontId="24" fillId="12" borderId="0" xfId="4" applyFont="1" applyFill="1" applyAlignment="1">
      <alignment vertical="center"/>
    </xf>
    <xf numFmtId="0" fontId="25" fillId="12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0" fontId="27" fillId="12" borderId="0" xfId="4" applyFont="1" applyFill="1" applyAlignment="1">
      <alignment vertical="center"/>
    </xf>
    <xf numFmtId="0" fontId="28" fillId="12" borderId="0" xfId="4" applyFont="1" applyFill="1" applyAlignment="1">
      <alignment vertical="center"/>
    </xf>
    <xf numFmtId="0" fontId="27" fillId="4" borderId="0" xfId="4" applyFont="1" applyFill="1" applyAlignment="1">
      <alignment vertical="center"/>
    </xf>
    <xf numFmtId="170" fontId="27" fillId="4" borderId="0" xfId="4" applyNumberFormat="1" applyFont="1" applyFill="1" applyAlignment="1">
      <alignment horizontal="left" vertical="center"/>
    </xf>
    <xf numFmtId="0" fontId="29" fillId="12" borderId="0" xfId="4" applyFont="1" applyFill="1" applyAlignment="1">
      <alignment vertical="center"/>
    </xf>
    <xf numFmtId="0" fontId="30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127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6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167" fontId="5" fillId="13" borderId="0" xfId="5" applyNumberFormat="1" applyFont="1" applyFill="1" applyAlignment="1">
      <alignment horizontal="left"/>
    </xf>
    <xf numFmtId="38" fontId="4" fillId="13" borderId="112" xfId="5" applyNumberFormat="1" applyFont="1" applyFill="1" applyBorder="1" applyAlignment="1">
      <alignment horizontal="center"/>
    </xf>
    <xf numFmtId="38" fontId="4" fillId="13" borderId="114" xfId="5" applyNumberFormat="1" applyFont="1" applyFill="1" applyBorder="1" applyAlignment="1">
      <alignment horizontal="center"/>
    </xf>
    <xf numFmtId="38" fontId="5" fillId="13" borderId="59" xfId="5" applyNumberFormat="1" applyFont="1" applyFill="1" applyBorder="1" applyAlignment="1">
      <alignment horizontal="center"/>
    </xf>
    <xf numFmtId="38" fontId="5" fillId="13" borderId="65" xfId="5" applyNumberFormat="1" applyFont="1" applyFill="1" applyBorder="1" applyAlignment="1">
      <alignment horizontal="center"/>
    </xf>
    <xf numFmtId="38" fontId="5" fillId="13" borderId="25" xfId="5" applyNumberFormat="1" applyFont="1" applyFill="1" applyBorder="1" applyAlignment="1">
      <alignment horizontal="center"/>
    </xf>
    <xf numFmtId="38" fontId="5" fillId="13" borderId="30" xfId="5" applyNumberFormat="1" applyFont="1" applyFill="1" applyBorder="1" applyAlignment="1">
      <alignment horizontal="center"/>
    </xf>
    <xf numFmtId="38" fontId="5" fillId="13" borderId="117" xfId="5" applyNumberFormat="1" applyFont="1" applyFill="1" applyBorder="1" applyAlignment="1">
      <alignment horizontal="center"/>
    </xf>
    <xf numFmtId="38" fontId="5" fillId="13" borderId="121" xfId="5" applyNumberFormat="1" applyFont="1" applyFill="1" applyBorder="1" applyAlignment="1">
      <alignment horizontal="center"/>
    </xf>
    <xf numFmtId="38" fontId="4" fillId="13" borderId="83" xfId="5" applyNumberFormat="1" applyFont="1" applyFill="1" applyBorder="1" applyAlignment="1">
      <alignment horizontal="center"/>
    </xf>
    <xf numFmtId="38" fontId="4" fillId="13" borderId="4" xfId="5" applyNumberFormat="1" applyFont="1" applyFill="1" applyBorder="1" applyAlignment="1">
      <alignment horizontal="center"/>
    </xf>
    <xf numFmtId="38" fontId="4" fillId="13" borderId="136" xfId="5" applyNumberFormat="1" applyFont="1" applyFill="1" applyBorder="1" applyAlignment="1">
      <alignment horizontal="center"/>
    </xf>
    <xf numFmtId="38" fontId="4" fillId="13" borderId="135" xfId="5" applyNumberFormat="1" applyFont="1" applyFill="1" applyBorder="1" applyAlignment="1">
      <alignment horizontal="center"/>
    </xf>
    <xf numFmtId="38" fontId="5" fillId="13" borderId="32" xfId="5" applyNumberFormat="1" applyFont="1" applyFill="1" applyBorder="1" applyAlignment="1">
      <alignment horizontal="center"/>
    </xf>
    <xf numFmtId="38" fontId="5" fillId="13" borderId="63" xfId="5" applyNumberFormat="1" applyFont="1" applyFill="1" applyBorder="1" applyAlignment="1">
      <alignment horizontal="center"/>
    </xf>
    <xf numFmtId="38" fontId="5" fillId="13" borderId="31" xfId="5" applyNumberFormat="1" applyFont="1" applyFill="1" applyBorder="1" applyAlignment="1">
      <alignment horizontal="center"/>
    </xf>
    <xf numFmtId="38" fontId="5" fillId="13" borderId="130" xfId="5" applyNumberFormat="1" applyFont="1" applyFill="1" applyBorder="1" applyAlignment="1">
      <alignment horizontal="center"/>
    </xf>
    <xf numFmtId="38" fontId="5" fillId="13" borderId="129" xfId="5" applyNumberFormat="1" applyFont="1" applyFill="1" applyBorder="1" applyAlignment="1">
      <alignment horizontal="center"/>
    </xf>
    <xf numFmtId="38" fontId="5" fillId="13" borderId="127" xfId="5" applyNumberFormat="1" applyFont="1" applyFill="1" applyBorder="1" applyAlignment="1">
      <alignment horizontal="center"/>
    </xf>
    <xf numFmtId="38" fontId="5" fillId="13" borderId="73" xfId="5" applyNumberFormat="1" applyFont="1" applyFill="1" applyBorder="1" applyAlignment="1">
      <alignment horizontal="center"/>
    </xf>
    <xf numFmtId="38" fontId="5" fillId="13" borderId="66" xfId="5" applyNumberFormat="1" applyFont="1" applyFill="1" applyBorder="1" applyAlignment="1">
      <alignment horizontal="center"/>
    </xf>
    <xf numFmtId="38" fontId="5" fillId="13" borderId="123" xfId="5" applyNumberFormat="1" applyFont="1" applyFill="1" applyBorder="1" applyAlignment="1">
      <alignment horizontal="center"/>
    </xf>
    <xf numFmtId="38" fontId="5" fillId="13" borderId="76" xfId="5" applyNumberFormat="1" applyFont="1" applyFill="1" applyBorder="1" applyAlignment="1">
      <alignment horizontal="center"/>
    </xf>
    <xf numFmtId="38" fontId="5" fillId="13" borderId="69" xfId="5" applyNumberFormat="1" applyFont="1" applyFill="1" applyBorder="1" applyAlignment="1">
      <alignment horizontal="center"/>
    </xf>
    <xf numFmtId="38" fontId="5" fillId="13" borderId="75" xfId="5" applyNumberFormat="1" applyFont="1" applyFill="1" applyBorder="1" applyAlignment="1">
      <alignment horizontal="center"/>
    </xf>
    <xf numFmtId="38" fontId="5" fillId="13" borderId="125" xfId="5" applyNumberFormat="1" applyFont="1" applyFill="1" applyBorder="1" applyAlignment="1">
      <alignment horizontal="center"/>
    </xf>
    <xf numFmtId="38" fontId="4" fillId="13" borderId="90" xfId="5" applyNumberFormat="1" applyFont="1" applyFill="1" applyBorder="1" applyAlignment="1">
      <alignment horizontal="center"/>
    </xf>
    <xf numFmtId="40" fontId="5" fillId="0" borderId="0" xfId="0" applyNumberFormat="1" applyFont="1"/>
    <xf numFmtId="171" fontId="0" fillId="0" borderId="0" xfId="0" applyNumberFormat="1"/>
    <xf numFmtId="0" fontId="0" fillId="14" borderId="157" xfId="0" applyFill="1" applyBorder="1"/>
    <xf numFmtId="0" fontId="0" fillId="15" borderId="157" xfId="0" applyFill="1" applyBorder="1"/>
    <xf numFmtId="0" fontId="33" fillId="16" borderId="159" xfId="0" applyFont="1" applyFill="1" applyBorder="1"/>
    <xf numFmtId="0" fontId="33" fillId="16" borderId="160" xfId="0" applyFont="1" applyFill="1" applyBorder="1"/>
    <xf numFmtId="2" fontId="0" fillId="15" borderId="157" xfId="0" applyNumberFormat="1" applyFill="1" applyBorder="1"/>
    <xf numFmtId="0" fontId="0" fillId="15" borderId="161" xfId="0" applyFill="1" applyBorder="1"/>
    <xf numFmtId="2" fontId="0" fillId="14" borderId="157" xfId="0" applyNumberFormat="1" applyFill="1" applyBorder="1"/>
    <xf numFmtId="0" fontId="0" fillId="14" borderId="161" xfId="0" applyFill="1" applyBorder="1"/>
    <xf numFmtId="1" fontId="0" fillId="15" borderId="157" xfId="0" applyNumberFormat="1" applyFill="1" applyBorder="1"/>
    <xf numFmtId="1" fontId="0" fillId="14" borderId="157" xfId="0" applyNumberFormat="1" applyFill="1" applyBorder="1"/>
    <xf numFmtId="1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14" borderId="0" xfId="0" applyFill="1"/>
    <xf numFmtId="0" fontId="0" fillId="14" borderId="158" xfId="0" applyFill="1" applyBorder="1"/>
    <xf numFmtId="2" fontId="0" fillId="14" borderId="158" xfId="0" applyNumberFormat="1" applyFill="1" applyBorder="1"/>
    <xf numFmtId="171" fontId="0" fillId="15" borderId="157" xfId="0" applyNumberFormat="1" applyFill="1" applyBorder="1"/>
    <xf numFmtId="171" fontId="0" fillId="14" borderId="157" xfId="0" applyNumberFormat="1" applyFill="1" applyBorder="1"/>
    <xf numFmtId="1" fontId="0" fillId="14" borderId="158" xfId="0" applyNumberFormat="1" applyFill="1" applyBorder="1"/>
    <xf numFmtId="0" fontId="0" fillId="14" borderId="162" xfId="0" applyFill="1" applyBorder="1"/>
    <xf numFmtId="0" fontId="0" fillId="17" borderId="157" xfId="0" applyFill="1" applyBorder="1"/>
    <xf numFmtId="170" fontId="0" fillId="18" borderId="0" xfId="0" applyNumberFormat="1" applyFill="1"/>
    <xf numFmtId="0" fontId="0" fillId="19" borderId="157" xfId="0" applyFill="1" applyBorder="1"/>
    <xf numFmtId="0" fontId="0" fillId="20" borderId="157" xfId="0" applyFill="1" applyBorder="1"/>
    <xf numFmtId="0" fontId="0" fillId="21" borderId="157" xfId="0" applyFill="1" applyBorder="1"/>
    <xf numFmtId="170" fontId="0" fillId="22" borderId="0" xfId="0" applyNumberFormat="1" applyFill="1"/>
    <xf numFmtId="0" fontId="0" fillId="23" borderId="157" xfId="0" applyFill="1" applyBorder="1"/>
    <xf numFmtId="170" fontId="0" fillId="24" borderId="0" xfId="0" applyNumberFormat="1" applyFill="1"/>
    <xf numFmtId="0" fontId="0" fillId="25" borderId="157" xfId="0" applyFill="1" applyBorder="1"/>
    <xf numFmtId="0" fontId="0" fillId="26" borderId="157" xfId="0" applyFill="1" applyBorder="1"/>
    <xf numFmtId="0" fontId="0" fillId="27" borderId="157" xfId="0" applyFill="1" applyBorder="1"/>
    <xf numFmtId="170" fontId="0" fillId="28" borderId="0" xfId="0" applyNumberFormat="1" applyFill="1"/>
    <xf numFmtId="0" fontId="0" fillId="29" borderId="157" xfId="0" applyFill="1" applyBorder="1"/>
    <xf numFmtId="0" fontId="0" fillId="30" borderId="157" xfId="0" applyFill="1" applyBorder="1"/>
    <xf numFmtId="170" fontId="0" fillId="3" borderId="0" xfId="0" applyNumberFormat="1" applyFill="1"/>
    <xf numFmtId="9" fontId="0" fillId="18" borderId="0" xfId="2" applyFont="1" applyFill="1"/>
    <xf numFmtId="9" fontId="0" fillId="22" borderId="0" xfId="2" applyFont="1" applyFill="1"/>
    <xf numFmtId="9" fontId="0" fillId="24" borderId="0" xfId="2" applyFont="1" applyFill="1"/>
    <xf numFmtId="9" fontId="0" fillId="28" borderId="0" xfId="2" applyFont="1" applyFill="1"/>
    <xf numFmtId="9" fontId="0" fillId="3" borderId="0" xfId="2" applyFont="1" applyFill="1"/>
    <xf numFmtId="1" fontId="0" fillId="18" borderId="0" xfId="0" applyNumberFormat="1" applyFill="1"/>
    <xf numFmtId="1" fontId="0" fillId="22" borderId="0" xfId="0" applyNumberFormat="1" applyFill="1"/>
    <xf numFmtId="1" fontId="0" fillId="24" borderId="0" xfId="0" applyNumberFormat="1" applyFill="1"/>
    <xf numFmtId="1" fontId="0" fillId="28" borderId="0" xfId="0" applyNumberFormat="1" applyFill="1"/>
    <xf numFmtId="1" fontId="0" fillId="3" borderId="0" xfId="0" applyNumberFormat="1" applyFill="1"/>
    <xf numFmtId="1" fontId="0" fillId="32" borderId="0" xfId="0" applyNumberFormat="1" applyFill="1"/>
    <xf numFmtId="0" fontId="33" fillId="34" borderId="159" xfId="0" applyFont="1" applyFill="1" applyBorder="1"/>
    <xf numFmtId="170" fontId="0" fillId="17" borderId="157" xfId="0" applyNumberFormat="1" applyFill="1" applyBorder="1"/>
    <xf numFmtId="170" fontId="0" fillId="20" borderId="157" xfId="0" applyNumberFormat="1" applyFill="1" applyBorder="1"/>
    <xf numFmtId="170" fontId="0" fillId="23" borderId="157" xfId="0" applyNumberFormat="1" applyFill="1" applyBorder="1"/>
    <xf numFmtId="170" fontId="0" fillId="26" borderId="157" xfId="0" applyNumberFormat="1" applyFill="1" applyBorder="1"/>
    <xf numFmtId="170" fontId="0" fillId="29" borderId="157" xfId="0" applyNumberFormat="1" applyFill="1" applyBorder="1"/>
    <xf numFmtId="170" fontId="0" fillId="25" borderId="157" xfId="0" applyNumberFormat="1" applyFill="1" applyBorder="1"/>
    <xf numFmtId="170" fontId="0" fillId="21" borderId="157" xfId="0" applyNumberFormat="1" applyFill="1" applyBorder="1"/>
    <xf numFmtId="1" fontId="0" fillId="17" borderId="157" xfId="0" applyNumberFormat="1" applyFill="1" applyBorder="1"/>
    <xf numFmtId="1" fontId="0" fillId="20" borderId="157" xfId="0" applyNumberFormat="1" applyFill="1" applyBorder="1"/>
    <xf numFmtId="1" fontId="0" fillId="23" borderId="157" xfId="0" applyNumberFormat="1" applyFill="1" applyBorder="1"/>
    <xf numFmtId="1" fontId="0" fillId="26" borderId="157" xfId="0" applyNumberFormat="1" applyFill="1" applyBorder="1"/>
    <xf numFmtId="1" fontId="0" fillId="29" borderId="157" xfId="0" applyNumberFormat="1" applyFill="1" applyBorder="1"/>
    <xf numFmtId="1" fontId="0" fillId="25" borderId="157" xfId="0" applyNumberFormat="1" applyFill="1" applyBorder="1"/>
    <xf numFmtId="1" fontId="0" fillId="21" borderId="157" xfId="0" applyNumberFormat="1" applyFill="1" applyBorder="1"/>
    <xf numFmtId="0" fontId="33" fillId="35" borderId="163" xfId="0" applyFont="1" applyFill="1" applyBorder="1"/>
    <xf numFmtId="1" fontId="1" fillId="17" borderId="157" xfId="0" applyNumberFormat="1" applyFont="1" applyFill="1" applyBorder="1"/>
    <xf numFmtId="1" fontId="1" fillId="20" borderId="157" xfId="0" applyNumberFormat="1" applyFont="1" applyFill="1" applyBorder="1"/>
    <xf numFmtId="1" fontId="1" fillId="23" borderId="157" xfId="0" applyNumberFormat="1" applyFont="1" applyFill="1" applyBorder="1"/>
    <xf numFmtId="1" fontId="1" fillId="26" borderId="157" xfId="0" applyNumberFormat="1" applyFont="1" applyFill="1" applyBorder="1"/>
    <xf numFmtId="1" fontId="1" fillId="29" borderId="157" xfId="0" applyNumberFormat="1" applyFont="1" applyFill="1" applyBorder="1"/>
    <xf numFmtId="1" fontId="1" fillId="25" borderId="157" xfId="0" applyNumberFormat="1" applyFont="1" applyFill="1" applyBorder="1"/>
    <xf numFmtId="1" fontId="1" fillId="21" borderId="157" xfId="0" applyNumberFormat="1" applyFont="1" applyFill="1" applyBorder="1"/>
    <xf numFmtId="170" fontId="1" fillId="17" borderId="157" xfId="0" applyNumberFormat="1" applyFont="1" applyFill="1" applyBorder="1"/>
    <xf numFmtId="0" fontId="1" fillId="17" borderId="157" xfId="0" applyFont="1" applyFill="1" applyBorder="1"/>
    <xf numFmtId="0" fontId="1" fillId="20" borderId="157" xfId="0" applyFont="1" applyFill="1" applyBorder="1"/>
    <xf numFmtId="0" fontId="1" fillId="23" borderId="157" xfId="0" applyFont="1" applyFill="1" applyBorder="1"/>
    <xf numFmtId="0" fontId="1" fillId="26" borderId="157" xfId="0" applyFont="1" applyFill="1" applyBorder="1"/>
    <xf numFmtId="0" fontId="1" fillId="29" borderId="157" xfId="0" applyFont="1" applyFill="1" applyBorder="1"/>
    <xf numFmtId="0" fontId="1" fillId="25" borderId="157" xfId="0" applyFont="1" applyFill="1" applyBorder="1"/>
    <xf numFmtId="0" fontId="1" fillId="21" borderId="157" xfId="0" applyFont="1" applyFill="1" applyBorder="1"/>
    <xf numFmtId="9" fontId="0" fillId="17" borderId="157" xfId="2" applyFont="1" applyFill="1" applyBorder="1"/>
    <xf numFmtId="9" fontId="0" fillId="20" borderId="157" xfId="2" applyFont="1" applyFill="1" applyBorder="1"/>
    <xf numFmtId="9" fontId="0" fillId="23" borderId="157" xfId="2" applyFont="1" applyFill="1" applyBorder="1"/>
    <xf numFmtId="9" fontId="0" fillId="26" borderId="157" xfId="2" applyFont="1" applyFill="1" applyBorder="1"/>
    <xf numFmtId="9" fontId="0" fillId="29" borderId="157" xfId="2" applyFont="1" applyFill="1" applyBorder="1"/>
    <xf numFmtId="9" fontId="0" fillId="25" borderId="157" xfId="2" applyFont="1" applyFill="1" applyBorder="1"/>
    <xf numFmtId="9" fontId="0" fillId="21" borderId="157" xfId="2" applyFont="1" applyFill="1" applyBorder="1"/>
    <xf numFmtId="170" fontId="1" fillId="0" borderId="0" xfId="0" applyNumberFormat="1" applyFont="1"/>
    <xf numFmtId="172" fontId="0" fillId="0" borderId="0" xfId="0" applyNumberFormat="1"/>
    <xf numFmtId="0" fontId="18" fillId="31" borderId="157" xfId="0" applyFont="1" applyFill="1" applyBorder="1"/>
    <xf numFmtId="170" fontId="18" fillId="32" borderId="0" xfId="0" applyNumberFormat="1" applyFont="1" applyFill="1"/>
    <xf numFmtId="170" fontId="35" fillId="0" borderId="0" xfId="0" applyNumberFormat="1" applyFont="1"/>
    <xf numFmtId="170" fontId="18" fillId="0" borderId="0" xfId="0" applyNumberFormat="1" applyFont="1"/>
    <xf numFmtId="1" fontId="18" fillId="32" borderId="0" xfId="0" applyNumberFormat="1" applyFont="1" applyFill="1"/>
    <xf numFmtId="0" fontId="18" fillId="33" borderId="157" xfId="0" applyFont="1" applyFill="1" applyBorder="1"/>
    <xf numFmtId="0" fontId="35" fillId="31" borderId="157" xfId="0" applyFont="1" applyFill="1" applyBorder="1"/>
    <xf numFmtId="1" fontId="35" fillId="31" borderId="157" xfId="0" applyNumberFormat="1" applyFont="1" applyFill="1" applyBorder="1"/>
    <xf numFmtId="1" fontId="18" fillId="31" borderId="157" xfId="0" applyNumberFormat="1" applyFont="1" applyFill="1" applyBorder="1"/>
    <xf numFmtId="170" fontId="18" fillId="31" borderId="157" xfId="0" applyNumberFormat="1" applyFont="1" applyFill="1" applyBorder="1"/>
    <xf numFmtId="9" fontId="18" fillId="31" borderId="157" xfId="2" applyFont="1" applyFill="1" applyBorder="1"/>
    <xf numFmtId="9" fontId="18" fillId="32" borderId="0" xfId="2" applyFont="1" applyFill="1"/>
    <xf numFmtId="0" fontId="11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36" fillId="0" borderId="0" xfId="0" applyFont="1"/>
    <xf numFmtId="0" fontId="14" fillId="36" borderId="0" xfId="0" applyFont="1" applyFill="1"/>
    <xf numFmtId="168" fontId="15" fillId="36" borderId="0" xfId="0" applyNumberFormat="1" applyFont="1" applyFill="1"/>
    <xf numFmtId="0" fontId="15" fillId="36" borderId="0" xfId="0" applyFont="1" applyFill="1"/>
    <xf numFmtId="0" fontId="12" fillId="36" borderId="0" xfId="0" applyFont="1" applyFill="1" applyAlignment="1">
      <alignment horizontal="left" vertical="center"/>
    </xf>
    <xf numFmtId="166" fontId="0" fillId="0" borderId="0" xfId="2" applyNumberFormat="1" applyFont="1"/>
    <xf numFmtId="0" fontId="18" fillId="37" borderId="0" xfId="0" applyFont="1" applyFill="1"/>
    <xf numFmtId="0" fontId="19" fillId="38" borderId="0" xfId="0" applyFont="1" applyFill="1"/>
    <xf numFmtId="168" fontId="0" fillId="0" borderId="0" xfId="0" applyNumberFormat="1"/>
    <xf numFmtId="0" fontId="11" fillId="10" borderId="140" xfId="0" applyFont="1" applyFill="1" applyBorder="1" applyAlignment="1">
      <alignment horizontal="right" vertical="center"/>
    </xf>
    <xf numFmtId="0" fontId="58" fillId="0" borderId="0" xfId="0" applyFont="1"/>
    <xf numFmtId="172" fontId="58" fillId="0" borderId="0" xfId="0" applyNumberFormat="1" applyFont="1"/>
    <xf numFmtId="172" fontId="0" fillId="37" borderId="0" xfId="0" applyNumberFormat="1" applyFill="1"/>
    <xf numFmtId="166" fontId="0" fillId="0" borderId="1" xfId="2" applyNumberFormat="1" applyFont="1" applyBorder="1"/>
    <xf numFmtId="166" fontId="0" fillId="0" borderId="0" xfId="0" applyNumberFormat="1"/>
    <xf numFmtId="0" fontId="0" fillId="28" borderId="0" xfId="0" applyFill="1"/>
    <xf numFmtId="172" fontId="0" fillId="28" borderId="0" xfId="0" applyNumberFormat="1" applyFill="1"/>
    <xf numFmtId="0" fontId="18" fillId="28" borderId="0" xfId="0" applyFont="1" applyFill="1"/>
    <xf numFmtId="0" fontId="24" fillId="87" borderId="0" xfId="0" applyFont="1" applyFill="1" applyAlignment="1">
      <alignment vertical="center"/>
    </xf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85" borderId="2" xfId="0" applyFont="1" applyFill="1" applyBorder="1"/>
    <xf numFmtId="0" fontId="61" fillId="86" borderId="2" xfId="0" applyFont="1" applyFill="1" applyBorder="1"/>
    <xf numFmtId="0" fontId="2" fillId="85" borderId="2" xfId="0" applyFont="1" applyFill="1" applyBorder="1"/>
    <xf numFmtId="0" fontId="24" fillId="87" borderId="2" xfId="0" applyFont="1" applyFill="1" applyBorder="1" applyAlignment="1">
      <alignment vertical="center"/>
    </xf>
    <xf numFmtId="168" fontId="59" fillId="61" borderId="0" xfId="1629" applyNumberFormat="1" applyAlignment="1">
      <alignment vertical="center"/>
    </xf>
    <xf numFmtId="170" fontId="0" fillId="27" borderId="157" xfId="0" applyNumberFormat="1" applyFill="1" applyBorder="1"/>
    <xf numFmtId="170" fontId="0" fillId="30" borderId="157" xfId="0" applyNumberFormat="1" applyFill="1" applyBorder="1"/>
    <xf numFmtId="0" fontId="27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8" fillId="3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670">
    <cellStyle name="20% - Accent1 2" xfId="1646" xr:uid="{A4399466-A699-4E76-8FD8-650FC68805B7}"/>
    <cellStyle name="20% - Accent1 2 10" xfId="14" xr:uid="{9C56BBE8-0D24-47A0-9E0A-0F7A43AC90ED}"/>
    <cellStyle name="20% - Accent1 2 11" xfId="15" xr:uid="{1E7462B8-8872-4055-89F6-A2EEF8AB318D}"/>
    <cellStyle name="20% - Accent1 2 12" xfId="16" xr:uid="{CEB66E7B-F5CE-4741-8C05-64EB674D649B}"/>
    <cellStyle name="20% - Accent1 2 13" xfId="17" xr:uid="{C3DB60B1-6CD0-4639-A565-4E2D014432C5}"/>
    <cellStyle name="20% - Accent1 2 14" xfId="18" xr:uid="{33B3B841-D47B-4B1E-BD4A-8AE70F15081F}"/>
    <cellStyle name="20% - Accent1 2 15" xfId="19" xr:uid="{C8D71D2B-5175-41AD-9948-3CA6E52D41DF}"/>
    <cellStyle name="20% - Accent1 2 2" xfId="20" xr:uid="{40E050B9-E571-46EA-9403-62EF6FF4F34A}"/>
    <cellStyle name="20% - Accent1 2 3" xfId="21" xr:uid="{18E52DC6-C59A-4198-BCDF-4370F22F8B1E}"/>
    <cellStyle name="20% - Accent1 2 4" xfId="22" xr:uid="{70687D92-8F4C-4ACA-B867-B263D70A6BC9}"/>
    <cellStyle name="20% - Accent1 2 5" xfId="23" xr:uid="{33A50163-B6D1-46E0-814F-5E35A67E0DE5}"/>
    <cellStyle name="20% - Accent1 2 6" xfId="24" xr:uid="{26EA61AF-698D-4B98-90BD-B0BC5D8B7AF1}"/>
    <cellStyle name="20% - Accent1 2 7" xfId="25" xr:uid="{23489F34-CA4A-4644-AA35-BB8BA9283199}"/>
    <cellStyle name="20% - Accent1 2 8" xfId="26" xr:uid="{E58B0706-F8BF-4ACE-9E6A-A141BAFDCA53}"/>
    <cellStyle name="20% - Accent1 2 9" xfId="27" xr:uid="{D35169C7-C07E-4C66-8D2C-FDC47D8420CB}"/>
    <cellStyle name="20% - Accent1 3" xfId="28" xr:uid="{C3E9F559-6B81-45BF-9F3A-4D75B42718D4}"/>
    <cellStyle name="20% - Accent1 4" xfId="29" xr:uid="{88BBE378-7D38-4591-8710-E1F113088F87}"/>
    <cellStyle name="20% - Accent1 5" xfId="30" xr:uid="{81057CC2-B364-447F-A38A-CD4429BE84C4}"/>
    <cellStyle name="20% - Accent1 6" xfId="31" xr:uid="{B51E1D11-CFBF-45F2-9CC4-31C8856D97C6}"/>
    <cellStyle name="20% - Accent1 7" xfId="32" xr:uid="{DA920C94-3B21-4606-A3A5-7F785411F7C5}"/>
    <cellStyle name="20% - Accent1 8" xfId="33" xr:uid="{AC732594-D03F-449E-B0CD-7F6C97C0C35D}"/>
    <cellStyle name="20% - Accent2 2" xfId="1650" xr:uid="{D08A634A-C53F-44FC-BE47-750457B04FBD}"/>
    <cellStyle name="20% - Accent2 2 10" xfId="34" xr:uid="{1072559E-13B8-4F07-8C46-8BEC7A0445F7}"/>
    <cellStyle name="20% - Accent2 2 11" xfId="35" xr:uid="{C9F7D9D6-9CF9-4D8E-A4B5-FD08DDF92851}"/>
    <cellStyle name="20% - Accent2 2 12" xfId="36" xr:uid="{3F88527C-D0C8-4EFC-9E1A-8695B2479E06}"/>
    <cellStyle name="20% - Accent2 2 13" xfId="37" xr:uid="{F823DD77-39EF-4A6E-9A5D-CEBD989CF7E2}"/>
    <cellStyle name="20% - Accent2 2 14" xfId="38" xr:uid="{E5F219EB-EF71-4596-BDE3-04A138D774B8}"/>
    <cellStyle name="20% - Accent2 2 15" xfId="39" xr:uid="{2C85B006-1775-4890-B274-E844ADE4C2C7}"/>
    <cellStyle name="20% - Accent2 2 2" xfId="40" xr:uid="{7D3E5A93-0E65-4F3F-8892-4DF844680764}"/>
    <cellStyle name="20% - Accent2 2 3" xfId="41" xr:uid="{F92FD57C-A8A7-4D1D-B03D-E50ADFF411A1}"/>
    <cellStyle name="20% - Accent2 2 4" xfId="42" xr:uid="{A152A636-3397-49DD-B00D-E1C9652745FA}"/>
    <cellStyle name="20% - Accent2 2 5" xfId="43" xr:uid="{A44549EF-FB93-40A4-96B9-3B27091615FF}"/>
    <cellStyle name="20% - Accent2 2 6" xfId="44" xr:uid="{A5472E4D-1F2B-4292-A138-24C678A49167}"/>
    <cellStyle name="20% - Accent2 2 7" xfId="45" xr:uid="{2A66D3D5-05C3-42BB-803F-FF910D82855B}"/>
    <cellStyle name="20% - Accent2 2 8" xfId="46" xr:uid="{A51FB5B5-5598-4D89-82E3-9F6BCE817270}"/>
    <cellStyle name="20% - Accent2 2 9" xfId="47" xr:uid="{293ADC02-4114-4F79-8A32-D7A98A2DBADA}"/>
    <cellStyle name="20% - Accent2 3" xfId="48" xr:uid="{48F4BF14-6AA7-4047-B574-DEFABBCA6339}"/>
    <cellStyle name="20% - Accent2 4" xfId="49" xr:uid="{32A09357-A9A3-4882-BF9B-2202972CD7E6}"/>
    <cellStyle name="20% - Accent2 5" xfId="50" xr:uid="{115FD3D0-88E6-48A0-BC1F-26FFF6C10E6B}"/>
    <cellStyle name="20% - Accent2 6" xfId="51" xr:uid="{E50BB62A-7E72-4659-A6F9-5FAAA2AF7087}"/>
    <cellStyle name="20% - Accent2 7" xfId="52" xr:uid="{5343B6A3-BA57-461B-9EF3-3E41978A1EC0}"/>
    <cellStyle name="20% - Accent2 8" xfId="53" xr:uid="{BC1A5EB0-3936-40DF-BF9C-9F5928457EE8}"/>
    <cellStyle name="20% - Accent3 2" xfId="1654" xr:uid="{F2A959C7-05F2-46CE-B938-C67BE7BF7736}"/>
    <cellStyle name="20% - Accent3 2 10" xfId="54" xr:uid="{45FD1157-3A21-427B-9E29-6ADB3F5BBF08}"/>
    <cellStyle name="20% - Accent3 2 11" xfId="55" xr:uid="{5A6390E4-37C3-4EA6-8516-13FE3231592D}"/>
    <cellStyle name="20% - Accent3 2 12" xfId="56" xr:uid="{FD9DC6E2-216F-401B-AF55-64394D508A11}"/>
    <cellStyle name="20% - Accent3 2 13" xfId="57" xr:uid="{A18F7BE0-BE79-4165-9DA0-2C8625B0D928}"/>
    <cellStyle name="20% - Accent3 2 14" xfId="58" xr:uid="{82D801D2-3795-4FEC-9169-E9AF1F36A2D5}"/>
    <cellStyle name="20% - Accent3 2 15" xfId="59" xr:uid="{4D68CD79-7F88-4F50-A2B6-2BA4C918A04C}"/>
    <cellStyle name="20% - Accent3 2 2" xfId="60" xr:uid="{D57B3160-481B-48F6-A28C-88389DC8B637}"/>
    <cellStyle name="20% - Accent3 2 3" xfId="61" xr:uid="{1711CF45-13F5-4716-BE78-90A148E59B1C}"/>
    <cellStyle name="20% - Accent3 2 4" xfId="62" xr:uid="{EBF8A19F-0BDC-45E4-BC60-DB6598E3B251}"/>
    <cellStyle name="20% - Accent3 2 5" xfId="63" xr:uid="{63A50D6E-A6DC-4000-BFD2-9C45E77F393E}"/>
    <cellStyle name="20% - Accent3 2 6" xfId="64" xr:uid="{5F216CC9-DC94-412A-A89E-8FBD39528907}"/>
    <cellStyle name="20% - Accent3 2 7" xfId="65" xr:uid="{C1164BC6-77CE-4B50-B054-830E88DC3FB7}"/>
    <cellStyle name="20% - Accent3 2 8" xfId="66" xr:uid="{66E9BF20-53E4-40DC-8011-65AF2256DF25}"/>
    <cellStyle name="20% - Accent3 2 9" xfId="67" xr:uid="{D0B79139-6E39-4004-BA5B-1A40A2579DCF}"/>
    <cellStyle name="20% - Accent3 3" xfId="68" xr:uid="{A075F8D5-A5B0-416D-8D0B-45ED04932561}"/>
    <cellStyle name="20% - Accent3 4" xfId="69" xr:uid="{8C0C6216-B04D-42F8-A790-5FE0BD70A3C6}"/>
    <cellStyle name="20% - Accent3 5" xfId="70" xr:uid="{8FEE10EB-41D7-4C57-BA15-CB94E485971B}"/>
    <cellStyle name="20% - Accent3 6" xfId="71" xr:uid="{45F93DC1-39AF-40D3-9BA0-859BE38FC646}"/>
    <cellStyle name="20% - Accent3 7" xfId="72" xr:uid="{776EEE23-9C57-4CDE-AC26-750D871EA2BA}"/>
    <cellStyle name="20% - Accent3 8" xfId="73" xr:uid="{EAEED643-B941-4ACA-870E-CA7697ED1517}"/>
    <cellStyle name="20% - Accent4 2" xfId="1658" xr:uid="{B6AA574F-D892-46C2-9104-CA0158B8D3B9}"/>
    <cellStyle name="20% - Accent4 2 10" xfId="74" xr:uid="{6DBF46A9-F7CA-4B5C-844A-67C8538ADD07}"/>
    <cellStyle name="20% - Accent4 2 11" xfId="75" xr:uid="{AF05A2B2-19F6-4ADC-A629-7EB4756BF642}"/>
    <cellStyle name="20% - Accent4 2 12" xfId="76" xr:uid="{D0967AFB-DC3D-4A85-9019-A1271E9A9456}"/>
    <cellStyle name="20% - Accent4 2 13" xfId="77" xr:uid="{AAF3413A-252D-4908-A8FA-2A582850C14F}"/>
    <cellStyle name="20% - Accent4 2 14" xfId="78" xr:uid="{6C233C6C-7DD3-45EC-A23C-1604FE1935A7}"/>
    <cellStyle name="20% - Accent4 2 15" xfId="79" xr:uid="{A6F5215B-B474-4F3D-9501-514031F4110C}"/>
    <cellStyle name="20% - Accent4 2 2" xfId="80" xr:uid="{0262EC12-BABB-460D-B2A5-6AB3A2667C95}"/>
    <cellStyle name="20% - Accent4 2 3" xfId="81" xr:uid="{3CDAA270-6733-4980-83A2-8D9EAA4FFAF0}"/>
    <cellStyle name="20% - Accent4 2 4" xfId="82" xr:uid="{FBE99B2C-D32C-4A96-A8C0-C0EC0870B199}"/>
    <cellStyle name="20% - Accent4 2 5" xfId="83" xr:uid="{7E2AF005-C28F-40E4-954B-A04E2E236563}"/>
    <cellStyle name="20% - Accent4 2 6" xfId="84" xr:uid="{C4718845-9BFF-4E08-8CF7-14E8307082CE}"/>
    <cellStyle name="20% - Accent4 2 7" xfId="85" xr:uid="{D1BB16CA-8C7C-4CDB-ABA1-055E977872F3}"/>
    <cellStyle name="20% - Accent4 2 8" xfId="86" xr:uid="{D45550E8-AB47-4AFC-B4B9-E3B088B396FE}"/>
    <cellStyle name="20% - Accent4 2 9" xfId="87" xr:uid="{58D94949-816A-4316-8793-96F98EF907A4}"/>
    <cellStyle name="20% - Accent4 3" xfId="88" xr:uid="{9D470414-0121-49F6-8E27-B62902B38D9E}"/>
    <cellStyle name="20% - Accent4 4" xfId="89" xr:uid="{D099FA0E-639C-4E1E-A7BE-80BAAEED0892}"/>
    <cellStyle name="20% - Accent4 5" xfId="90" xr:uid="{84395687-15FE-4B92-8740-A7905C799FF1}"/>
    <cellStyle name="20% - Accent4 6" xfId="91" xr:uid="{0D291B1D-E84A-4CEB-86F4-65DB135E3E51}"/>
    <cellStyle name="20% - Accent4 7" xfId="92" xr:uid="{6E82695B-6090-4D40-833F-D8FA8D9959E4}"/>
    <cellStyle name="20% - Accent4 8" xfId="93" xr:uid="{D048C2B1-0E20-457D-A454-EAA8F4C71328}"/>
    <cellStyle name="20% - Accent5 2" xfId="1662" xr:uid="{BE799FD8-2100-4DDE-8CA9-C5B933EDC14D}"/>
    <cellStyle name="20% - Accent5 2 10" xfId="94" xr:uid="{4AB7550E-9246-4F8F-AC67-A9A6BA4F79B2}"/>
    <cellStyle name="20% - Accent5 2 11" xfId="95" xr:uid="{A8834541-738B-47C7-9B57-ECDEC056095D}"/>
    <cellStyle name="20% - Accent5 2 12" xfId="96" xr:uid="{0DD17D08-3F5B-4F6F-85EF-28BB11574948}"/>
    <cellStyle name="20% - Accent5 2 13" xfId="97" xr:uid="{9BD2040B-B249-4942-A771-B274EF6B3E3D}"/>
    <cellStyle name="20% - Accent5 2 14" xfId="98" xr:uid="{EBBD4E6D-3E44-4505-81E3-C025231D13ED}"/>
    <cellStyle name="20% - Accent5 2 15" xfId="99" xr:uid="{4C6FEF8C-7B3B-4B37-9EC1-72A8C12CA4CC}"/>
    <cellStyle name="20% - Accent5 2 2" xfId="100" xr:uid="{C870EBBC-C55D-4334-AE3D-782826D58FD6}"/>
    <cellStyle name="20% - Accent5 2 3" xfId="101" xr:uid="{1DE70E7C-D5E0-42C9-ADE8-AAA71D948FA9}"/>
    <cellStyle name="20% - Accent5 2 4" xfId="102" xr:uid="{C62D2C1A-FE9C-4E04-908A-3969097A1257}"/>
    <cellStyle name="20% - Accent5 2 5" xfId="103" xr:uid="{ECA82FE9-ACB2-4FF3-8EDD-71CABEB5A407}"/>
    <cellStyle name="20% - Accent5 2 6" xfId="104" xr:uid="{F35A119A-9FBF-4669-88C7-88FBA6DBC58D}"/>
    <cellStyle name="20% - Accent5 2 7" xfId="105" xr:uid="{0F6C53AE-1CB5-4F67-902A-9989B501A723}"/>
    <cellStyle name="20% - Accent5 2 8" xfId="106" xr:uid="{03166692-1EEF-4EC5-B557-721F01124C9E}"/>
    <cellStyle name="20% - Accent5 2 9" xfId="107" xr:uid="{276C4FDA-7A3F-4DE5-9D4F-F85CAB4DEFF6}"/>
    <cellStyle name="20% - Accent5 3" xfId="108" xr:uid="{BB532108-9B5E-4AA1-9828-5EB985107441}"/>
    <cellStyle name="20% - Accent5 4" xfId="109" xr:uid="{A3281105-AD91-4553-BDB7-8AA1FC354859}"/>
    <cellStyle name="20% - Accent5 5" xfId="110" xr:uid="{110032C7-AD6D-4482-8915-EB0E3D1575D6}"/>
    <cellStyle name="20% - Accent5 6" xfId="111" xr:uid="{269FA16A-9989-4B38-ACA1-6AE97497DB1E}"/>
    <cellStyle name="20% - Accent5 7" xfId="112" xr:uid="{668D7A08-B9B0-42DB-84A9-F1EB25B134B3}"/>
    <cellStyle name="20% - Accent5 8" xfId="113" xr:uid="{222FDB1D-DB71-4BB5-BA05-1298E12DE344}"/>
    <cellStyle name="20% - Accent6 2" xfId="1666" xr:uid="{9040CA34-25B0-4317-A1CA-75267FEDE68E}"/>
    <cellStyle name="20% - Accent6 2 10" xfId="114" xr:uid="{3E7807B8-93BE-4C8B-B4A4-FF89F9B7BED1}"/>
    <cellStyle name="20% - Accent6 2 11" xfId="115" xr:uid="{AB8D4DAD-B807-4C6E-A2E1-D2D612612A2E}"/>
    <cellStyle name="20% - Accent6 2 12" xfId="116" xr:uid="{D28D8ECE-CBB2-45B5-8CC3-AE6D4C73252D}"/>
    <cellStyle name="20% - Accent6 2 13" xfId="117" xr:uid="{03A9F5A6-7E67-4950-83A5-78D349FE3939}"/>
    <cellStyle name="20% - Accent6 2 14" xfId="118" xr:uid="{A710A026-57DE-4FE1-B4F1-FCBE8A728702}"/>
    <cellStyle name="20% - Accent6 2 15" xfId="119" xr:uid="{97F7D073-9487-40D8-900E-4C3C1E76FD82}"/>
    <cellStyle name="20% - Accent6 2 2" xfId="120" xr:uid="{9BDE6733-736A-461F-A60E-F3702433FB32}"/>
    <cellStyle name="20% - Accent6 2 3" xfId="121" xr:uid="{E245BD68-DBDE-4AF8-83B9-9DE92FDF1B59}"/>
    <cellStyle name="20% - Accent6 2 4" xfId="122" xr:uid="{08E9E1A4-9074-4260-BADA-1CFE3A71E1EC}"/>
    <cellStyle name="20% - Accent6 2 5" xfId="123" xr:uid="{181C41DC-C8E5-45AC-9BA2-D63BE6B7CCF9}"/>
    <cellStyle name="20% - Accent6 2 6" xfId="124" xr:uid="{6534F927-40CB-4B14-B5E1-70242F1A7D2D}"/>
    <cellStyle name="20% - Accent6 2 7" xfId="125" xr:uid="{549FDE21-7F41-4BE8-A5BB-78784385664B}"/>
    <cellStyle name="20% - Accent6 2 8" xfId="126" xr:uid="{931A6328-74AD-4919-9A5F-2AB7ADB14A99}"/>
    <cellStyle name="20% - Accent6 2 9" xfId="127" xr:uid="{6F6B539A-8486-40AF-817B-19DDC3D17505}"/>
    <cellStyle name="20% - Accent6 3" xfId="128" xr:uid="{D5561853-EB23-42AE-B954-2B3163FD1BD6}"/>
    <cellStyle name="20% - Accent6 4" xfId="129" xr:uid="{F875A1C8-4394-4023-AA32-73699EF891D0}"/>
    <cellStyle name="20% - Accent6 5" xfId="130" xr:uid="{7407538D-0229-4595-B88F-3BB51C7226D3}"/>
    <cellStyle name="20% - Accent6 6" xfId="131" xr:uid="{910D79D7-CE84-4722-B2C8-BB073EE38390}"/>
    <cellStyle name="20% - Accent6 7" xfId="132" xr:uid="{1C0037E0-8CF2-44B8-BF1D-9A5D58463D24}"/>
    <cellStyle name="20% - Accent6 8" xfId="133" xr:uid="{415D8F1F-8D47-44C2-859A-504879C6CB6A}"/>
    <cellStyle name="40% - Accent1 2" xfId="1647" xr:uid="{FFCEAC97-0287-4F82-815C-2996E5EA5DE5}"/>
    <cellStyle name="40% - Accent1 2 10" xfId="134" xr:uid="{3BE14A12-AB2B-4D9E-862D-B600D168743F}"/>
    <cellStyle name="40% - Accent1 2 11" xfId="135" xr:uid="{26FF3A72-6782-418C-98E0-F06770BB01F5}"/>
    <cellStyle name="40% - Accent1 2 12" xfId="136" xr:uid="{9CFFEF4B-987B-4EE1-8595-A64D81E0E115}"/>
    <cellStyle name="40% - Accent1 2 13" xfId="137" xr:uid="{20ADA380-3283-40B1-97B1-7A40FD99B801}"/>
    <cellStyle name="40% - Accent1 2 14" xfId="138" xr:uid="{E047AEA3-F30E-4A47-9BAB-6BDBDE5EEDD5}"/>
    <cellStyle name="40% - Accent1 2 15" xfId="139" xr:uid="{E735CCDB-EED5-4FDC-90F0-43BB3EFDD053}"/>
    <cellStyle name="40% - Accent1 2 2" xfId="140" xr:uid="{A08FE4AE-F2C4-4492-9627-5F5AA905C03B}"/>
    <cellStyle name="40% - Accent1 2 3" xfId="141" xr:uid="{B10F5087-E53A-4A58-B0FD-47C811D8E3F7}"/>
    <cellStyle name="40% - Accent1 2 4" xfId="142" xr:uid="{DA9D86B9-CBA7-4A65-B5A9-D8646348534E}"/>
    <cellStyle name="40% - Accent1 2 5" xfId="143" xr:uid="{C8AC62A9-815D-4278-B2BE-B507EEFF25A5}"/>
    <cellStyle name="40% - Accent1 2 6" xfId="144" xr:uid="{D384403A-D3D3-4D2E-A56F-3A6BF0FD711B}"/>
    <cellStyle name="40% - Accent1 2 7" xfId="145" xr:uid="{665D0979-E1F5-4F84-998C-3B10501A2A47}"/>
    <cellStyle name="40% - Accent1 2 8" xfId="146" xr:uid="{358D0962-1334-4C74-AA83-AB7D84A6CEA6}"/>
    <cellStyle name="40% - Accent1 2 9" xfId="147" xr:uid="{0B42F521-2F1D-4BA5-921C-A24B717F2120}"/>
    <cellStyle name="40% - Accent1 3" xfId="148" xr:uid="{3AA94569-712C-481C-8F01-617DF1DC18F9}"/>
    <cellStyle name="40% - Accent1 4" xfId="149" xr:uid="{370BD396-FB00-4DBE-AA5D-3EBC6EDA2D2C}"/>
    <cellStyle name="40% - Accent1 5" xfId="150" xr:uid="{310D47C6-7B63-45D4-BA30-2F95BBFF5D49}"/>
    <cellStyle name="40% - Accent1 6" xfId="151" xr:uid="{73A02263-69CA-48D9-B5CD-BF99734BE06E}"/>
    <cellStyle name="40% - Accent1 7" xfId="152" xr:uid="{1B714B6C-0038-47B0-9E67-59392C55FE34}"/>
    <cellStyle name="40% - Accent1 8" xfId="153" xr:uid="{085C4D7A-BA12-401F-AD75-8664E9C0C887}"/>
    <cellStyle name="40% - Accent2 2" xfId="1651" xr:uid="{E837E3B3-4144-4249-935C-FF6A3AB48328}"/>
    <cellStyle name="40% - Accent2 2 10" xfId="154" xr:uid="{A2069358-5F8A-47B4-B24A-45AAA461235E}"/>
    <cellStyle name="40% - Accent2 2 11" xfId="155" xr:uid="{C3492804-A40C-45F0-82B1-A78C4E5992F9}"/>
    <cellStyle name="40% - Accent2 2 12" xfId="156" xr:uid="{23C7F25A-069A-4334-804F-C658D7C0D919}"/>
    <cellStyle name="40% - Accent2 2 13" xfId="157" xr:uid="{16AC7081-A177-4591-B71E-00F3438484A1}"/>
    <cellStyle name="40% - Accent2 2 14" xfId="158" xr:uid="{8AB53D5E-8348-4C92-82F4-A68FBB939126}"/>
    <cellStyle name="40% - Accent2 2 15" xfId="159" xr:uid="{0D88F237-5C08-43B1-A747-7281C6F2FCF9}"/>
    <cellStyle name="40% - Accent2 2 2" xfId="160" xr:uid="{8FCF4B06-CC3C-4675-90BB-F01EB31E0B7E}"/>
    <cellStyle name="40% - Accent2 2 3" xfId="161" xr:uid="{640F2FD6-ADBA-4DD9-8D2F-46BBCB684F87}"/>
    <cellStyle name="40% - Accent2 2 4" xfId="162" xr:uid="{21D8CBCE-39AC-472A-880B-1B1A2FCA5034}"/>
    <cellStyle name="40% - Accent2 2 5" xfId="163" xr:uid="{82BEA0D6-BD11-497A-9B64-1DF39BF5ABDB}"/>
    <cellStyle name="40% - Accent2 2 6" xfId="164" xr:uid="{08A56998-7BBA-4C9C-B4A0-A5161611749E}"/>
    <cellStyle name="40% - Accent2 2 7" xfId="165" xr:uid="{87663E8A-7228-4015-BACF-5D11A8A017DC}"/>
    <cellStyle name="40% - Accent2 2 8" xfId="166" xr:uid="{C6CF50A0-A8FB-43EF-BFA0-E09714C6CF42}"/>
    <cellStyle name="40% - Accent2 2 9" xfId="167" xr:uid="{A3822C7A-EB46-46CC-9D45-9532F1791514}"/>
    <cellStyle name="40% - Accent2 3" xfId="168" xr:uid="{8EA062AD-6FB2-4063-9AE2-B461012B0997}"/>
    <cellStyle name="40% - Accent2 4" xfId="169" xr:uid="{869CDF5B-8C97-4279-A8EE-868F74595B6C}"/>
    <cellStyle name="40% - Accent2 5" xfId="170" xr:uid="{41B93E64-5816-4024-85D4-6D46BCF161FF}"/>
    <cellStyle name="40% - Accent2 6" xfId="171" xr:uid="{E01A14AA-9D38-4160-B1E0-F4002B2DE141}"/>
    <cellStyle name="40% - Accent2 7" xfId="172" xr:uid="{58D65592-68CA-4746-A339-85DD188857A6}"/>
    <cellStyle name="40% - Accent2 8" xfId="173" xr:uid="{D0BF0C09-2C91-444C-86C3-3B45F9218758}"/>
    <cellStyle name="40% - Accent3 2" xfId="1655" xr:uid="{C9EFA925-50B5-455E-BD06-8586545A86A6}"/>
    <cellStyle name="40% - Accent3 2 10" xfId="174" xr:uid="{C8C102FA-7D33-43A7-B146-385709834615}"/>
    <cellStyle name="40% - Accent3 2 11" xfId="175" xr:uid="{78DE7FFB-3680-42F1-89A8-3BB340804FF1}"/>
    <cellStyle name="40% - Accent3 2 12" xfId="176" xr:uid="{CE372A51-B2D4-4C8F-A53C-7B190C04696A}"/>
    <cellStyle name="40% - Accent3 2 13" xfId="177" xr:uid="{074968EE-111E-469E-8728-958B264FA760}"/>
    <cellStyle name="40% - Accent3 2 14" xfId="178" xr:uid="{CCB0DADD-4A57-4EAE-B11C-7296A731C771}"/>
    <cellStyle name="40% - Accent3 2 15" xfId="179" xr:uid="{99D13245-63A1-4455-BE66-FB2F0334F5EE}"/>
    <cellStyle name="40% - Accent3 2 2" xfId="180" xr:uid="{E0B09FCE-0A0D-4C1E-B6BF-C2D993EEB4A9}"/>
    <cellStyle name="40% - Accent3 2 3" xfId="181" xr:uid="{F29039B7-E576-4539-93CE-B5E6A3E3EFF9}"/>
    <cellStyle name="40% - Accent3 2 4" xfId="182" xr:uid="{CFCC4ECB-1AD2-4E1B-954A-B8CB017E6B19}"/>
    <cellStyle name="40% - Accent3 2 5" xfId="183" xr:uid="{A45FB5D8-A076-4A49-9275-489DC6704817}"/>
    <cellStyle name="40% - Accent3 2 6" xfId="184" xr:uid="{5E6CD493-B8BD-4845-AFD1-546487F25975}"/>
    <cellStyle name="40% - Accent3 2 7" xfId="185" xr:uid="{35D338A7-4D28-4977-AEC7-C04DFD62AEA7}"/>
    <cellStyle name="40% - Accent3 2 8" xfId="186" xr:uid="{F89705AC-06F0-452A-B0F5-DEA42A83FBF0}"/>
    <cellStyle name="40% - Accent3 2 9" xfId="187" xr:uid="{0C6716CD-EE17-4B47-B5DF-53B6D843C2C4}"/>
    <cellStyle name="40% - Accent3 3" xfId="188" xr:uid="{DD4D2C73-25A8-4812-AFF4-6A7F652BF09A}"/>
    <cellStyle name="40% - Accent3 4" xfId="189" xr:uid="{D086CDDF-C5C4-46D4-BCD1-4251A1DEC0D2}"/>
    <cellStyle name="40% - Accent3 5" xfId="190" xr:uid="{6A3F8D24-9DA8-4966-93A4-CE455DD2D712}"/>
    <cellStyle name="40% - Accent3 6" xfId="191" xr:uid="{7BA42D10-619E-4EE4-ACF8-87529EC87EF2}"/>
    <cellStyle name="40% - Accent3 7" xfId="192" xr:uid="{17A022E2-6093-44D3-B81A-DAB84F314760}"/>
    <cellStyle name="40% - Accent3 8" xfId="193" xr:uid="{06A993E9-A49E-48FC-8D39-8FBC876D52B9}"/>
    <cellStyle name="40% - Accent4 2" xfId="1659" xr:uid="{4C3B7BBC-8B6F-4534-9B78-3A10DFEE0618}"/>
    <cellStyle name="40% - Accent4 2 10" xfId="194" xr:uid="{20989E66-A030-4C76-B5F5-29BEB91F58A7}"/>
    <cellStyle name="40% - Accent4 2 11" xfId="195" xr:uid="{26BB616E-4D25-4BA7-8BAE-AC151C43C7F3}"/>
    <cellStyle name="40% - Accent4 2 12" xfId="196" xr:uid="{075A9CF7-471D-4395-9873-1AE15B4C217C}"/>
    <cellStyle name="40% - Accent4 2 13" xfId="197" xr:uid="{B504DC60-ACF7-4486-A393-F3B6146564B3}"/>
    <cellStyle name="40% - Accent4 2 14" xfId="198" xr:uid="{A1E5308A-1886-4348-81A0-51C697091902}"/>
    <cellStyle name="40% - Accent4 2 15" xfId="199" xr:uid="{949F6F79-0D9F-4527-9115-F541FEC91075}"/>
    <cellStyle name="40% - Accent4 2 2" xfId="200" xr:uid="{64E43BC6-B44F-4E15-A6E9-7810925B3A20}"/>
    <cellStyle name="40% - Accent4 2 3" xfId="201" xr:uid="{DA6D1442-CBD7-4C37-9AE8-417914D07B51}"/>
    <cellStyle name="40% - Accent4 2 4" xfId="202" xr:uid="{386C1FE5-58D0-4654-98D7-E1CB5EA6BDC4}"/>
    <cellStyle name="40% - Accent4 2 5" xfId="203" xr:uid="{8AEFC0D7-6363-40EF-92A4-F5F2B6AF95F9}"/>
    <cellStyle name="40% - Accent4 2 6" xfId="204" xr:uid="{C29827D9-D1AD-4A0F-A428-34B10C5D1FED}"/>
    <cellStyle name="40% - Accent4 2 7" xfId="205" xr:uid="{DE629D8C-705C-40C6-8AB0-4593CC7BCFF0}"/>
    <cellStyle name="40% - Accent4 2 8" xfId="206" xr:uid="{30A9525D-7C34-4AED-9EF0-1B7DEB558055}"/>
    <cellStyle name="40% - Accent4 2 9" xfId="207" xr:uid="{AFE2FB67-364D-4889-8682-30E26B073FBF}"/>
    <cellStyle name="40% - Accent4 3" xfId="208" xr:uid="{1EDCFC15-2668-4814-9126-DDF4A23E3C65}"/>
    <cellStyle name="40% - Accent4 4" xfId="209" xr:uid="{6A7DB50F-AB8C-437D-9E63-F0E6E0EC23FE}"/>
    <cellStyle name="40% - Accent4 5" xfId="210" xr:uid="{D396A1CD-F3C1-48F9-9783-23142DC7D0C3}"/>
    <cellStyle name="40% - Accent4 6" xfId="211" xr:uid="{F7D63480-CA3A-410F-AD46-D45A98FCC80D}"/>
    <cellStyle name="40% - Accent4 7" xfId="212" xr:uid="{F016B9FD-1162-4895-B8BB-0E02FFB3F49E}"/>
    <cellStyle name="40% - Accent4 8" xfId="213" xr:uid="{5C7FBD31-298D-4DA2-A59E-259AEEBEE326}"/>
    <cellStyle name="40% - Accent5 2" xfId="1663" xr:uid="{DD4E7DCC-9082-403E-A774-31FAEBE91C2E}"/>
    <cellStyle name="40% - Accent5 2 10" xfId="214" xr:uid="{484276FE-54EF-4B3B-BDE7-B3042394CC9E}"/>
    <cellStyle name="40% - Accent5 2 11" xfId="215" xr:uid="{20627299-4FDB-4F91-9C35-CF9FD6574873}"/>
    <cellStyle name="40% - Accent5 2 12" xfId="216" xr:uid="{C3024492-A74F-4A20-B224-FADAB7EAC973}"/>
    <cellStyle name="40% - Accent5 2 13" xfId="217" xr:uid="{FF631270-90A3-4642-974B-2F0A9E6CA744}"/>
    <cellStyle name="40% - Accent5 2 14" xfId="218" xr:uid="{68D827A7-D9D5-45B7-A7EC-F4CA3F4D085F}"/>
    <cellStyle name="40% - Accent5 2 15" xfId="219" xr:uid="{55AB4D5C-6646-424F-9534-3627B4149F37}"/>
    <cellStyle name="40% - Accent5 2 2" xfId="220" xr:uid="{BFC44F9D-3439-408A-AF56-C63C3D7891E7}"/>
    <cellStyle name="40% - Accent5 2 3" xfId="221" xr:uid="{7C586094-2758-49D4-AFB2-52C757254DCC}"/>
    <cellStyle name="40% - Accent5 2 4" xfId="222" xr:uid="{410213A5-FA58-4C1D-8F4D-A1DE4DB67BAE}"/>
    <cellStyle name="40% - Accent5 2 5" xfId="223" xr:uid="{0EF4294A-2967-45C2-BB09-50A01AE96EDA}"/>
    <cellStyle name="40% - Accent5 2 6" xfId="224" xr:uid="{4A9EBB80-5E4F-4AE0-B0C1-C72C0CBA1327}"/>
    <cellStyle name="40% - Accent5 2 7" xfId="225" xr:uid="{A1EDE511-7B15-4BBB-92F2-C5B3D4437AEC}"/>
    <cellStyle name="40% - Accent5 2 8" xfId="226" xr:uid="{FF6751A7-1BA3-45B9-AFD5-B0F46B997DF1}"/>
    <cellStyle name="40% - Accent5 2 9" xfId="227" xr:uid="{9460BFE8-723C-4D4F-849D-BE650DC139BD}"/>
    <cellStyle name="40% - Accent5 3" xfId="228" xr:uid="{57F92FAB-BB58-489D-914F-09343AB05A5B}"/>
    <cellStyle name="40% - Accent5 4" xfId="229" xr:uid="{BCAAA233-932D-4A40-AA9A-506DB08E918F}"/>
    <cellStyle name="40% - Accent5 5" xfId="230" xr:uid="{87773FC5-D817-4174-BF3A-57DABB63443F}"/>
    <cellStyle name="40% - Accent5 6" xfId="231" xr:uid="{4209A9BE-2B8D-4F16-861D-7B91198688AE}"/>
    <cellStyle name="40% - Accent5 7" xfId="232" xr:uid="{10292D95-8F6E-4676-BA3D-AABADFEAAFB1}"/>
    <cellStyle name="40% - Accent5 8" xfId="233" xr:uid="{51408441-9535-4BDE-9C9D-F8D61F93E740}"/>
    <cellStyle name="40% - Accent6 2" xfId="1667" xr:uid="{F2E3A6E2-0A9C-49C6-9A55-013C0AFE3054}"/>
    <cellStyle name="40% - Accent6 2 10" xfId="234" xr:uid="{5476D3A5-D2EB-4FE1-92B1-329D2F75300A}"/>
    <cellStyle name="40% - Accent6 2 11" xfId="235" xr:uid="{B6D8F7A8-DBAA-45EB-8247-3D059C9BA387}"/>
    <cellStyle name="40% - Accent6 2 12" xfId="236" xr:uid="{C07E5693-FE70-4E1F-9099-DB14C06EA508}"/>
    <cellStyle name="40% - Accent6 2 13" xfId="237" xr:uid="{12967F40-5575-4386-9A3D-C336E694DB25}"/>
    <cellStyle name="40% - Accent6 2 14" xfId="238" xr:uid="{55EC58DA-93D9-4179-B849-CA2690BDED67}"/>
    <cellStyle name="40% - Accent6 2 15" xfId="239" xr:uid="{A6288843-1FA9-44E4-9316-9EC9843E8468}"/>
    <cellStyle name="40% - Accent6 2 2" xfId="240" xr:uid="{D7D0F986-E48A-420A-84BD-F6ECE61D7964}"/>
    <cellStyle name="40% - Accent6 2 3" xfId="241" xr:uid="{5E15BBF8-3F72-41A4-8F3F-AA6A1796DCDC}"/>
    <cellStyle name="40% - Accent6 2 4" xfId="242" xr:uid="{E082B007-CEB1-48B2-9F1C-EA19B2E1C55F}"/>
    <cellStyle name="40% - Accent6 2 5" xfId="243" xr:uid="{6A2F1381-703A-4CBE-A79A-2C8CA951E6CC}"/>
    <cellStyle name="40% - Accent6 2 6" xfId="244" xr:uid="{3539FAFA-FAE6-418C-BFEC-AF9A296EF416}"/>
    <cellStyle name="40% - Accent6 2 7" xfId="245" xr:uid="{31B455FE-46A5-4BD7-B3AE-94B7CCFA7A4C}"/>
    <cellStyle name="40% - Accent6 2 8" xfId="246" xr:uid="{6CCC0DC7-B61C-4933-B664-9DA6653C5787}"/>
    <cellStyle name="40% - Accent6 2 9" xfId="247" xr:uid="{50B6F9AA-9BBB-48D2-BF8D-D9A8F82FB7C9}"/>
    <cellStyle name="40% - Accent6 3" xfId="248" xr:uid="{5E747E12-F96D-4BF7-8B9A-2F88AA38B074}"/>
    <cellStyle name="40% - Accent6 4" xfId="249" xr:uid="{23461381-D4D4-4940-AEE2-02E7D75D6820}"/>
    <cellStyle name="40% - Accent6 5" xfId="250" xr:uid="{41532BD6-18C2-4155-A3AE-C094710861D9}"/>
    <cellStyle name="40% - Accent6 6" xfId="251" xr:uid="{028E0197-AB3F-4F99-BE25-A5CEDDE99C62}"/>
    <cellStyle name="40% - Accent6 7" xfId="252" xr:uid="{18372C26-BA4F-446F-9C77-4E56C8E106B9}"/>
    <cellStyle name="40% - Accent6 8" xfId="253" xr:uid="{BB995E6C-D08A-4100-B829-0A58817156D6}"/>
    <cellStyle name="60% - Accent1 2" xfId="1648" xr:uid="{96EF6B74-7E2F-40C4-9285-D2F634434756}"/>
    <cellStyle name="60% - Accent1 2 10" xfId="254" xr:uid="{3B6102D3-27A2-41F2-92D2-493ED42683FE}"/>
    <cellStyle name="60% - Accent1 2 2" xfId="255" xr:uid="{C036E238-5F89-4C51-8B39-95547916EABB}"/>
    <cellStyle name="60% - Accent1 2 3" xfId="256" xr:uid="{9FFE58D4-DA73-4F2B-93B9-15921A8AC1C9}"/>
    <cellStyle name="60% - Accent1 2 4" xfId="257" xr:uid="{713613BF-A7AE-4833-90FF-A975B22432AE}"/>
    <cellStyle name="60% - Accent1 2 5" xfId="258" xr:uid="{BDEC3E82-E7DB-4B5C-8939-0C11A2C6E733}"/>
    <cellStyle name="60% - Accent1 2 6" xfId="259" xr:uid="{A781F716-475A-4DA3-8BF8-053B2E9DACF4}"/>
    <cellStyle name="60% - Accent1 2 7" xfId="260" xr:uid="{3469DAE2-BE87-48AC-8DF9-C92A3734537C}"/>
    <cellStyle name="60% - Accent1 2 8" xfId="261" xr:uid="{74495665-B497-4BCA-9F01-B10F5C046704}"/>
    <cellStyle name="60% - Accent1 2 9" xfId="262" xr:uid="{D7EE8627-092F-4EB1-B389-FA3F5EC2D30D}"/>
    <cellStyle name="60% - Accent1 3" xfId="263" xr:uid="{76F3FD12-46E1-4445-98EA-8F6BB0D6E625}"/>
    <cellStyle name="60% - Accent2 2" xfId="1652" xr:uid="{1B01DE8B-EE1F-438A-A471-9000131DA95A}"/>
    <cellStyle name="60% - Accent2 2 10" xfId="264" xr:uid="{41B3BE3B-24BB-4874-B293-C5416A56388C}"/>
    <cellStyle name="60% - Accent2 2 2" xfId="265" xr:uid="{04A78884-11F4-4EDF-9D90-971150243617}"/>
    <cellStyle name="60% - Accent2 2 3" xfId="266" xr:uid="{6630D112-C2D3-4F81-9E70-E442920C670A}"/>
    <cellStyle name="60% - Accent2 2 4" xfId="267" xr:uid="{A781B453-94C2-4E47-B3AF-6A8C8EBF23A0}"/>
    <cellStyle name="60% - Accent2 2 5" xfId="268" xr:uid="{2F7A3BA0-F15E-4754-A667-1EA3F60ADC79}"/>
    <cellStyle name="60% - Accent2 2 6" xfId="269" xr:uid="{87AF2CB8-F4E5-4356-AB54-7A0F16F0BD16}"/>
    <cellStyle name="60% - Accent2 2 7" xfId="270" xr:uid="{92F8ED68-F728-41C7-BBB0-FBAAA7C536FC}"/>
    <cellStyle name="60% - Accent2 2 8" xfId="271" xr:uid="{6F32FFAA-0C19-4D03-9949-040E9C2C0878}"/>
    <cellStyle name="60% - Accent2 2 9" xfId="272" xr:uid="{6578A12A-6410-4F9F-B7CB-F8C2D96D943D}"/>
    <cellStyle name="60% - Accent2 3" xfId="273" xr:uid="{FB1A46B3-B7B6-49A9-BB59-17F459E54E4E}"/>
    <cellStyle name="60% - Accent3 2" xfId="1656" xr:uid="{B056694F-9FC3-4D26-BF31-BE31BAAF343B}"/>
    <cellStyle name="60% - Accent3 2 10" xfId="274" xr:uid="{56D2BD6C-F6CC-4608-8613-62C147AF011C}"/>
    <cellStyle name="60% - Accent3 2 2" xfId="275" xr:uid="{BD6DC0FF-7279-4792-B233-8E0116E4A3FB}"/>
    <cellStyle name="60% - Accent3 2 3" xfId="276" xr:uid="{54772B14-E680-4630-8756-A4E3E386C65C}"/>
    <cellStyle name="60% - Accent3 2 4" xfId="277" xr:uid="{EF763B9F-0EFE-4F63-BDC1-39B6DF2474E9}"/>
    <cellStyle name="60% - Accent3 2 5" xfId="278" xr:uid="{6505DFBA-FC65-4F45-A859-E92F1BE64881}"/>
    <cellStyle name="60% - Accent3 2 6" xfId="279" xr:uid="{7C0E8CAE-DFBF-494B-BE83-D5D6FE3D8663}"/>
    <cellStyle name="60% - Accent3 2 7" xfId="280" xr:uid="{FB7B34EF-B768-4DE1-B945-AD95CA875A67}"/>
    <cellStyle name="60% - Accent3 2 8" xfId="281" xr:uid="{253A0EBC-2908-4B1A-BEA4-BB69526388F2}"/>
    <cellStyle name="60% - Accent3 2 9" xfId="282" xr:uid="{02B02AEB-667D-4B73-A760-C6A189E0DDE7}"/>
    <cellStyle name="60% - Accent3 3" xfId="283" xr:uid="{E276122F-AF42-49B0-80CA-ABCC1F13518D}"/>
    <cellStyle name="60% - Accent4 2" xfId="1660" xr:uid="{3B7C3D7C-0C57-4A66-B4BE-182D69A19789}"/>
    <cellStyle name="60% - Accent4 2 10" xfId="284" xr:uid="{217C5E6A-620E-4068-B6D1-2749BBCC53D5}"/>
    <cellStyle name="60% - Accent4 2 2" xfId="285" xr:uid="{931E8F82-FE85-456E-A8FB-070EEAA43137}"/>
    <cellStyle name="60% - Accent4 2 3" xfId="286" xr:uid="{391E2A77-928C-403F-A222-551C5AD78CFB}"/>
    <cellStyle name="60% - Accent4 2 4" xfId="287" xr:uid="{C36D5ADF-7BD5-44D3-9681-190885ABA447}"/>
    <cellStyle name="60% - Accent4 2 5" xfId="288" xr:uid="{03945FEB-E70A-48B7-91C0-859DFD8F39B3}"/>
    <cellStyle name="60% - Accent4 2 6" xfId="289" xr:uid="{41F6AAA1-FDB7-4603-8A53-CDFD9CF19DBB}"/>
    <cellStyle name="60% - Accent4 2 7" xfId="290" xr:uid="{1CF67FB4-7528-4AB1-B95D-A6465AB336A5}"/>
    <cellStyle name="60% - Accent4 2 8" xfId="291" xr:uid="{BD793384-80B3-4C35-89FC-2757ACBDF47E}"/>
    <cellStyle name="60% - Accent4 2 9" xfId="292" xr:uid="{C5D3B668-EA06-412B-BC8E-DA8581333A7F}"/>
    <cellStyle name="60% - Accent4 3" xfId="293" xr:uid="{DE7A3F26-CD86-4BD4-8ACB-3DDF8212E3E0}"/>
    <cellStyle name="60% - Accent5 2" xfId="1664" xr:uid="{ADBD7689-EEDB-411D-825B-2141B65B8C43}"/>
    <cellStyle name="60% - Accent5 2 10" xfId="294" xr:uid="{CDDEB9CF-5C66-4AF7-B6E4-85A2A9DDE280}"/>
    <cellStyle name="60% - Accent5 2 2" xfId="295" xr:uid="{44C720E6-29FB-4512-B868-9957147FBFBD}"/>
    <cellStyle name="60% - Accent5 2 3" xfId="296" xr:uid="{873FA64C-2526-4AE6-93D6-D783BFC4FC4D}"/>
    <cellStyle name="60% - Accent5 2 4" xfId="297" xr:uid="{3FDA1F61-B130-4785-A108-4FADC01292FC}"/>
    <cellStyle name="60% - Accent5 2 5" xfId="298" xr:uid="{C6E243C1-A475-4436-A11E-935BDBACE2DD}"/>
    <cellStyle name="60% - Accent5 2 6" xfId="299" xr:uid="{BEDF16DB-3B2B-4A75-8F2D-86FE30A08325}"/>
    <cellStyle name="60% - Accent5 2 7" xfId="300" xr:uid="{19DBEA42-0F01-4E51-8773-1F8EEE6C2C48}"/>
    <cellStyle name="60% - Accent5 2 8" xfId="301" xr:uid="{7CAA6707-49DC-440E-8442-EFBDA9F3D0AD}"/>
    <cellStyle name="60% - Accent5 2 9" xfId="302" xr:uid="{AEA3FA12-AED9-41C1-9943-77DACDDD3AE5}"/>
    <cellStyle name="60% - Accent5 3" xfId="303" xr:uid="{695D08CE-7F41-483F-8B25-580BF0E1315C}"/>
    <cellStyle name="60% - Accent6 2" xfId="1668" xr:uid="{E6BEDCCA-9C06-4AA0-8909-797E1E406560}"/>
    <cellStyle name="60% - Accent6 2 10" xfId="304" xr:uid="{422F506C-5969-4E47-932A-DD91C016F6F2}"/>
    <cellStyle name="60% - Accent6 2 2" xfId="305" xr:uid="{40559A67-6380-4B65-8851-FBE12D01CEC8}"/>
    <cellStyle name="60% - Accent6 2 3" xfId="306" xr:uid="{D11BC5CC-88B2-49AF-BCF2-B87B092D550E}"/>
    <cellStyle name="60% - Accent6 2 4" xfId="307" xr:uid="{E6350623-1AF1-4DBD-8CA9-65857A72EC01}"/>
    <cellStyle name="60% - Accent6 2 5" xfId="308" xr:uid="{4795555A-85EC-450C-8383-3005B92D4E3F}"/>
    <cellStyle name="60% - Accent6 2 6" xfId="309" xr:uid="{F65920C2-7F38-469E-905B-281B927FD489}"/>
    <cellStyle name="60% - Accent6 2 7" xfId="310" xr:uid="{84549A40-73AE-40D4-819A-57055C2864E3}"/>
    <cellStyle name="60% - Accent6 2 8" xfId="311" xr:uid="{A1017B24-C3E0-449E-88D4-3A09E4650ACE}"/>
    <cellStyle name="60% - Accent6 2 9" xfId="312" xr:uid="{AD4B6901-2D8F-4548-B782-BAC9C9E43B66}"/>
    <cellStyle name="60% - Accent6 3" xfId="313" xr:uid="{4A368399-3EB3-4610-B2AB-9D57DAD661F4}"/>
    <cellStyle name="Accent1" xfId="1629" builtinId="29"/>
    <cellStyle name="Accent1 2 10" xfId="314" xr:uid="{D35699FF-5B0D-4FA3-AF18-B0676B1D90B2}"/>
    <cellStyle name="Accent1 2 2" xfId="315" xr:uid="{6EA6E76F-C8F9-4248-9B7D-C8775262B05D}"/>
    <cellStyle name="Accent1 2 3" xfId="316" xr:uid="{285C854B-47A9-4B49-BDA4-EBF7862EB2CD}"/>
    <cellStyle name="Accent1 2 4" xfId="317" xr:uid="{8EC7525A-A6D6-4841-B165-C89FABD2B73C}"/>
    <cellStyle name="Accent1 2 5" xfId="318" xr:uid="{63F4D2DD-1909-4543-B1FD-DF6BA0083B4C}"/>
    <cellStyle name="Accent1 2 6" xfId="319" xr:uid="{B58A1723-A678-4E06-B148-4613DC10F687}"/>
    <cellStyle name="Accent1 2 7" xfId="320" xr:uid="{0E863AA5-701E-4FC9-AD7B-97A59D1FEC61}"/>
    <cellStyle name="Accent1 2 8" xfId="321" xr:uid="{5A172DDA-17A2-4723-967E-EB1C642DAB30}"/>
    <cellStyle name="Accent1 2 9" xfId="322" xr:uid="{2854C2B2-6E15-459F-9F0D-4778C3E9F0F0}"/>
    <cellStyle name="Accent1 3" xfId="323" xr:uid="{42E2CFEC-4875-4FAF-8832-B89D76CBDB74}"/>
    <cellStyle name="Accent2 2" xfId="1649" xr:uid="{6AC3EAFD-CBD1-49C2-9E4B-E1A9E825452C}"/>
    <cellStyle name="Accent2 2 10" xfId="324" xr:uid="{7E890639-3FAD-45F2-BD54-FDC8DB00B4F6}"/>
    <cellStyle name="Accent2 2 2" xfId="325" xr:uid="{B733AD6B-2395-49EA-9244-F18478214007}"/>
    <cellStyle name="Accent2 2 3" xfId="326" xr:uid="{54EA5771-F60C-4E68-88A0-2BD1596A3703}"/>
    <cellStyle name="Accent2 2 4" xfId="327" xr:uid="{C241EE17-9F66-43C6-958F-E1477EE8313B}"/>
    <cellStyle name="Accent2 2 5" xfId="328" xr:uid="{491883FB-F7D6-4B3D-9BBD-BAE32D3CCA3E}"/>
    <cellStyle name="Accent2 2 6" xfId="329" xr:uid="{12D4497D-6B3F-4AF6-9C15-6E53167B45CE}"/>
    <cellStyle name="Accent2 2 7" xfId="330" xr:uid="{C3A4D36A-CCBA-496F-AB14-0CE29F804005}"/>
    <cellStyle name="Accent2 2 8" xfId="331" xr:uid="{A109F668-2ECF-4DC8-8584-CD958EE26955}"/>
    <cellStyle name="Accent2 2 9" xfId="332" xr:uid="{478C9646-79C3-479A-90D6-7B1FF8D90C34}"/>
    <cellStyle name="Accent2 3" xfId="333" xr:uid="{4F2C9B03-8F5D-42F7-96B9-046193D96B5E}"/>
    <cellStyle name="Accent3 2" xfId="1653" xr:uid="{D8B984C0-7520-49C3-A099-CCE791145BB2}"/>
    <cellStyle name="Accent3 2 10" xfId="334" xr:uid="{9A0C62E2-4E71-471A-ABBA-57DF065A4C9F}"/>
    <cellStyle name="Accent3 2 2" xfId="335" xr:uid="{8EB16196-EA1A-4C5A-B5D1-7C9679A53973}"/>
    <cellStyle name="Accent3 2 3" xfId="336" xr:uid="{7E50133F-50E1-4E29-A92D-1148B6A67433}"/>
    <cellStyle name="Accent3 2 4" xfId="337" xr:uid="{7970E4FD-7F46-4F2C-9198-1A46E90D1B42}"/>
    <cellStyle name="Accent3 2 5" xfId="338" xr:uid="{5C652A9E-084A-4202-9F93-94E2D37098BC}"/>
    <cellStyle name="Accent3 2 6" xfId="339" xr:uid="{8919175D-588B-42CC-9B7A-399C7A3015F4}"/>
    <cellStyle name="Accent3 2 7" xfId="340" xr:uid="{AA06E22B-D8B7-473A-9E68-D357145B7E5E}"/>
    <cellStyle name="Accent3 2 8" xfId="341" xr:uid="{A23D65DB-0476-487F-A7E6-319FB7217AC1}"/>
    <cellStyle name="Accent3 2 9" xfId="342" xr:uid="{669256AD-D3CF-4965-8862-A7BBF843EE50}"/>
    <cellStyle name="Accent3 3" xfId="343" xr:uid="{0F3DDB28-3A71-416F-88E1-A9F922FD1F33}"/>
    <cellStyle name="Accent4 2" xfId="1657" xr:uid="{796826C6-E9C5-4727-BFCE-605A4D1BF57A}"/>
    <cellStyle name="Accent4 2 10" xfId="344" xr:uid="{CF09B4B3-3C41-4AAF-918C-98594F019BA7}"/>
    <cellStyle name="Accent4 2 2" xfId="345" xr:uid="{96CDE098-7835-46B5-890F-D71CD74239E3}"/>
    <cellStyle name="Accent4 2 3" xfId="346" xr:uid="{172343F0-C421-46F4-B86C-CEFD97F508AE}"/>
    <cellStyle name="Accent4 2 4" xfId="347" xr:uid="{D7387535-C2A8-4DA3-9134-374E7AF79FE1}"/>
    <cellStyle name="Accent4 2 5" xfId="348" xr:uid="{C2E08ACE-01EB-4513-AB8C-39390B38BA5A}"/>
    <cellStyle name="Accent4 2 6" xfId="349" xr:uid="{1383C880-4576-4F62-8D32-672D58BB243C}"/>
    <cellStyle name="Accent4 2 7" xfId="350" xr:uid="{5DC89ACA-02B5-4081-9BD9-FD456D9C93D0}"/>
    <cellStyle name="Accent4 2 8" xfId="351" xr:uid="{BB188841-1BD8-47CC-8F2F-5E16ED570FDC}"/>
    <cellStyle name="Accent4 2 9" xfId="352" xr:uid="{10635BDB-1205-443C-AE11-EAC5D267C26B}"/>
    <cellStyle name="Accent4 3" xfId="353" xr:uid="{2EC054B6-53C2-46B7-B786-035D31379979}"/>
    <cellStyle name="Accent5 2" xfId="1661" xr:uid="{C1567A52-3884-4B10-8BE4-0804980FBE22}"/>
    <cellStyle name="Accent5 2 10" xfId="354" xr:uid="{60700BF0-858A-4864-BA37-D440F6C3B5A7}"/>
    <cellStyle name="Accent5 2 2" xfId="355" xr:uid="{5085F7C9-540D-4B15-9073-3DED2AB8B3F6}"/>
    <cellStyle name="Accent5 2 3" xfId="356" xr:uid="{3C1C9415-6901-4C84-8C39-563F4907A15B}"/>
    <cellStyle name="Accent5 2 4" xfId="357" xr:uid="{F3BEC554-2C84-4C06-B8F6-11A851DD01BF}"/>
    <cellStyle name="Accent5 2 5" xfId="358" xr:uid="{B9D331D4-5F27-4DF7-8DF5-0A63B6C97C69}"/>
    <cellStyle name="Accent5 2 6" xfId="359" xr:uid="{EFF5B9DF-265A-4585-A34C-BCA82A7F1EF8}"/>
    <cellStyle name="Accent5 2 7" xfId="360" xr:uid="{AC715D22-3A36-4936-BF33-0F8A8F3BB1F1}"/>
    <cellStyle name="Accent5 2 8" xfId="361" xr:uid="{F41425B5-ABCA-4122-ABD7-06E9D699CE07}"/>
    <cellStyle name="Accent5 2 9" xfId="362" xr:uid="{F02D696D-7AA0-4A90-8840-6D679B27E2BB}"/>
    <cellStyle name="Accent5 3" xfId="363" xr:uid="{67560E4C-739A-42AC-8EBE-A718F067CE9F}"/>
    <cellStyle name="Accent6 2" xfId="1665" xr:uid="{49C892E0-331F-4F27-889E-D4269C489EA3}"/>
    <cellStyle name="Accent6 2 10" xfId="364" xr:uid="{5CBAA8D2-53FF-40AD-A9F7-AF0A64C0C878}"/>
    <cellStyle name="Accent6 2 2" xfId="365" xr:uid="{68757E96-7CFB-4C76-A886-44C8F3408DE2}"/>
    <cellStyle name="Accent6 2 3" xfId="366" xr:uid="{FE5F7C5D-DD36-4D0F-B06F-67D201B2E4F7}"/>
    <cellStyle name="Accent6 2 4" xfId="367" xr:uid="{7A544D8B-7D01-429E-9A6C-6EC3ACDA6609}"/>
    <cellStyle name="Accent6 2 5" xfId="368" xr:uid="{56582686-67FD-4E69-BDE8-FD046B450F73}"/>
    <cellStyle name="Accent6 2 6" xfId="369" xr:uid="{F88B41EE-955E-46AF-92B3-C305FF3B51BF}"/>
    <cellStyle name="Accent6 2 7" xfId="370" xr:uid="{8F052C9C-F037-4DDF-A006-3CCE3A61F554}"/>
    <cellStyle name="Accent6 2 8" xfId="371" xr:uid="{737622DA-0003-4745-B140-FF6654E1F3ED}"/>
    <cellStyle name="Accent6 2 9" xfId="372" xr:uid="{3BF2BEAF-9821-4446-A064-59161BE0A29E}"/>
    <cellStyle name="Accent6 3" xfId="373" xr:uid="{EDF1374F-2C79-43E1-BB06-2D83B14DFCCD}"/>
    <cellStyle name="Bad 2" xfId="1636" xr:uid="{2D619469-82F6-4EED-876D-3711620DE036}"/>
    <cellStyle name="Bad 2 10" xfId="374" xr:uid="{6CF69F30-328E-4AAF-95E9-4EB149B8B732}"/>
    <cellStyle name="Bad 2 2" xfId="375" xr:uid="{A1600401-C1E2-46B4-9259-A280A8779378}"/>
    <cellStyle name="Bad 2 3" xfId="376" xr:uid="{57A86A75-F34F-425A-87DC-FCEAD568AAFB}"/>
    <cellStyle name="Bad 2 4" xfId="377" xr:uid="{F1C06373-2C55-4122-9913-50080A7E9E20}"/>
    <cellStyle name="Bad 2 5" xfId="378" xr:uid="{A48DFF46-53FA-4E54-A766-FE388D61A3CC}"/>
    <cellStyle name="Bad 2 6" xfId="379" xr:uid="{4FBD6C45-065F-43D9-A524-B7E5F83257A0}"/>
    <cellStyle name="Bad 2 7" xfId="380" xr:uid="{E11FAA53-CBE3-489E-AF2F-B613AE1C6029}"/>
    <cellStyle name="Bad 2 8" xfId="381" xr:uid="{3316C50B-8834-405D-8100-AEA7BFE7861E}"/>
    <cellStyle name="Bad 2 9" xfId="382" xr:uid="{9F88611F-F984-48CF-9F28-46CEFB28E3AF}"/>
    <cellStyle name="Bad 3" xfId="383" xr:uid="{8730AA19-13B0-4C21-B0B9-92F8D366072F}"/>
    <cellStyle name="Calculation 2" xfId="1640" xr:uid="{8FE12792-8DD6-4DA2-AE69-F389F04509AB}"/>
    <cellStyle name="Calculation 2 10" xfId="384" xr:uid="{584720FC-921D-4CDE-883A-8BAFCE83E851}"/>
    <cellStyle name="Calculation 2 2" xfId="385" xr:uid="{3B3DCA0D-9ADD-40F9-938A-C3543B0B2440}"/>
    <cellStyle name="Calculation 2 3" xfId="386" xr:uid="{D9D2BF28-19A2-4674-B94D-1094BC15658D}"/>
    <cellStyle name="Calculation 2 4" xfId="387" xr:uid="{2E8D6D11-BCBF-4BC9-9536-CE4EE9587B93}"/>
    <cellStyle name="Calculation 2 5" xfId="388" xr:uid="{86AA9A9C-B767-4904-BBC1-179D5181E207}"/>
    <cellStyle name="Calculation 2 6" xfId="389" xr:uid="{43A3DAE8-E92B-463A-8126-3BC119EE3B11}"/>
    <cellStyle name="Calculation 2 7" xfId="390" xr:uid="{C7B2B302-7393-4588-B765-9670DB82B620}"/>
    <cellStyle name="Calculation 2 8" xfId="391" xr:uid="{35EAE358-7A7E-4181-879A-6F1B291C1D2C}"/>
    <cellStyle name="Calculation 2 9" xfId="392" xr:uid="{9D359A66-D6C3-4468-AA29-07C8D1C58AEB}"/>
    <cellStyle name="Calculation 3" xfId="393" xr:uid="{32FD15B6-5100-4F38-9238-10521FD6F17F}"/>
    <cellStyle name="Check Cell 2" xfId="1642" xr:uid="{08AAAAEF-9F4F-426F-BB8B-8C7DFA4F6408}"/>
    <cellStyle name="Check Cell 2 10" xfId="394" xr:uid="{B5BA6C7A-7FA1-4983-85C1-6AB4A72B6675}"/>
    <cellStyle name="Check Cell 2 2" xfId="395" xr:uid="{738E5165-A7F2-46C9-915C-7B738189E761}"/>
    <cellStyle name="Check Cell 2 3" xfId="396" xr:uid="{AF1651EC-FA95-45BB-96CE-FC375296D071}"/>
    <cellStyle name="Check Cell 2 4" xfId="397" xr:uid="{8B79E8C1-17D3-4121-828C-C0CB369EF84E}"/>
    <cellStyle name="Check Cell 2 5" xfId="398" xr:uid="{3F7BF5D6-A790-4F1F-9F7F-029B4BF4A61F}"/>
    <cellStyle name="Check Cell 2 6" xfId="399" xr:uid="{25B9C71B-1E78-49ED-B37A-47C7E71ED19A}"/>
    <cellStyle name="Check Cell 2 7" xfId="400" xr:uid="{CE2A6F54-5F79-430E-8A21-0BFC6C9041C0}"/>
    <cellStyle name="Check Cell 2 8" xfId="401" xr:uid="{99B767F5-5A5E-4F0F-8550-A311BE8FAF16}"/>
    <cellStyle name="Check Cell 2 9" xfId="402" xr:uid="{8A2AF30C-5471-4361-991C-059430BF22E0}"/>
    <cellStyle name="Check Cell 3" xfId="403" xr:uid="{1E7BAA33-C101-42D5-9C0C-3B122E9FCDAF}"/>
    <cellStyle name="Comma" xfId="1" builtinId="3"/>
    <cellStyle name="Comma [0] 2 10" xfId="404" xr:uid="{C5A04D78-AB15-485A-8E40-5FB257B7A37E}"/>
    <cellStyle name="Comma [0] 2 2" xfId="405" xr:uid="{E906A20E-6667-4907-8133-94C78D5C8734}"/>
    <cellStyle name="Comma [0] 2 3" xfId="406" xr:uid="{6A320B97-3306-422E-A6E9-F34A7C8A5591}"/>
    <cellStyle name="Comma [0] 2 4" xfId="407" xr:uid="{5BC86701-D4C6-43A6-9179-16B0ED95D501}"/>
    <cellStyle name="Comma [0] 2 5" xfId="408" xr:uid="{81A0B677-CCC6-4DBC-B9B2-1D61FC204F95}"/>
    <cellStyle name="Comma [0] 2 6" xfId="409" xr:uid="{E1E6CD1F-DEE3-4465-9988-8D0FB5686CB0}"/>
    <cellStyle name="Comma [0] 2 7" xfId="410" xr:uid="{27B200CD-0422-4ED8-9109-A256677D5221}"/>
    <cellStyle name="Comma [0] 2 8" xfId="411" xr:uid="{014AD7DD-A493-4687-8D87-F614EACA8650}"/>
    <cellStyle name="Comma [0] 2 9" xfId="412" xr:uid="{8B2E14F3-1FFC-4A3F-91A0-47E892D18382}"/>
    <cellStyle name="Comma 10 2" xfId="413" xr:uid="{38DEC0E6-154D-4397-99B7-63FDD29233C4}"/>
    <cellStyle name="Comma 10 2 10" xfId="414" xr:uid="{02DC17D3-6A6A-46A1-ADB2-6D6A44828A22}"/>
    <cellStyle name="Comma 10 2 11" xfId="415" xr:uid="{BF8A648B-6305-40E1-B525-5925F9F1C588}"/>
    <cellStyle name="Comma 10 2 12" xfId="416" xr:uid="{C6BBACDD-35C8-4C72-AA1F-AC9367AABD69}"/>
    <cellStyle name="Comma 10 2 13" xfId="417" xr:uid="{2793B819-2673-4BC9-B3ED-C5FD620CC358}"/>
    <cellStyle name="Comma 10 2 14" xfId="418" xr:uid="{CA8F44F5-C7FB-4DA5-BEA5-5D6AE309C17E}"/>
    <cellStyle name="Comma 10 2 15" xfId="419" xr:uid="{355E3C04-55CE-4811-AA45-CA8C9F0B0291}"/>
    <cellStyle name="Comma 10 2 16" xfId="420" xr:uid="{5E0B014B-42EA-4739-8E5F-B89D896B2C1D}"/>
    <cellStyle name="Comma 10 2 17" xfId="421" xr:uid="{75CADDFA-7580-4FD4-B52D-7CFDEC2BB6A5}"/>
    <cellStyle name="Comma 10 2 2" xfId="422" xr:uid="{5387FBCD-846D-4141-BE23-49CCA1E0F4CC}"/>
    <cellStyle name="Comma 10 2 3" xfId="423" xr:uid="{FD5C21EA-F557-4080-B638-380242393F05}"/>
    <cellStyle name="Comma 10 2 4" xfId="424" xr:uid="{96B17188-BA05-47CA-BF4B-DE8F16883EF9}"/>
    <cellStyle name="Comma 10 2 5" xfId="425" xr:uid="{7CF55EF6-CF30-460C-A575-00088739A7F4}"/>
    <cellStyle name="Comma 10 2 6" xfId="426" xr:uid="{F41D04B0-4AF7-4C3B-AB78-9CA658F75D8B}"/>
    <cellStyle name="Comma 10 2 7" xfId="427" xr:uid="{48B5A723-4144-4747-8B58-51655906B3FA}"/>
    <cellStyle name="Comma 10 2 8" xfId="428" xr:uid="{978998A1-7BA1-4A65-AD3E-12E503AECD19}"/>
    <cellStyle name="Comma 10 2 9" xfId="429" xr:uid="{B823C968-ECC5-4B4A-B744-4445A07FB3F4}"/>
    <cellStyle name="Comma 10 3" xfId="430" xr:uid="{19004BA8-3A9A-49A0-8238-A187673F4BA1}"/>
    <cellStyle name="Comma 10 3 10" xfId="431" xr:uid="{7B31333F-A8B5-415D-B176-F20D92139829}"/>
    <cellStyle name="Comma 10 3 11" xfId="432" xr:uid="{A4FF26AA-C599-418E-8E16-F74482852223}"/>
    <cellStyle name="Comma 10 3 12" xfId="433" xr:uid="{6C939C6F-D153-4F71-9A01-2301E4A0B300}"/>
    <cellStyle name="Comma 10 3 13" xfId="434" xr:uid="{FE0F33A9-750F-4464-9C93-A44F31C775DE}"/>
    <cellStyle name="Comma 10 3 14" xfId="435" xr:uid="{F2561C72-491E-4BE1-A423-D3BFA3D24159}"/>
    <cellStyle name="Comma 10 3 15" xfId="436" xr:uid="{05C16AB5-CADA-4391-94D9-166186145D50}"/>
    <cellStyle name="Comma 10 3 16" xfId="437" xr:uid="{E98492A6-36FD-4857-B9D6-3BADBA95B5A8}"/>
    <cellStyle name="Comma 10 3 17" xfId="438" xr:uid="{F5F85F21-3E55-4343-97FD-2EFA5F48AB20}"/>
    <cellStyle name="Comma 10 3 2" xfId="439" xr:uid="{306F6D02-8023-4AE3-87EF-E6F07C8924B3}"/>
    <cellStyle name="Comma 10 3 3" xfId="440" xr:uid="{CC0D53E3-27E7-4837-A0AB-7152026D337E}"/>
    <cellStyle name="Comma 10 3 4" xfId="441" xr:uid="{8071408F-3230-4B0D-B5B5-FB351072D26E}"/>
    <cellStyle name="Comma 10 3 5" xfId="442" xr:uid="{369EC19D-CB77-4E79-AAD7-E751F5DE283F}"/>
    <cellStyle name="Comma 10 3 6" xfId="443" xr:uid="{A88A3ACA-8059-4005-9F89-2DB660964180}"/>
    <cellStyle name="Comma 10 3 7" xfId="444" xr:uid="{902A0DC3-CA1E-4E99-BFED-48C098C0398C}"/>
    <cellStyle name="Comma 10 3 8" xfId="445" xr:uid="{4D3A33DF-B0FD-4963-9931-65FE5C279CFA}"/>
    <cellStyle name="Comma 10 3 9" xfId="446" xr:uid="{0791A078-4FD6-447E-8C5A-F230E10A9E56}"/>
    <cellStyle name="Comma 10 4" xfId="447" xr:uid="{8B8FE13C-874F-48FD-91D1-73631CD81E76}"/>
    <cellStyle name="Comma 10 4 10" xfId="448" xr:uid="{BE18C16A-217E-4830-BCF0-764720897820}"/>
    <cellStyle name="Comma 10 4 11" xfId="449" xr:uid="{DA212A92-8605-4DA5-ACEF-2C56EDE5D4C6}"/>
    <cellStyle name="Comma 10 4 12" xfId="450" xr:uid="{5AAAD226-6F58-4802-B66A-9294AFAD6547}"/>
    <cellStyle name="Comma 10 4 13" xfId="451" xr:uid="{3024D835-BB59-4AD4-BC3C-9322D9C7DC47}"/>
    <cellStyle name="Comma 10 4 14" xfId="452" xr:uid="{A66774DE-5B0F-4DE9-B33E-FC302A127F79}"/>
    <cellStyle name="Comma 10 4 15" xfId="453" xr:uid="{F6A80154-EFEA-4599-ADD2-03BDF9CF97E1}"/>
    <cellStyle name="Comma 10 4 16" xfId="454" xr:uid="{07E825F3-03AD-42DD-AAB3-302CC138B260}"/>
    <cellStyle name="Comma 10 4 17" xfId="455" xr:uid="{53CDA7B8-0D80-42AD-A7BF-30B110250826}"/>
    <cellStyle name="Comma 10 4 2" xfId="456" xr:uid="{C229F0DA-901B-47B1-8E03-66D9C610149C}"/>
    <cellStyle name="Comma 10 4 3" xfId="457" xr:uid="{448D55C2-F945-4882-AF46-BA159EF46401}"/>
    <cellStyle name="Comma 10 4 4" xfId="458" xr:uid="{8E5C3506-4FA5-4C2E-90A8-61506D0D0041}"/>
    <cellStyle name="Comma 10 4 5" xfId="459" xr:uid="{E4173CB5-5FD8-46C2-94FF-7CB7F56AA4F3}"/>
    <cellStyle name="Comma 10 4 6" xfId="460" xr:uid="{26A86674-FAEB-4DA1-BE67-450256E74BE5}"/>
    <cellStyle name="Comma 10 4 7" xfId="461" xr:uid="{D6477E35-65C1-4E20-85A8-3975F33B3FF4}"/>
    <cellStyle name="Comma 10 4 8" xfId="462" xr:uid="{145AEE21-273B-47F4-9A8E-F318AE517E78}"/>
    <cellStyle name="Comma 10 4 9" xfId="463" xr:uid="{3D8F239E-CE62-4779-89DF-D752EA2A4DB7}"/>
    <cellStyle name="Comma 10 5" xfId="464" xr:uid="{04575C9E-6504-4EBD-92C4-B1EF534A140C}"/>
    <cellStyle name="Comma 10 5 10" xfId="465" xr:uid="{7BE5BD9C-7B59-44B5-9447-1DEED39AE71A}"/>
    <cellStyle name="Comma 10 5 11" xfId="466" xr:uid="{ECDD7C89-F616-431D-8910-35D905DB5784}"/>
    <cellStyle name="Comma 10 5 12" xfId="467" xr:uid="{2F002A52-0CF9-40D4-A9EF-43012EA6C3CF}"/>
    <cellStyle name="Comma 10 5 13" xfId="468" xr:uid="{38FDA5B1-A678-4388-BD97-32CDEE233045}"/>
    <cellStyle name="Comma 10 5 14" xfId="469" xr:uid="{DF7ED435-2192-487B-AC41-DE269F577337}"/>
    <cellStyle name="Comma 10 5 15" xfId="470" xr:uid="{7248DB15-66A4-4904-8C12-12056E48FB1B}"/>
    <cellStyle name="Comma 10 5 16" xfId="471" xr:uid="{735FC362-BA50-4703-A2EF-AB00BB3864C7}"/>
    <cellStyle name="Comma 10 5 17" xfId="472" xr:uid="{F704B947-C49B-496E-8FC0-38F4AA822A79}"/>
    <cellStyle name="Comma 10 5 2" xfId="473" xr:uid="{4DAAD25F-26DB-4E2C-B0B7-DC4DF9EE97E2}"/>
    <cellStyle name="Comma 10 5 3" xfId="474" xr:uid="{58D45BB1-CE8D-4838-A583-B93AACC61B52}"/>
    <cellStyle name="Comma 10 5 4" xfId="475" xr:uid="{D82F60B0-268E-48EB-B55E-2A5B095EC2CE}"/>
    <cellStyle name="Comma 10 5 5" xfId="476" xr:uid="{BE29815A-C4CD-4481-B8D9-0C51579453D2}"/>
    <cellStyle name="Comma 10 5 6" xfId="477" xr:uid="{2F28BADF-15C8-4866-8A38-6AE5D75AE8CB}"/>
    <cellStyle name="Comma 10 5 7" xfId="478" xr:uid="{A0CAD1FE-DF5C-4EDB-9EE5-86B3BAD5AD00}"/>
    <cellStyle name="Comma 10 5 8" xfId="479" xr:uid="{EF6344C9-5EE8-4772-BF31-56930FAF1B1C}"/>
    <cellStyle name="Comma 10 5 9" xfId="480" xr:uid="{690C2DCE-D73C-4232-9C04-2DE821904C8D}"/>
    <cellStyle name="Comma 10 6" xfId="481" xr:uid="{B861AE1A-FAD7-418F-A0EF-9A1C64E6F3D6}"/>
    <cellStyle name="Comma 10 6 10" xfId="482" xr:uid="{B19955F9-1E70-4826-88C3-67C6A8413A4F}"/>
    <cellStyle name="Comma 10 6 11" xfId="483" xr:uid="{73EA4D01-A396-41EE-A7F7-AC21FA450CDD}"/>
    <cellStyle name="Comma 10 6 12" xfId="484" xr:uid="{1307B160-B43A-4551-94C2-9197C2AB9D86}"/>
    <cellStyle name="Comma 10 6 13" xfId="485" xr:uid="{B666EE2D-DC17-4790-953B-6433B51F3D54}"/>
    <cellStyle name="Comma 10 6 14" xfId="486" xr:uid="{F811FA98-0161-4FAC-BA51-78FF5B1ABAEB}"/>
    <cellStyle name="Comma 10 6 15" xfId="487" xr:uid="{5E8403FE-DF90-4F37-9A4A-252922713F4C}"/>
    <cellStyle name="Comma 10 6 16" xfId="488" xr:uid="{979D8E1E-864C-43E4-AAD0-EB4694CA0620}"/>
    <cellStyle name="Comma 10 6 17" xfId="489" xr:uid="{BF7EDB79-5193-4FC5-AA82-8412E58247B9}"/>
    <cellStyle name="Comma 10 6 2" xfId="490" xr:uid="{1F912DB7-2855-444E-94F4-721C21811F5E}"/>
    <cellStyle name="Comma 10 6 3" xfId="491" xr:uid="{53B38B64-6135-4DE0-90BD-D5891CCC6681}"/>
    <cellStyle name="Comma 10 6 4" xfId="492" xr:uid="{D8A8A5E6-299F-4D10-8552-2174E65874B9}"/>
    <cellStyle name="Comma 10 6 5" xfId="493" xr:uid="{1021E825-5CED-439D-9396-79B8E27B85D0}"/>
    <cellStyle name="Comma 10 6 6" xfId="494" xr:uid="{44F62A9E-0E5B-4B4B-8B78-473DDD58CAAF}"/>
    <cellStyle name="Comma 10 6 7" xfId="495" xr:uid="{6D6A13E7-49D3-4A88-A8D7-9274965732BE}"/>
    <cellStyle name="Comma 10 6 8" xfId="496" xr:uid="{8E41E1B9-BC75-42A2-A106-A226C90D0233}"/>
    <cellStyle name="Comma 10 6 9" xfId="497" xr:uid="{53E0D805-A72A-4B14-9982-91DB8792E296}"/>
    <cellStyle name="Comma 10 7" xfId="498" xr:uid="{7B66CE40-F5F9-4CA4-80FC-2FFDB70C2E30}"/>
    <cellStyle name="Comma 10 7 10" xfId="499" xr:uid="{849A6D1B-BE7A-48D9-8608-B082627E66C5}"/>
    <cellStyle name="Comma 10 7 11" xfId="500" xr:uid="{E96558FF-C00C-462D-BF27-D3A9F071C381}"/>
    <cellStyle name="Comma 10 7 12" xfId="501" xr:uid="{F343E9F8-4625-420B-906D-2D4F3F7BD49E}"/>
    <cellStyle name="Comma 10 7 13" xfId="502" xr:uid="{6E278147-5A02-482B-9056-F6515D99D51E}"/>
    <cellStyle name="Comma 10 7 14" xfId="503" xr:uid="{D34395D5-45A7-4DAF-A62E-624134C3CFD2}"/>
    <cellStyle name="Comma 10 7 15" xfId="504" xr:uid="{A02E050C-B9E0-47AF-87D0-23C235B7C23E}"/>
    <cellStyle name="Comma 10 7 16" xfId="505" xr:uid="{DDCE504D-31C2-4F61-A38B-41872D5F768C}"/>
    <cellStyle name="Comma 10 7 17" xfId="506" xr:uid="{B606F8D3-C9EB-45E9-820A-B5E0B69C6FA4}"/>
    <cellStyle name="Comma 10 7 2" xfId="507" xr:uid="{621E49D9-C070-4A31-8F3E-A642DF91464F}"/>
    <cellStyle name="Comma 10 7 3" xfId="508" xr:uid="{229FF43B-4CF0-40C3-BC1F-008B69990C7C}"/>
    <cellStyle name="Comma 10 7 4" xfId="509" xr:uid="{2CFBCC53-ADB5-451F-8882-B13F9B5F6683}"/>
    <cellStyle name="Comma 10 7 5" xfId="510" xr:uid="{801B02E7-3430-4C41-8DE3-6ACE49EA7EFD}"/>
    <cellStyle name="Comma 10 7 6" xfId="511" xr:uid="{D41E14C3-5F41-41FE-B3E4-A53A8E9037CE}"/>
    <cellStyle name="Comma 10 7 7" xfId="512" xr:uid="{B135BF49-6F8B-4DCA-AD48-7A1582A0376D}"/>
    <cellStyle name="Comma 10 7 8" xfId="513" xr:uid="{ACE43F66-ED8E-4458-8425-7F375E10A610}"/>
    <cellStyle name="Comma 10 7 9" xfId="514" xr:uid="{D5BDB359-19F1-438B-A1EC-3C2B6C3C04AA}"/>
    <cellStyle name="Comma 10 8" xfId="515" xr:uid="{C480A343-234D-44EF-8039-D2556B69143D}"/>
    <cellStyle name="Comma 10 8 10" xfId="516" xr:uid="{4F445CF2-8A65-4A82-8BDA-3056CEDE36CD}"/>
    <cellStyle name="Comma 10 8 11" xfId="517" xr:uid="{276AE8DD-DB21-4635-A820-92B368B86A6A}"/>
    <cellStyle name="Comma 10 8 12" xfId="518" xr:uid="{EC914C51-E07C-4555-831B-559A0A79F7AA}"/>
    <cellStyle name="Comma 10 8 13" xfId="519" xr:uid="{E64C71C6-92FE-4B8D-B52F-67E7644E258D}"/>
    <cellStyle name="Comma 10 8 14" xfId="520" xr:uid="{F709E3FB-453F-4DDD-AB6A-1E4A1C40947D}"/>
    <cellStyle name="Comma 10 8 15" xfId="521" xr:uid="{555F6113-621B-4994-B6A3-D8CAECD84315}"/>
    <cellStyle name="Comma 10 8 16" xfId="522" xr:uid="{1FBEC008-6205-4B28-88B3-6355AB65616E}"/>
    <cellStyle name="Comma 10 8 17" xfId="523" xr:uid="{6EBE34E0-B5DB-4635-8B76-CB272B10D805}"/>
    <cellStyle name="Comma 10 8 2" xfId="524" xr:uid="{85D4EBAE-D88E-4490-B16E-DC5D58B1A85B}"/>
    <cellStyle name="Comma 10 8 3" xfId="525" xr:uid="{11EC42FB-BF18-4B05-BC5A-2B5608BDDFB6}"/>
    <cellStyle name="Comma 10 8 4" xfId="526" xr:uid="{89151E11-DC82-417D-8A0E-347B2C8CBFBD}"/>
    <cellStyle name="Comma 10 8 5" xfId="527" xr:uid="{5CE6C39C-A373-463E-AAF4-6E0B13E5C3E1}"/>
    <cellStyle name="Comma 10 8 6" xfId="528" xr:uid="{383F1C2A-4057-4A26-B934-842232AA894C}"/>
    <cellStyle name="Comma 10 8 7" xfId="529" xr:uid="{00A8755D-847F-45CC-861E-0536E7B436CE}"/>
    <cellStyle name="Comma 10 8 8" xfId="530" xr:uid="{8EB1873C-4A11-42A0-AAC2-5CE6362DB5CE}"/>
    <cellStyle name="Comma 10 8 9" xfId="531" xr:uid="{A53FF400-57FE-4B10-9A4C-130D95917F3B}"/>
    <cellStyle name="Comma 2" xfId="1669" xr:uid="{4B234A9A-B61B-4DA5-9303-058032522CE4}"/>
    <cellStyle name="Comma 2 10" xfId="532" xr:uid="{38148AF4-2C34-4655-8E9F-023B86005954}"/>
    <cellStyle name="Comma 2 11" xfId="533" xr:uid="{08423119-221A-4FDB-9E43-CA29CF2E8F49}"/>
    <cellStyle name="Comma 2 12" xfId="534" xr:uid="{0F232689-FCD8-45B0-82D1-D6B6036F9FCA}"/>
    <cellStyle name="Comma 2 13" xfId="535" xr:uid="{9FAD54C3-022B-49E4-9224-5260614233A3}"/>
    <cellStyle name="Comma 2 14" xfId="536" xr:uid="{22597B62-4433-4CC9-8995-B76575E826C0}"/>
    <cellStyle name="Comma 2 15" xfId="537" xr:uid="{2758FCBD-7322-4D1F-B003-E55DC876780D}"/>
    <cellStyle name="Comma 2 16" xfId="538" xr:uid="{6113479D-1A11-47E9-84CF-31767C6AEDBB}"/>
    <cellStyle name="Comma 2 2" xfId="539" xr:uid="{9BA12B34-6999-4D5C-92BE-D9A98A809CDF}"/>
    <cellStyle name="Comma 2 3" xfId="540" xr:uid="{C7BE8F93-180C-400A-9004-11412939BA84}"/>
    <cellStyle name="Comma 2 4" xfId="541" xr:uid="{1C55F3DD-3A55-41E1-B802-60F8CF9CE817}"/>
    <cellStyle name="Comma 2 5" xfId="542" xr:uid="{9B880910-96A9-402F-8ACE-EB8BBFF240C8}"/>
    <cellStyle name="Comma 2 6" xfId="543" xr:uid="{D85784B4-3C56-44D1-8511-41EC05D171E3}"/>
    <cellStyle name="Comma 2 7" xfId="544" xr:uid="{B822852E-582D-4F84-AACF-84419307C84D}"/>
    <cellStyle name="Comma 2 8" xfId="545" xr:uid="{A36CB555-5F08-485B-B1A6-DD99DB5FAB7C}"/>
    <cellStyle name="Comma 2 9" xfId="546" xr:uid="{2C812059-F95E-4283-8394-7221D7AD3EAC}"/>
    <cellStyle name="Comma 3" xfId="547" xr:uid="{609754B8-FCFF-4F78-9691-DB71E5A79967}"/>
    <cellStyle name="Comma 3 2" xfId="548" xr:uid="{D97CC9B7-EC24-41DF-A182-FA2A0B8BD720}"/>
    <cellStyle name="Comma 3 3" xfId="549" xr:uid="{443E9028-4A7B-4F63-A86A-DF617EF2FBCB}"/>
    <cellStyle name="Comma 3 4" xfId="550" xr:uid="{FC4DC2EC-9E87-4DDA-91E7-FE5AC58D7027}"/>
    <cellStyle name="Comma 3 5" xfId="551" xr:uid="{FF36FED5-CA86-45B7-A511-23FD772EF0FF}"/>
    <cellStyle name="Comma 3 6" xfId="552" xr:uid="{95964604-CF7B-484B-8133-6DF5BB90DFBB}"/>
    <cellStyle name="Comma 3 7" xfId="553" xr:uid="{50E1FCCB-F1C6-4C58-BE01-79DB258E9330}"/>
    <cellStyle name="Comma 3 8" xfId="554" xr:uid="{2AA0E1AF-3810-43C0-936E-891D9C003DFA}"/>
    <cellStyle name="Comma 4" xfId="555" xr:uid="{CDB93C7E-8004-484D-BD89-7B5D923FF0BF}"/>
    <cellStyle name="Comma 4 2" xfId="556" xr:uid="{5145CF99-99E0-469D-B604-D9311F7BC1FA}"/>
    <cellStyle name="Comma 4 3" xfId="557" xr:uid="{DE86D774-472E-45FC-A471-1E46FA010D85}"/>
    <cellStyle name="Comma 4 4" xfId="558" xr:uid="{40073115-ADB2-47E3-9EDB-D3680C4413FE}"/>
    <cellStyle name="Comma 4 5" xfId="559" xr:uid="{095E2F65-149B-45C8-81E1-DBF52BEC8C70}"/>
    <cellStyle name="Comma 4 6" xfId="560" xr:uid="{AB098436-17C7-40CB-9ED1-BB4B7FBAF2C7}"/>
    <cellStyle name="Comma 4 7" xfId="561" xr:uid="{F85C18D1-CDED-46CE-96EA-81B16A7ADABC}"/>
    <cellStyle name="Comma 4 8" xfId="562" xr:uid="{D9541F41-1B7F-4EDE-9738-0DC290C4A862}"/>
    <cellStyle name="Comma 5" xfId="563" xr:uid="{0E80A892-3001-4583-947F-560B7B3F24A6}"/>
    <cellStyle name="Comma 5 2" xfId="564" xr:uid="{40B73E8B-3162-49ED-A910-CED1AFE6DEAF}"/>
    <cellStyle name="Comma 5 3" xfId="565" xr:uid="{AA938B9D-448D-4CF5-99F4-9D4C3E35F950}"/>
    <cellStyle name="Comma 5 4" xfId="566" xr:uid="{CB000362-60C7-47D1-90AD-92B27871EEDE}"/>
    <cellStyle name="Comma 5 5" xfId="567" xr:uid="{D07F2B80-0497-4830-B30C-606F3AA05059}"/>
    <cellStyle name="Comma 5 6" xfId="568" xr:uid="{D000FDDA-BEC4-461D-9F9D-387941B3C3B4}"/>
    <cellStyle name="Comma 5 7" xfId="569" xr:uid="{755B26DA-CE46-4F55-9CB8-706F567BAA96}"/>
    <cellStyle name="Comma 5 8" xfId="570" xr:uid="{DFC1956F-5E48-42DB-85D1-004DB05CA61B}"/>
    <cellStyle name="Comma 6" xfId="571" xr:uid="{69D11FBF-EEE1-4E96-8236-79FC8E8B4C52}"/>
    <cellStyle name="Comma 6 2" xfId="572" xr:uid="{04466DDF-DA2F-43B5-A003-E5A92C0E82E7}"/>
    <cellStyle name="Comma 6 3" xfId="573" xr:uid="{4EA9D5A6-95E6-4EA1-BEB3-5C3B10430CAD}"/>
    <cellStyle name="Comma 6 4" xfId="574" xr:uid="{3383E6B9-5F7D-4ACC-9566-DE474A589CC8}"/>
    <cellStyle name="Comma 6 5" xfId="575" xr:uid="{D0234C13-7B3A-4046-BD6B-38F028F98561}"/>
    <cellStyle name="Comma 6 6" xfId="576" xr:uid="{DCFA04BF-F509-414B-93AA-2524EADBF374}"/>
    <cellStyle name="Comma 6 7" xfId="577" xr:uid="{834274F9-50A1-4A71-A028-2B93E32329EC}"/>
    <cellStyle name="Comma 6 8" xfId="578" xr:uid="{87C55B1E-37A9-4F42-9989-8E07D9B3F8FD}"/>
    <cellStyle name="Comma 7" xfId="579" xr:uid="{8241F49F-1DAC-4BA0-A9EE-14F6DA323773}"/>
    <cellStyle name="Comma 7 10" xfId="580" xr:uid="{348B8565-EFB0-4F3B-93E6-E8D674B926AC}"/>
    <cellStyle name="Comma 7 11" xfId="581" xr:uid="{3E86240F-C016-4C10-869F-F4194A82EFAD}"/>
    <cellStyle name="Comma 7 12" xfId="582" xr:uid="{B69BBFB2-28F4-496F-AE14-E4BA83AD4FD1}"/>
    <cellStyle name="Comma 7 13" xfId="583" xr:uid="{70657F6F-BD76-4507-A8B3-AB4DF590EB75}"/>
    <cellStyle name="Comma 7 14" xfId="584" xr:uid="{B8977C6B-13D4-489C-967E-63B084501F20}"/>
    <cellStyle name="Comma 7 15" xfId="585" xr:uid="{6A657136-987F-4CF4-A31E-E95149C936DA}"/>
    <cellStyle name="Comma 7 16" xfId="586" xr:uid="{AC395FFD-78B2-4DE6-B066-4F61DD57B70C}"/>
    <cellStyle name="Comma 7 17" xfId="587" xr:uid="{80965C85-5A5D-43E2-944B-47311F636E01}"/>
    <cellStyle name="Comma 7 18" xfId="588" xr:uid="{7949294F-F48B-43BF-A951-5A638C3A6498}"/>
    <cellStyle name="Comma 7 19" xfId="589" xr:uid="{2000D9B1-C33D-4A0D-9B29-DBCFC46B843E}"/>
    <cellStyle name="Comma 7 2" xfId="590" xr:uid="{4AB44D28-3352-4207-A632-7ABF49A3A04B}"/>
    <cellStyle name="Comma 7 20" xfId="591" xr:uid="{824E3AB3-60E6-4042-BB43-5D4A4F584948}"/>
    <cellStyle name="Comma 7 21" xfId="592" xr:uid="{359FCC0C-C17B-4AFD-941D-874A7CD999AC}"/>
    <cellStyle name="Comma 7 3" xfId="593" xr:uid="{E0AB8249-EBEC-4A53-B9ED-781B99B3581D}"/>
    <cellStyle name="Comma 7 3 10" xfId="594" xr:uid="{65368C64-3939-4B4B-9D10-5B0965E43B40}"/>
    <cellStyle name="Comma 7 3 11" xfId="595" xr:uid="{FECC7DF2-6707-4670-85C0-1C1221513AE2}"/>
    <cellStyle name="Comma 7 3 12" xfId="596" xr:uid="{ACA52D3C-D7F5-49FD-9F35-34EC9FFC993B}"/>
    <cellStyle name="Comma 7 3 13" xfId="597" xr:uid="{DEBBEDF7-BC75-4CBC-B824-C02D5E71FA51}"/>
    <cellStyle name="Comma 7 3 14" xfId="598" xr:uid="{7742A316-EFA3-4972-8AA2-7B6FEA5967EB}"/>
    <cellStyle name="Comma 7 3 15" xfId="599" xr:uid="{61B7A74C-F3BC-4141-A75C-6DF563A2E55C}"/>
    <cellStyle name="Comma 7 3 2" xfId="600" xr:uid="{C511C5C0-159C-494C-85FD-6B111A041FD1}"/>
    <cellStyle name="Comma 7 3 3" xfId="601" xr:uid="{3FAF4AE0-A2BA-4CA6-8535-BADB1773F804}"/>
    <cellStyle name="Comma 7 3 4" xfId="602" xr:uid="{0FFBB174-6E08-4F6C-95FC-E550AD3C8EB1}"/>
    <cellStyle name="Comma 7 3 5" xfId="603" xr:uid="{3ADB9661-5C4B-4095-A9C3-61BCD61A2FC6}"/>
    <cellStyle name="Comma 7 3 6" xfId="604" xr:uid="{81776164-F65C-471E-8EA1-B6A69B68C86A}"/>
    <cellStyle name="Comma 7 3 7" xfId="605" xr:uid="{0ACC50A0-BCDA-4FA9-AD94-3EE4654D9230}"/>
    <cellStyle name="Comma 7 3 8" xfId="606" xr:uid="{5BAAA09D-4744-42D6-9C76-B943F7C2D54F}"/>
    <cellStyle name="Comma 7 3 9" xfId="607" xr:uid="{EBA326DE-A767-466A-AA70-780E145EDDEE}"/>
    <cellStyle name="Comma 7 4" xfId="608" xr:uid="{9C3E3651-BD41-4220-9D3B-948EFC263F0B}"/>
    <cellStyle name="Comma 7 5" xfId="609" xr:uid="{B8595C75-6EFF-4591-BB63-C534B38259F7}"/>
    <cellStyle name="Comma 7 6" xfId="610" xr:uid="{D0C43CDA-6D72-459F-9831-DE7AABFE71D6}"/>
    <cellStyle name="Comma 7 7" xfId="611" xr:uid="{63304E06-A943-4B3A-8D80-3A9C15FFED06}"/>
    <cellStyle name="Comma 7 8" xfId="612" xr:uid="{035D4725-FCDD-45F6-A5CC-2F586895CC1D}"/>
    <cellStyle name="Comma 7 9" xfId="613" xr:uid="{ABEDF246-E2FF-4A2E-A528-D84C68142DCE}"/>
    <cellStyle name="Comma 8" xfId="614" xr:uid="{68AB6ABE-0434-4378-B38C-DE5BA6B03EED}"/>
    <cellStyle name="Comma 8 2" xfId="615" xr:uid="{15F7ACCE-C672-4261-B06B-3CB5C799DBE9}"/>
    <cellStyle name="Comma 8 3" xfId="616" xr:uid="{9918B8DD-582A-415A-A206-D139A5791A59}"/>
    <cellStyle name="Comma 8 4" xfId="617" xr:uid="{9BE4BBDE-7A48-43A9-B075-16B406C894C0}"/>
    <cellStyle name="Comma 8 5" xfId="618" xr:uid="{F3A5EC57-BA6E-408E-A3E9-9A2E786A7F5E}"/>
    <cellStyle name="Comma 8 6" xfId="619" xr:uid="{8AF27E30-BACD-41D9-83A1-F162A6E5B8EF}"/>
    <cellStyle name="Comma 8 7" xfId="620" xr:uid="{6244B4CF-AAF0-4776-86CB-688CD2ED5FE4}"/>
    <cellStyle name="Comma 8 8" xfId="621" xr:uid="{A8846370-512F-4157-844A-3B4EE39CE0B9}"/>
    <cellStyle name="Comma 9 2" xfId="622" xr:uid="{72BAC3DA-A501-4326-9B98-884688C488CA}"/>
    <cellStyle name="Comma 9 3" xfId="623" xr:uid="{C67A1608-08FF-4EA6-BBF0-DE3858613447}"/>
    <cellStyle name="Comma 9 4" xfId="624" xr:uid="{67E4652C-8DF6-4189-B1A6-2FF3E4505289}"/>
    <cellStyle name="Comma 9 5" xfId="625" xr:uid="{B8DFD5F9-FA40-405B-91AF-2DA7DA57A5EF}"/>
    <cellStyle name="Comma 9 6" xfId="626" xr:uid="{4EE92B9A-99C4-439A-920D-9D5DB04D7CAA}"/>
    <cellStyle name="Comma 9 7" xfId="627" xr:uid="{76FEB7A5-4439-4E35-B4EE-26F39A4A40AA}"/>
    <cellStyle name="Comma 9 8" xfId="628" xr:uid="{E445893B-FB03-432E-8143-468571564125}"/>
    <cellStyle name="Comma 9 9" xfId="629" xr:uid="{A53D08D8-BD41-417B-9D31-8BF3528798C5}"/>
    <cellStyle name="Currency 2 2" xfId="630" xr:uid="{ABDAAC81-C2A9-4E14-8790-D2E5557E50AA}"/>
    <cellStyle name="Euro" xfId="631" xr:uid="{FF9FF0CC-B03A-4306-A1C6-83D9ED0B96B8}"/>
    <cellStyle name="Euro 2" xfId="632" xr:uid="{8C0272AC-5B7D-47D5-BE1F-BD6520878F58}"/>
    <cellStyle name="Euro 2 2" xfId="633" xr:uid="{16EA90DD-D833-49B8-8C48-9D4798D00D64}"/>
    <cellStyle name="Euro 2 2 2" xfId="634" xr:uid="{7A13AA32-DE44-402E-9143-6AC1D5FB434C}"/>
    <cellStyle name="Explanatory Text 2" xfId="1644" xr:uid="{CB8944E7-2E42-40FD-86FF-90B33F26C40F}"/>
    <cellStyle name="Explanatory Text 2 10" xfId="635" xr:uid="{395D2DF4-E736-49AD-91C7-89B15C506899}"/>
    <cellStyle name="Explanatory Text 2 2" xfId="636" xr:uid="{931BCCE4-F588-46EF-A43B-BE1AA93D0C4F}"/>
    <cellStyle name="Explanatory Text 2 3" xfId="637" xr:uid="{E6F96672-6317-4F96-A3BE-331D23283F94}"/>
    <cellStyle name="Explanatory Text 2 4" xfId="638" xr:uid="{5F0C1E69-A639-4968-93D1-F0A6D949337C}"/>
    <cellStyle name="Explanatory Text 2 5" xfId="639" xr:uid="{7B12C146-BDA8-4859-9A2C-D3456A6C30D9}"/>
    <cellStyle name="Explanatory Text 2 6" xfId="640" xr:uid="{063EE108-CC76-4FE7-B360-1FB29B1B582E}"/>
    <cellStyle name="Explanatory Text 2 7" xfId="641" xr:uid="{1DC4BFE0-4126-43BB-89BA-4CF231110231}"/>
    <cellStyle name="Explanatory Text 2 8" xfId="642" xr:uid="{8852DCEF-1643-4D6D-B872-1C275FBC7001}"/>
    <cellStyle name="Explanatory Text 2 9" xfId="643" xr:uid="{664F7C29-A4F6-435E-B448-F842D9AEE6B4}"/>
    <cellStyle name="Explanatory Text 3" xfId="644" xr:uid="{191F0991-9C93-4D52-BFD5-DB64DF85A3FA}"/>
    <cellStyle name="Good 2" xfId="1635" xr:uid="{F6489D38-E627-4CE5-91D5-F5B0A8986245}"/>
    <cellStyle name="Good 2 10" xfId="645" xr:uid="{3173AE06-0D73-4C73-858F-B56711813685}"/>
    <cellStyle name="Good 2 2" xfId="646" xr:uid="{69C1637F-8D6E-44A1-B0F0-3C7BD4F5BBE8}"/>
    <cellStyle name="Good 2 3" xfId="647" xr:uid="{D7016E0E-AA7C-4BBA-A86C-A3FBDDA8EF9D}"/>
    <cellStyle name="Good 2 4" xfId="648" xr:uid="{D3FD8DC2-095B-4175-9101-6FC9AEE27D0A}"/>
    <cellStyle name="Good 2 5" xfId="649" xr:uid="{C67B92A4-DC66-4B37-A6F4-B5A904911FD4}"/>
    <cellStyle name="Good 2 6" xfId="650" xr:uid="{B28C292C-30E2-4503-A445-1B7D4DDA6D75}"/>
    <cellStyle name="Good 2 7" xfId="651" xr:uid="{93E7236A-9A2D-4CCD-88D3-464EA9FB887E}"/>
    <cellStyle name="Good 2 8" xfId="652" xr:uid="{A6BBF51D-400B-4F1B-B2D5-5AA8E104CBE7}"/>
    <cellStyle name="Good 2 9" xfId="653" xr:uid="{5D9A82BC-9532-4D63-99A0-4A338334FD05}"/>
    <cellStyle name="Good 3" xfId="654" xr:uid="{9FA3796A-BA96-4A3F-8FFF-385AC7448B92}"/>
    <cellStyle name="Heading 1 2" xfId="1631" xr:uid="{91E3D728-85C5-4C98-846A-69EE21DBCFE8}"/>
    <cellStyle name="Heading 1 2 10" xfId="655" xr:uid="{3CA5A632-C560-4AF7-A582-9A35C3FB4259}"/>
    <cellStyle name="Heading 1 2 2" xfId="656" xr:uid="{ED7D2555-CE23-4C1E-8B41-DD2F2D6A9DB9}"/>
    <cellStyle name="Heading 1 2 3" xfId="657" xr:uid="{9693C00C-6502-4B76-98E5-C2546D6E7140}"/>
    <cellStyle name="Heading 1 2 4" xfId="658" xr:uid="{F6D379A0-E614-46C4-93A2-533E0F724135}"/>
    <cellStyle name="Heading 1 2 5" xfId="659" xr:uid="{EFE341EC-5068-4CCA-A438-C23C7E483E6C}"/>
    <cellStyle name="Heading 1 2 6" xfId="660" xr:uid="{511EAE90-4BF6-4866-97CE-AE9E852F8334}"/>
    <cellStyle name="Heading 1 2 7" xfId="661" xr:uid="{78EA3CB2-D21B-41E8-8BC7-6A33A952C1B7}"/>
    <cellStyle name="Heading 1 2 8" xfId="662" xr:uid="{38F7DA5B-6D83-4F87-9685-EEA69240BA28}"/>
    <cellStyle name="Heading 1 2 9" xfId="663" xr:uid="{FFCFA8D7-3A50-4F92-9351-184D2A17466B}"/>
    <cellStyle name="Heading 1 3" xfId="664" xr:uid="{13311AF1-A096-4E0F-A8AB-D895DED6F79D}"/>
    <cellStyle name="Heading 2 2" xfId="1632" xr:uid="{0E11D12D-1E5D-4FF8-A66A-ABA5CA687F8C}"/>
    <cellStyle name="Heading 2 2 10" xfId="665" xr:uid="{AF1C2443-E2A5-43BB-9E22-7D7A78D01EB6}"/>
    <cellStyle name="Heading 2 2 2" xfId="666" xr:uid="{45FA3883-E9B8-4827-8504-958438B2067A}"/>
    <cellStyle name="Heading 2 2 3" xfId="667" xr:uid="{C13EDE82-8F1D-4738-BB90-78BB07B82246}"/>
    <cellStyle name="Heading 2 2 4" xfId="668" xr:uid="{E5FA50B0-AE28-43CD-8E64-8615E3FCD65C}"/>
    <cellStyle name="Heading 2 2 5" xfId="669" xr:uid="{7F465E9D-B851-4AF5-91D7-D55B1650F2D0}"/>
    <cellStyle name="Heading 2 2 6" xfId="670" xr:uid="{260357BA-77BE-4852-B847-56D957F223FB}"/>
    <cellStyle name="Heading 2 2 7" xfId="671" xr:uid="{9B09DF66-8DA9-4D33-82FD-2A9464D048C0}"/>
    <cellStyle name="Heading 2 2 8" xfId="672" xr:uid="{5B336140-123B-4D7A-86C1-7C0C0CC7D5E5}"/>
    <cellStyle name="Heading 2 2 9" xfId="673" xr:uid="{04C34C42-6370-46D6-A6EF-BD40FF0039BC}"/>
    <cellStyle name="Heading 2 3" xfId="674" xr:uid="{E1E56853-6762-47C5-92A7-55763F13B40D}"/>
    <cellStyle name="Heading 3 2" xfId="1633" xr:uid="{60071ABE-3205-4173-B8BB-2A46BDEE9FA5}"/>
    <cellStyle name="Heading 3 2 10" xfId="675" xr:uid="{E430EB46-1765-4CFC-923E-F8CECCC42C7F}"/>
    <cellStyle name="Heading 3 2 2" xfId="676" xr:uid="{B62D4FCA-A8A1-4655-804F-3425D10C98DD}"/>
    <cellStyle name="Heading 3 2 3" xfId="677" xr:uid="{89541A97-F573-40A2-8995-80616262D97A}"/>
    <cellStyle name="Heading 3 2 4" xfId="678" xr:uid="{6A78A2C9-F089-406E-AB5D-E8B13FBBEFC2}"/>
    <cellStyle name="Heading 3 2 5" xfId="679" xr:uid="{82CB2188-3FE6-466F-8949-4B7EC53B3B94}"/>
    <cellStyle name="Heading 3 2 6" xfId="680" xr:uid="{6631F6D9-EB51-4C05-96B4-98E3821185CD}"/>
    <cellStyle name="Heading 3 2 7" xfId="681" xr:uid="{226CBAC7-E6A4-416C-8D68-74CA8C75F600}"/>
    <cellStyle name="Heading 3 2 8" xfId="682" xr:uid="{3777E0E2-40B5-400B-8BBD-FADCDBE3C469}"/>
    <cellStyle name="Heading 3 2 9" xfId="683" xr:uid="{99544AF3-AE79-46B2-AAAB-272F682B4780}"/>
    <cellStyle name="Heading 3 3" xfId="684" xr:uid="{0BF4DBE0-F702-4A92-8FFB-C66A99104F06}"/>
    <cellStyle name="Heading 4 2" xfId="1634" xr:uid="{589AFF6D-7326-4242-B9D4-A35A3FACB356}"/>
    <cellStyle name="Heading 4 2 10" xfId="685" xr:uid="{B6D97B5C-A818-49F9-96FE-B997A188322F}"/>
    <cellStyle name="Heading 4 2 2" xfId="686" xr:uid="{4CFA9686-6EF7-49D7-BC41-B29E3A4587B5}"/>
    <cellStyle name="Heading 4 2 3" xfId="687" xr:uid="{F0035E07-1612-4067-80AA-73571D7201E7}"/>
    <cellStyle name="Heading 4 2 4" xfId="688" xr:uid="{6EE91ED4-E5C5-4D7C-8108-BFEC1770AB2B}"/>
    <cellStyle name="Heading 4 2 5" xfId="689" xr:uid="{977F1B95-2EAA-4652-A45C-A4472B0702B7}"/>
    <cellStyle name="Heading 4 2 6" xfId="690" xr:uid="{DEFAA6A9-03FD-4880-B43D-881E217D97EB}"/>
    <cellStyle name="Heading 4 2 7" xfId="691" xr:uid="{8CEB646D-AB7C-4EB8-A8B5-2483C71EE2D0}"/>
    <cellStyle name="Heading 4 2 8" xfId="692" xr:uid="{9D200E3D-6B9B-4B39-A149-FF475F6D69FF}"/>
    <cellStyle name="Heading 4 2 9" xfId="693" xr:uid="{FCAAB020-CD91-466F-9431-4521E25482DF}"/>
    <cellStyle name="Heading 4 3" xfId="694" xr:uid="{5C587212-84B5-4A64-9DA9-ADEECDB77967}"/>
    <cellStyle name="Hyperlink" xfId="3" builtinId="8"/>
    <cellStyle name="Input 2" xfId="1638" xr:uid="{11F791B1-2CA6-468B-9890-86B5158732C9}"/>
    <cellStyle name="Input 2 10" xfId="695" xr:uid="{4495E094-5036-40B9-8446-062045CD1FCA}"/>
    <cellStyle name="Input 2 2" xfId="696" xr:uid="{3BA1441C-284A-40EB-8963-C03693699C8E}"/>
    <cellStyle name="Input 2 3" xfId="697" xr:uid="{32CB77BA-F104-4C13-8A50-513EC90C3583}"/>
    <cellStyle name="Input 2 4" xfId="698" xr:uid="{0416C693-DE5C-4056-BB46-183800939061}"/>
    <cellStyle name="Input 2 5" xfId="699" xr:uid="{30165A53-1165-4551-8C6A-33B0D1A7B53B}"/>
    <cellStyle name="Input 2 6" xfId="700" xr:uid="{746A81BC-9D84-42E2-951E-D38CD676CB14}"/>
    <cellStyle name="Input 2 7" xfId="701" xr:uid="{BF85D9B8-E0F4-4B98-83B8-D4CDA08C4980}"/>
    <cellStyle name="Input 2 8" xfId="702" xr:uid="{C255880E-E734-454F-A9AC-3C4D69245E1F}"/>
    <cellStyle name="Input 2 9" xfId="703" xr:uid="{C4840910-4B84-46B1-B387-E04FE2F84D4E}"/>
    <cellStyle name="Input 3" xfId="704" xr:uid="{B5D6C5E7-F0B2-4D6C-8382-4CC279F62E71}"/>
    <cellStyle name="Linked Cell 2" xfId="1641" xr:uid="{5F81EBB2-5161-43A0-9194-2654B2397C70}"/>
    <cellStyle name="Linked Cell 2 10" xfId="705" xr:uid="{9716075E-BDD5-4545-BA3E-E200434A706F}"/>
    <cellStyle name="Linked Cell 2 2" xfId="706" xr:uid="{A92234F0-7386-48E1-8F5A-1C0DDA1CFADE}"/>
    <cellStyle name="Linked Cell 2 3" xfId="707" xr:uid="{C66F0090-BECE-4E3B-8307-19FFEA21063E}"/>
    <cellStyle name="Linked Cell 2 4" xfId="708" xr:uid="{87952F21-3016-4C63-BD50-82960BF8C7DC}"/>
    <cellStyle name="Linked Cell 2 5" xfId="709" xr:uid="{A114C664-3331-4C41-A6E8-6AE6582A84F5}"/>
    <cellStyle name="Linked Cell 2 6" xfId="710" xr:uid="{2AADF070-BFE4-448E-B3F5-D4B1B170AA7A}"/>
    <cellStyle name="Linked Cell 2 7" xfId="711" xr:uid="{6613C0B4-39D9-48E6-B584-29BC68FA958C}"/>
    <cellStyle name="Linked Cell 2 8" xfId="712" xr:uid="{FB957928-FA0F-4B9E-A85D-03D7FDA389A7}"/>
    <cellStyle name="Linked Cell 2 9" xfId="713" xr:uid="{87AA9D7F-6378-440F-A722-83748462ED62}"/>
    <cellStyle name="Linked Cell 3" xfId="714" xr:uid="{AD86BF53-B9D5-4D96-B65D-CA7C659D17BF}"/>
    <cellStyle name="Neutral 2" xfId="1637" xr:uid="{9C5579D7-95E9-48E1-B624-FDE6E11475CB}"/>
    <cellStyle name="Neutral 2 10" xfId="715" xr:uid="{BA4EDD95-0DF2-4B16-8907-DA2B93FB75F6}"/>
    <cellStyle name="Neutral 2 2" xfId="716" xr:uid="{330F1022-4EA4-4347-9CE7-13AD269EAA43}"/>
    <cellStyle name="Neutral 2 3" xfId="717" xr:uid="{5623287D-7672-4943-A953-DE59C1E26A7B}"/>
    <cellStyle name="Neutral 2 4" xfId="718" xr:uid="{F93446D5-1726-41FC-894B-AA97636D9BAD}"/>
    <cellStyle name="Neutral 2 5" xfId="719" xr:uid="{087EC6AE-E676-4E36-9ABC-5B1652053DD6}"/>
    <cellStyle name="Neutral 2 6" xfId="720" xr:uid="{32F3CA9F-E8D8-4563-B465-50DF1A0F2CF8}"/>
    <cellStyle name="Neutral 2 7" xfId="721" xr:uid="{54D386DB-35E9-46FE-8E1B-EE1E36C64018}"/>
    <cellStyle name="Neutral 2 8" xfId="722" xr:uid="{E98E7AF1-1499-4F0E-A0F6-20062DD863C6}"/>
    <cellStyle name="Neutral 2 9" xfId="723" xr:uid="{1EE27A16-BD44-4087-A1D6-07F027E35ABB}"/>
    <cellStyle name="Neutral 3" xfId="724" xr:uid="{39FB1548-A0D8-4FF0-B0E4-692D37BBD79A}"/>
    <cellStyle name="Normal" xfId="0" builtinId="0"/>
    <cellStyle name="Normal 10" xfId="725" xr:uid="{D52BEC45-CE99-4BCD-877B-52516230DAA9}"/>
    <cellStyle name="Normal 10 2" xfId="726" xr:uid="{23A32C44-3996-4ABC-BF13-CD4373830257}"/>
    <cellStyle name="Normal 10 3" xfId="727" xr:uid="{A7A37EB3-5670-4372-94C9-9C0BBDB1E26E}"/>
    <cellStyle name="Normal 10 4" xfId="728" xr:uid="{C239BCE5-21D7-490E-A735-94345B02BB88}"/>
    <cellStyle name="Normal 10 5" xfId="729" xr:uid="{FF1BB54D-F540-4AAD-8CCC-B17D8F960757}"/>
    <cellStyle name="Normal 10 6" xfId="730" xr:uid="{1D0EE455-16BD-48A7-A454-C1EEAD6C891A}"/>
    <cellStyle name="Normal 10 7" xfId="731" xr:uid="{06782199-AFB5-4D7E-AE73-5124F389E723}"/>
    <cellStyle name="Normal 10 8" xfId="732" xr:uid="{B4C62B2D-BE9E-40D2-AADF-F0D650E6C0AF}"/>
    <cellStyle name="Normal 11" xfId="733" xr:uid="{2895F4E7-168A-40F6-863B-4B658E6B15F6}"/>
    <cellStyle name="Normal 11 2" xfId="734" xr:uid="{EFD11711-0521-4408-A237-E2A4C484FF96}"/>
    <cellStyle name="Normal 11 3" xfId="735" xr:uid="{20EA2FAA-B1B0-4012-9722-A9D549AD207B}"/>
    <cellStyle name="Normal 11 4" xfId="736" xr:uid="{73DF3D4E-AF54-48FF-9722-C14B9E3AC23A}"/>
    <cellStyle name="Normal 11 5" xfId="737" xr:uid="{25781059-256B-4598-B504-D49B395E3B3F}"/>
    <cellStyle name="Normal 11 6" xfId="738" xr:uid="{FE32981C-A8A4-4E61-9C3A-5B03A735D575}"/>
    <cellStyle name="Normal 11 7" xfId="739" xr:uid="{730194A5-E2A0-4D57-B39D-5EB20668CCA5}"/>
    <cellStyle name="Normal 11 8" xfId="740" xr:uid="{AE2908BC-95C3-43C9-A4DA-A5B002AAB03C}"/>
    <cellStyle name="Normal 12" xfId="741" xr:uid="{2FB63BF4-28FA-4017-BA46-8187C2C047B9}"/>
    <cellStyle name="Normal 12 2" xfId="742" xr:uid="{17DC3FAC-78FA-445F-A0BA-624028A40B40}"/>
    <cellStyle name="Normal 12 3" xfId="743" xr:uid="{50232B22-2566-45CB-8152-1B733924A05B}"/>
    <cellStyle name="Normal 12 4" xfId="744" xr:uid="{9B3B14BD-B64C-40DE-B296-3EE2BD886D0E}"/>
    <cellStyle name="Normal 12 5" xfId="745" xr:uid="{50902767-2A81-416F-B2E2-C70E4F598A67}"/>
    <cellStyle name="Normal 12 6" xfId="746" xr:uid="{C1896853-D20B-4458-A793-EBAC43717B05}"/>
    <cellStyle name="Normal 12 7" xfId="747" xr:uid="{890A93AF-7FA1-4EEC-8DB6-0CDC092CAEDE}"/>
    <cellStyle name="Normal 12 8" xfId="748" xr:uid="{A55B8A11-6B87-4AFD-9EB3-0E35C5558090}"/>
    <cellStyle name="Normal 13" xfId="749" xr:uid="{8D47D745-AEBB-405E-97D6-AF19B7F18A38}"/>
    <cellStyle name="Normal 13 10" xfId="750" xr:uid="{AE9A7855-60DB-4D19-A266-E645B227ED58}"/>
    <cellStyle name="Normal 13 11" xfId="751" xr:uid="{02F3C941-E8C0-4F33-B119-99EA5EEDD42A}"/>
    <cellStyle name="Normal 13 12" xfId="752" xr:uid="{93B7275F-C711-4DB2-A412-FDE9DF376BC1}"/>
    <cellStyle name="Normal 13 13" xfId="753" xr:uid="{69FDA689-BE11-468B-BC87-C94E5B9F3BEA}"/>
    <cellStyle name="Normal 13 14" xfId="754" xr:uid="{AB23FA9E-4FAC-4CC0-A497-D13524C2DE31}"/>
    <cellStyle name="Normal 13 15" xfId="755" xr:uid="{A6CAA852-B150-4CAC-9DA0-9DF43875B40C}"/>
    <cellStyle name="Normal 13 16" xfId="756" xr:uid="{0B46A3F8-EC2B-4339-8248-DDD59428864B}"/>
    <cellStyle name="Normal 13 17" xfId="757" xr:uid="{8FBEF8F5-06E7-4EDE-8C1B-B2B2CD69946E}"/>
    <cellStyle name="Normal 13 18" xfId="758" xr:uid="{C7F9791E-F718-4A95-9B32-40D2D180A927}"/>
    <cellStyle name="Normal 13 19" xfId="759" xr:uid="{A9075AEB-FE4C-4032-8EDA-39E6C562F9E3}"/>
    <cellStyle name="Normal 13 2" xfId="760" xr:uid="{A480410D-9636-4ADC-9836-D35B2017B5F6}"/>
    <cellStyle name="Normal 13 2 2" xfId="761" xr:uid="{5CB2746A-2ED8-4DCB-84E8-7C6AC3418FA0}"/>
    <cellStyle name="Normal 13 2 3" xfId="762" xr:uid="{4A13B102-CC84-4B28-A441-0F8076A9AD15}"/>
    <cellStyle name="Normal 13 2 4" xfId="763" xr:uid="{0E2D67BF-1CC7-446B-896D-B896C29D9B32}"/>
    <cellStyle name="Normal 13 2 5" xfId="764" xr:uid="{D7C0C7C5-286F-4FA2-A987-D630B54400C2}"/>
    <cellStyle name="Normal 13 2 6" xfId="765" xr:uid="{35F996C2-652B-4B00-91CB-E4EB4EF4343B}"/>
    <cellStyle name="Normal 13 2 7" xfId="766" xr:uid="{B34B5F83-C644-4478-B522-59EA215EA778}"/>
    <cellStyle name="Normal 13 2 8" xfId="767" xr:uid="{023F9828-EE2E-4942-A120-4FE22E97CBB4}"/>
    <cellStyle name="Normal 13 20" xfId="768" xr:uid="{23AC20D1-C22F-46BC-8434-1EC4A7663E04}"/>
    <cellStyle name="Normal 13 21" xfId="769" xr:uid="{FC7C19CB-1B24-43CA-9569-8A76A8A389B5}"/>
    <cellStyle name="Normal 13 22" xfId="770" xr:uid="{D64DAA28-761D-4A3A-A298-F4BBA765DA7B}"/>
    <cellStyle name="Normal 13 23" xfId="771" xr:uid="{F34E0938-F19B-4B29-AEDC-A1D32AA42D8D}"/>
    <cellStyle name="Normal 13 24" xfId="772" xr:uid="{C3DB0B52-0008-40B6-AAD8-418B7FD5313C}"/>
    <cellStyle name="Normal 13 25" xfId="773" xr:uid="{EE100F0C-8511-47CA-AC72-FFBDDCB0CFDB}"/>
    <cellStyle name="Normal 13 26" xfId="774" xr:uid="{C9DE75E8-B796-4825-A7C4-0D4AFFBF8F83}"/>
    <cellStyle name="Normal 13 27" xfId="775" xr:uid="{F6D1FA02-3CBC-40CB-AE58-3FCEEEE7C1E6}"/>
    <cellStyle name="Normal 13 28" xfId="776" xr:uid="{F0D06058-5E3B-4DC6-AD91-F6EFE90496B4}"/>
    <cellStyle name="Normal 13 29" xfId="777" xr:uid="{BB4074CF-7CA8-4474-9895-8097FCE5BFCC}"/>
    <cellStyle name="Normal 13 3" xfId="778" xr:uid="{E912C565-D106-4071-A825-5B069DBBFDF4}"/>
    <cellStyle name="Normal 13 30" xfId="779" xr:uid="{4E4A0724-D9BF-4AAA-B529-68F597F94D71}"/>
    <cellStyle name="Normal 13 31" xfId="780" xr:uid="{3A45D976-2E3B-41ED-98FC-019634752624}"/>
    <cellStyle name="Normal 13 32" xfId="781" xr:uid="{70B6DB0D-60FF-4888-8806-F2382286C6E7}"/>
    <cellStyle name="Normal 13 33" xfId="782" xr:uid="{1870B36C-228F-43F8-8F52-48E037ABA817}"/>
    <cellStyle name="Normal 13 34" xfId="783" xr:uid="{3071E40B-72A8-48E9-9520-F5D723F016D6}"/>
    <cellStyle name="Normal 13 35" xfId="784" xr:uid="{EA068A5C-1C0C-4DD5-9D07-47850A01C0F5}"/>
    <cellStyle name="Normal 13 36" xfId="785" xr:uid="{87A2469B-85A7-43C7-8F67-D8E1302DAA64}"/>
    <cellStyle name="Normal 13 37" xfId="786" xr:uid="{078DE964-E954-454F-8858-AAAA511C1467}"/>
    <cellStyle name="Normal 13 38" xfId="787" xr:uid="{E54F6B70-4B57-4040-854E-164B605EFA75}"/>
    <cellStyle name="Normal 13 4" xfId="788" xr:uid="{E4E0F5A1-4F32-4F57-BD16-072D1121E693}"/>
    <cellStyle name="Normal 13 5" xfId="789" xr:uid="{A698737A-B486-45FC-B560-710C126046A9}"/>
    <cellStyle name="Normal 13 6" xfId="790" xr:uid="{FE3A7806-6437-4F90-838C-12DC8E30A521}"/>
    <cellStyle name="Normal 13 7" xfId="791" xr:uid="{D62D39B9-A0BD-407B-AD67-826A4901F3B3}"/>
    <cellStyle name="Normal 13 8" xfId="792" xr:uid="{2E070D3F-1F6D-44DC-BC44-238BEE592EB9}"/>
    <cellStyle name="Normal 13 9" xfId="793" xr:uid="{D10C5A62-6ACE-488D-BE25-34BB10E985E1}"/>
    <cellStyle name="Normal 14" xfId="794" xr:uid="{0F792088-B62F-460F-AF3E-3E0007DB9147}"/>
    <cellStyle name="Normal 14 10" xfId="795" xr:uid="{9065D310-80CF-4E0D-AE43-8126C1AB31AD}"/>
    <cellStyle name="Normal 14 11" xfId="796" xr:uid="{3EFB2D87-5E91-4673-9A06-74C744968D26}"/>
    <cellStyle name="Normal 14 12" xfId="797" xr:uid="{AA3A3517-EC72-4853-8831-CB6CEE72EB75}"/>
    <cellStyle name="Normal 14 13" xfId="798" xr:uid="{BF9B25DB-673C-401F-84F5-55E62675EC60}"/>
    <cellStyle name="Normal 14 14" xfId="799" xr:uid="{F6039085-0A14-45DA-B0FB-E2CD035D7B56}"/>
    <cellStyle name="Normal 14 15" xfId="800" xr:uid="{1C4802DD-F4A4-47E1-A9C8-1BD84AFD0669}"/>
    <cellStyle name="Normal 14 2" xfId="801" xr:uid="{3447F4C9-15F4-484B-BF94-3AFF31B9CB67}"/>
    <cellStyle name="Normal 14 2 2" xfId="802" xr:uid="{EE2D15D5-640A-4117-8F0A-F06FADB4A0B4}"/>
    <cellStyle name="Normal 14 2 3" xfId="803" xr:uid="{1AFD9FE1-F2F7-4FF3-BF83-19603EFCF50A}"/>
    <cellStyle name="Normal 14 2 4" xfId="804" xr:uid="{4C8A6D71-7E30-4B3F-9EA2-558BE53D8FD3}"/>
    <cellStyle name="Normal 14 2 5" xfId="805" xr:uid="{D4351ADA-6926-4C7B-AF38-2577F227E11E}"/>
    <cellStyle name="Normal 14 2 6" xfId="806" xr:uid="{3C6CF0B0-063B-4A21-8D46-FFE3938FC4B1}"/>
    <cellStyle name="Normal 14 2 7" xfId="807" xr:uid="{E808547B-5DCB-483A-8CE7-FAE2C17EFF03}"/>
    <cellStyle name="Normal 14 3" xfId="808" xr:uid="{AAD2DBF7-AA37-414B-9BA7-6A0C3FC3A351}"/>
    <cellStyle name="Normal 14 4" xfId="809" xr:uid="{9AB13763-E34C-4868-8106-D931F891F89C}"/>
    <cellStyle name="Normal 14 5" xfId="810" xr:uid="{A02E46B1-ADB9-434A-9D16-F976C34BF1F3}"/>
    <cellStyle name="Normal 14 6" xfId="811" xr:uid="{8C0B1157-DE9F-4736-8605-6CE750898044}"/>
    <cellStyle name="Normal 14 7" xfId="812" xr:uid="{E6225EC2-C764-4C92-B5C4-09BCEF5156A4}"/>
    <cellStyle name="Normal 14 8" xfId="813" xr:uid="{530706BB-EDAC-4E46-83DB-F5BDC649ED21}"/>
    <cellStyle name="Normal 14 9" xfId="814" xr:uid="{3CC714F9-AB2E-4B5C-852C-54DDB3CA5718}"/>
    <cellStyle name="Normal 15" xfId="815" xr:uid="{96269E85-7CBD-4BC5-847A-48FE96E1A513}"/>
    <cellStyle name="Normal 15 2" xfId="816" xr:uid="{971AD15F-B585-4E2C-AA44-6998FFBB14EC}"/>
    <cellStyle name="Normal 15 3" xfId="817" xr:uid="{5C565873-4205-468B-93BF-25DED06F2B31}"/>
    <cellStyle name="Normal 15 4" xfId="818" xr:uid="{16063DED-C9FC-4C38-AEB2-EE3C7E066E86}"/>
    <cellStyle name="Normal 15 5" xfId="819" xr:uid="{1B5857D8-DF48-48BA-8C2E-BB363F61F11D}"/>
    <cellStyle name="Normal 15 6" xfId="820" xr:uid="{BC7AC2FF-777D-4185-A44B-1566D8748AE3}"/>
    <cellStyle name="Normal 16" xfId="821" xr:uid="{71F513FD-B2A3-4A9F-8268-6F63D456568B}"/>
    <cellStyle name="Normal 16 2" xfId="822" xr:uid="{CCAE8492-AE68-425F-81BE-1EFE91CB3750}"/>
    <cellStyle name="Normal 16 3" xfId="823" xr:uid="{99938FDC-96CC-400F-9F32-E31A4353098C}"/>
    <cellStyle name="Normal 16 4" xfId="824" xr:uid="{8E43C8FA-6A3D-412A-A04A-38D93E0C760C}"/>
    <cellStyle name="Normal 16 5" xfId="825" xr:uid="{921B32FC-410E-4B9C-AC34-C73981543F65}"/>
    <cellStyle name="Normal 16 6" xfId="826" xr:uid="{7E21363F-0122-403F-8F7F-ADDC1BE78E97}"/>
    <cellStyle name="Normal 17" xfId="827" xr:uid="{ADD1A8F0-964A-4A16-8C1C-036EB389020D}"/>
    <cellStyle name="Normal 17 10" xfId="828" xr:uid="{18B85988-773D-4706-A112-D5BB5CE99B90}"/>
    <cellStyle name="Normal 17 11" xfId="829" xr:uid="{EC4C4853-7760-463E-B048-FC7505FB1F79}"/>
    <cellStyle name="Normal 17 12" xfId="830" xr:uid="{E5BBD35A-A01E-4A51-AC05-F506527F5637}"/>
    <cellStyle name="Normal 17 13" xfId="831" xr:uid="{7AAD859C-17C1-4781-B481-E0FC2AA71CA7}"/>
    <cellStyle name="Normal 17 2" xfId="832" xr:uid="{7EEFC4AD-AA27-4B99-85C6-08FA63A80144}"/>
    <cellStyle name="Normal 17 3" xfId="833" xr:uid="{5657A76C-7142-49AB-B862-2A4A2EFC2FDC}"/>
    <cellStyle name="Normal 17 4" xfId="834" xr:uid="{51B35D40-FB80-4AB1-89FA-525FD1554516}"/>
    <cellStyle name="Normal 17 5" xfId="835" xr:uid="{4CCA104B-6524-4424-8540-2412C6ECB41F}"/>
    <cellStyle name="Normal 17 6" xfId="836" xr:uid="{9CDB426C-9C29-4FAE-A55E-DEA8BF2D053E}"/>
    <cellStyle name="Normal 17 7" xfId="837" xr:uid="{56C86D5C-F6A4-4A35-A7FE-A1FACB218951}"/>
    <cellStyle name="Normal 17 8" xfId="838" xr:uid="{A374AAB0-CD53-4D74-A7BE-E4A52C67DEBF}"/>
    <cellStyle name="Normal 17 9" xfId="839" xr:uid="{7FC3429C-BB4D-4A10-94ED-72C0D4CF957A}"/>
    <cellStyle name="Normal 18" xfId="840" xr:uid="{3BD85288-CE2F-4344-A9FD-FB676E438C27}"/>
    <cellStyle name="Normal 19" xfId="12" xr:uid="{41D88FEC-C303-42D5-9066-DD1E05639B9F}"/>
    <cellStyle name="Normal 2" xfId="4" xr:uid="{AB28095B-CB18-408B-B2E1-049817B395BE}"/>
    <cellStyle name="Normal 2 10" xfId="13" xr:uid="{9A7E7F7B-92D6-432B-8D78-389E940525D0}"/>
    <cellStyle name="Normal 2 11" xfId="841" xr:uid="{DE7E5A34-7F40-4239-A0F3-B9FE3D67E7B0}"/>
    <cellStyle name="Normal 2 12" xfId="842" xr:uid="{76E15F83-FF5E-4DCB-BB90-3EAD12ECE32F}"/>
    <cellStyle name="Normal 2 13" xfId="843" xr:uid="{FFA87FAC-F2EE-4A77-A407-50E9AD600987}"/>
    <cellStyle name="Normal 2 14" xfId="844" xr:uid="{F6E15BB1-7930-47EF-811C-0DAE1C7D2A79}"/>
    <cellStyle name="Normal 2 15" xfId="845" xr:uid="{B715CEB9-0510-4270-901C-90E868EBC7D6}"/>
    <cellStyle name="Normal 2 16" xfId="846" xr:uid="{6403A43F-C2F5-43C3-8307-4B20FF745B3B}"/>
    <cellStyle name="Normal 2 17" xfId="847" xr:uid="{58AD5FC0-F068-490E-9E5A-AD5AE5047190}"/>
    <cellStyle name="Normal 2 18" xfId="1626" xr:uid="{69EF58D6-1C8C-4A40-97CB-349D017FF46A}"/>
    <cellStyle name="Normal 2 2" xfId="848" xr:uid="{95D829A5-61C6-4EA8-8CC7-AED995941A25}"/>
    <cellStyle name="Normal 2 2 10" xfId="849" xr:uid="{E263746F-0B24-4928-85D3-142F4B4F834C}"/>
    <cellStyle name="Normal 2 2 11" xfId="850" xr:uid="{37F619F6-E8A3-4AC5-BDC1-E781BA6F8401}"/>
    <cellStyle name="Normal 2 2 12" xfId="851" xr:uid="{7CB91353-1B7A-414B-9C16-51422DC8B129}"/>
    <cellStyle name="Normal 2 2 13" xfId="852" xr:uid="{678ECAEF-AAE3-4D56-961B-9B2736D547BC}"/>
    <cellStyle name="Normal 2 2 2" xfId="853" xr:uid="{A7965733-BD52-442E-94F3-DA1E493D2DBC}"/>
    <cellStyle name="Normal 2 2 3" xfId="854" xr:uid="{7CCFF12B-510B-43DF-9E93-47A1274A53BF}"/>
    <cellStyle name="Normal 2 2 4" xfId="855" xr:uid="{9546A5BD-F6E5-473F-9F7B-55A99B64D497}"/>
    <cellStyle name="Normal 2 2 5" xfId="856" xr:uid="{61B6F9F3-1307-49D9-BCE0-59B609658DBB}"/>
    <cellStyle name="Normal 2 2 6" xfId="857" xr:uid="{691787B7-C070-48E0-8DA9-F99338011EF0}"/>
    <cellStyle name="Normal 2 2 7" xfId="858" xr:uid="{6741F1B1-7489-45E0-83BB-754579848B84}"/>
    <cellStyle name="Normal 2 2 8" xfId="859" xr:uid="{027E5238-7377-463C-8DFF-607FF3683F56}"/>
    <cellStyle name="Normal 2 2 9" xfId="860" xr:uid="{F6B0A6B2-4F8A-480E-B12A-73621E9D7BDE}"/>
    <cellStyle name="Normal 2 3" xfId="861" xr:uid="{767806A4-F58B-4A35-B7CF-55F088F95D4C}"/>
    <cellStyle name="Normal 2 3 10" xfId="862" xr:uid="{561F0F3C-BD33-4716-95A2-2EEC4358320B}"/>
    <cellStyle name="Normal 2 3 11" xfId="863" xr:uid="{A1329831-19EC-4306-BF52-DB1D0300A190}"/>
    <cellStyle name="Normal 2 3 12" xfId="864" xr:uid="{5F84176A-EA8F-4BC0-A62D-CF1798ABF0DA}"/>
    <cellStyle name="Normal 2 3 13" xfId="865" xr:uid="{27889CDB-6525-4975-8584-513DFA0B2D24}"/>
    <cellStyle name="Normal 2 3 2" xfId="866" xr:uid="{4BEBC0B3-604F-46FE-902D-C04D8CDBD18E}"/>
    <cellStyle name="Normal 2 3 3" xfId="867" xr:uid="{34E52A5B-4891-462F-8B6D-8EF34C93C3C3}"/>
    <cellStyle name="Normal 2 3 4" xfId="868" xr:uid="{75436CD0-E4F4-4328-ACCB-2E8D620E1713}"/>
    <cellStyle name="Normal 2 3 5" xfId="869" xr:uid="{B016928A-6F14-4070-946A-824B87D5C4D0}"/>
    <cellStyle name="Normal 2 3 6" xfId="870" xr:uid="{48EF6110-A1D8-480D-BE35-7DF46F1B834F}"/>
    <cellStyle name="Normal 2 3 7" xfId="871" xr:uid="{A437F1E1-E678-4750-A568-6FA1B080983C}"/>
    <cellStyle name="Normal 2 3 8" xfId="872" xr:uid="{431D51C3-C467-417A-B436-EFCB86380954}"/>
    <cellStyle name="Normal 2 3 9" xfId="873" xr:uid="{94A8279C-EDC8-42BE-B780-1FB3F706CB9B}"/>
    <cellStyle name="Normal 2 4" xfId="874" xr:uid="{5A383C66-C73A-4FDB-A646-B973E624C140}"/>
    <cellStyle name="Normal 2 4 10" xfId="875" xr:uid="{187A7405-E800-48E4-BC75-B93F07E9F0DA}"/>
    <cellStyle name="Normal 2 4 11" xfId="876" xr:uid="{65A8D9FF-C234-4BA8-A568-D552F8F978B6}"/>
    <cellStyle name="Normal 2 4 12" xfId="877" xr:uid="{EF679B5D-2807-4C12-AD32-6E38ABB6927B}"/>
    <cellStyle name="Normal 2 4 13" xfId="878" xr:uid="{6D229763-6E3E-497B-9A78-B1EB5E102476}"/>
    <cellStyle name="Normal 2 4 2" xfId="879" xr:uid="{BB2DBA3F-7008-46CB-B168-5C9A9E5167F0}"/>
    <cellStyle name="Normal 2 4 3" xfId="880" xr:uid="{FE35BEED-FDD7-438B-BABC-34DCDA15D11E}"/>
    <cellStyle name="Normal 2 4 4" xfId="881" xr:uid="{009FE5FA-E740-401A-AB16-515C00CA99B4}"/>
    <cellStyle name="Normal 2 4 5" xfId="882" xr:uid="{3DC15352-57CD-499B-98EE-F081F7AD0418}"/>
    <cellStyle name="Normal 2 4 6" xfId="883" xr:uid="{70424449-6DF6-46C9-987E-6B723ACA7025}"/>
    <cellStyle name="Normal 2 4 7" xfId="884" xr:uid="{3B76E933-196F-4F69-8738-AD97C2301067}"/>
    <cellStyle name="Normal 2 4 8" xfId="885" xr:uid="{8D464EE4-0DDD-4E39-BEDF-4EC056D87EFF}"/>
    <cellStyle name="Normal 2 4 9" xfId="886" xr:uid="{FD534E3C-F807-4E07-B362-B8D997623BC0}"/>
    <cellStyle name="Normal 2 5" xfId="887" xr:uid="{0B7442C7-1BA7-409B-A290-DC349C4412D3}"/>
    <cellStyle name="Normal 2 6" xfId="888" xr:uid="{7BD579EB-8594-45CA-BA61-4B4DEA59C0B3}"/>
    <cellStyle name="Normal 2 7" xfId="889" xr:uid="{C85EE0A6-9EF1-4427-BD0B-EAE321985F3E}"/>
    <cellStyle name="Normal 2 8" xfId="890" xr:uid="{53C1EDCD-E3FA-4AFB-8512-CD7142BB4AEB}"/>
    <cellStyle name="Normal 2 9" xfId="891" xr:uid="{BF229B54-BE5A-4329-A5C6-E4DDF797A099}"/>
    <cellStyle name="Normal 20" xfId="892" xr:uid="{6B52CCA6-A159-4F24-9EC2-3D63A100697B}"/>
    <cellStyle name="Normal 21" xfId="1625" xr:uid="{1A9FE163-0786-42E5-BE90-EF05437016E8}"/>
    <cellStyle name="Normal 23" xfId="1628" xr:uid="{9282F662-B104-450A-97FB-71CE5A6950DC}"/>
    <cellStyle name="Normal 26" xfId="893" xr:uid="{53608DE6-B50C-40D2-B01E-3E0E8C723E68}"/>
    <cellStyle name="Normal 29" xfId="11" xr:uid="{87DC0419-DFDB-4BFB-BB48-93BF1CFC896C}"/>
    <cellStyle name="Normal 3" xfId="7" xr:uid="{6CB4D4AE-28FB-46C6-B1B5-86DEB5D4C842}"/>
    <cellStyle name="Normal 3 10" xfId="894" xr:uid="{4789A3A5-E5F0-4B3A-A8F0-594272BCB1DD}"/>
    <cellStyle name="Normal 3 11" xfId="895" xr:uid="{6E13BB74-A81F-4738-8E41-3D54A164BB2C}"/>
    <cellStyle name="Normal 3 12" xfId="896" xr:uid="{425B609A-6936-42C3-B9B0-0CD68910A669}"/>
    <cellStyle name="Normal 3 2" xfId="897" xr:uid="{61AC5677-72B7-4BB4-A8EF-EEE426B309DF}"/>
    <cellStyle name="Normal 3 2 2" xfId="898" xr:uid="{4657D52D-BE9C-42F4-889C-FD0013A47821}"/>
    <cellStyle name="Normal 3 2 3" xfId="899" xr:uid="{E42A2BAF-AA06-448B-AC4A-1AB9DCA44FF7}"/>
    <cellStyle name="Normal 3 2 4" xfId="900" xr:uid="{869BDED2-304E-47E7-BB28-611C100A3B05}"/>
    <cellStyle name="Normal 3 2 5" xfId="901" xr:uid="{AA6DD7BF-9EDA-4C89-9061-B3C0ADAF09E8}"/>
    <cellStyle name="Normal 3 2 6" xfId="902" xr:uid="{47B44131-B09B-4CD0-9A32-595C74E1903D}"/>
    <cellStyle name="Normal 3 2 7" xfId="903" xr:uid="{864697A7-34CF-4D8C-852A-B0B61D9E65C7}"/>
    <cellStyle name="Normal 3 2 8" xfId="904" xr:uid="{69414CC1-C647-4896-8DF8-DBC264B2568C}"/>
    <cellStyle name="Normal 3 3" xfId="905" xr:uid="{957ECBFB-EC5C-4C09-B5D9-100731516536}"/>
    <cellStyle name="Normal 3 3 2" xfId="906" xr:uid="{0BD8CFD0-2A2C-4F85-8026-5023D983A1B8}"/>
    <cellStyle name="Normal 3 3 3" xfId="907" xr:uid="{385FC0F8-0267-4D03-BACB-BA64B329E87C}"/>
    <cellStyle name="Normal 3 3 4" xfId="908" xr:uid="{400D85DF-F127-481C-8A41-F6536F047909}"/>
    <cellStyle name="Normal 3 3 5" xfId="909" xr:uid="{03D3C5A0-EBB2-4196-86FC-4DC047650932}"/>
    <cellStyle name="Normal 3 3 6" xfId="910" xr:uid="{172292E7-9094-468C-8519-657718966207}"/>
    <cellStyle name="Normal 3 3 7" xfId="911" xr:uid="{72E6FEE2-ACF2-4067-B3D7-B2A987007D4B}"/>
    <cellStyle name="Normal 3 3 8" xfId="912" xr:uid="{8F2793C3-03C9-471E-9AAB-44B81B2EF270}"/>
    <cellStyle name="Normal 3 4" xfId="913" xr:uid="{343D4940-32E3-4E6D-BDF8-02B2CFC668CA}"/>
    <cellStyle name="Normal 3 4 2" xfId="914" xr:uid="{F5EAD188-3C53-4084-8B18-C9D4EFA21B07}"/>
    <cellStyle name="Normal 3 4 3" xfId="915" xr:uid="{11AFB8DD-6ECB-4FAB-9712-A0183C9632D2}"/>
    <cellStyle name="Normal 3 4 4" xfId="916" xr:uid="{D9AF393A-578F-41FE-9584-E8562551D83E}"/>
    <cellStyle name="Normal 3 4 5" xfId="917" xr:uid="{4851A722-FBC2-4E85-A705-A09908208780}"/>
    <cellStyle name="Normal 3 4 6" xfId="918" xr:uid="{EC39CC53-8BD9-4D68-AF73-A860705A1A52}"/>
    <cellStyle name="Normal 3 4 7" xfId="919" xr:uid="{B7220930-1176-4B1E-95FD-EA6507EE34B9}"/>
    <cellStyle name="Normal 3 4 8" xfId="920" xr:uid="{1415D902-6AEB-46FE-BF30-5EB61D09FE34}"/>
    <cellStyle name="Normal 3 5" xfId="921" xr:uid="{1289D460-13CD-4C8F-AD6F-F12F8348CFF9}"/>
    <cellStyle name="Normal 3 5 2" xfId="922" xr:uid="{E3DDF5B7-8989-4BAF-A719-BF9135D59659}"/>
    <cellStyle name="Normal 3 5 3" xfId="923" xr:uid="{9E9227C5-9D2B-4B95-99DC-29C6C81FD7F5}"/>
    <cellStyle name="Normal 3 5 4" xfId="924" xr:uid="{43CDEBB2-5F32-45B5-8BE6-332228F3275A}"/>
    <cellStyle name="Normal 3 5 5" xfId="925" xr:uid="{887DB22B-021C-4795-9C8F-E8516FF0FAA6}"/>
    <cellStyle name="Normal 3 5 6" xfId="926" xr:uid="{122CE074-2051-40D3-85D9-9769B7941EC8}"/>
    <cellStyle name="Normal 3 5 7" xfId="927" xr:uid="{9067D8E0-8B52-4A06-843E-CE7F2E366D4F}"/>
    <cellStyle name="Normal 3 5 8" xfId="928" xr:uid="{ACF6BDF5-B1F3-4A82-8A6C-4504C0A23376}"/>
    <cellStyle name="Normal 3 6" xfId="929" xr:uid="{0E8263B0-9EF7-4603-8660-CDAA71CC73A4}"/>
    <cellStyle name="Normal 3 7" xfId="930" xr:uid="{313C3221-D6AC-4E89-A942-FD445D35154C}"/>
    <cellStyle name="Normal 3 8" xfId="931" xr:uid="{03D82381-6CE4-423A-A6CA-E7489827AA7D}"/>
    <cellStyle name="Normal 3 9" xfId="932" xr:uid="{A6DC8238-2259-480F-B3B2-D09104CD82BB}"/>
    <cellStyle name="Normal 30" xfId="10" xr:uid="{39579D4E-4270-47E0-ADB2-50CC093F1702}"/>
    <cellStyle name="Normal 4" xfId="8" xr:uid="{0D80308F-0B7F-4336-9618-DED046F89444}"/>
    <cellStyle name="Normal 4 10" xfId="933" xr:uid="{7056D51D-D351-4F6E-A4A4-45142BD052E7}"/>
    <cellStyle name="Normal 4 11" xfId="934" xr:uid="{DAAFDB46-FA6B-4F41-8EEC-C1D98C2D5BF6}"/>
    <cellStyle name="Normal 4 12" xfId="935" xr:uid="{D404C6E0-F3DF-4C64-9CCC-8B72EFB1CC2F}"/>
    <cellStyle name="Normal 4 2" xfId="936" xr:uid="{F0E52A25-430F-4E43-9211-4E16D161BBB4}"/>
    <cellStyle name="Normal 4 2 2" xfId="937" xr:uid="{4AA1CE5F-ABE6-4759-BC72-07B15B375DCC}"/>
    <cellStyle name="Normal 4 2 2 10" xfId="938" xr:uid="{AB0658BC-8B17-4BE5-9747-5C8EB74FFD31}"/>
    <cellStyle name="Normal 4 2 2 11" xfId="939" xr:uid="{E9155623-CF56-4735-B166-FC61C44AD7D2}"/>
    <cellStyle name="Normal 4 2 2 12" xfId="940" xr:uid="{8712D2EE-2E67-406C-8C92-6CD2FEB66200}"/>
    <cellStyle name="Normal 4 2 2 13" xfId="941" xr:uid="{BE2BE09D-F0CC-4C55-902A-3E15464BB812}"/>
    <cellStyle name="Normal 4 2 2 2" xfId="942" xr:uid="{A8846759-83DC-48D9-BBF6-EA713DF5362D}"/>
    <cellStyle name="Normal 4 2 2 2 10" xfId="943" xr:uid="{6FF40DF5-AA7B-46AF-9F2F-CAD01B2B1DB4}"/>
    <cellStyle name="Normal 4 2 2 2 11" xfId="944" xr:uid="{C70AA2A2-A387-4A88-AF9B-39126A495F83}"/>
    <cellStyle name="Normal 4 2 2 2 12" xfId="945" xr:uid="{5A96F5B9-1254-437F-A1AD-61A1F0D23FF9}"/>
    <cellStyle name="Normal 4 2 2 2 13" xfId="946" xr:uid="{3EBB81EE-9403-436C-99A1-66D059D74893}"/>
    <cellStyle name="Normal 4 2 2 2 2" xfId="947" xr:uid="{2AFED592-42F0-46B4-BCCF-EFC5BE9092C4}"/>
    <cellStyle name="Normal 4 2 2 2 3" xfId="948" xr:uid="{5C6F2D0C-C0C8-48EB-BDF5-49DC60709BC5}"/>
    <cellStyle name="Normal 4 2 2 2 4" xfId="949" xr:uid="{DCC9ECBF-ED68-45D6-BE55-FF0DE3AB0A93}"/>
    <cellStyle name="Normal 4 2 2 2 5" xfId="950" xr:uid="{8ECECD8F-85D5-4D5D-9FCE-897DED37EF58}"/>
    <cellStyle name="Normal 4 2 2 2 6" xfId="951" xr:uid="{E8451A36-E386-4125-AC4B-1C8100D20918}"/>
    <cellStyle name="Normal 4 2 2 2 7" xfId="952" xr:uid="{5854F0D6-4793-45A6-BC8E-EC2A0DE7E04C}"/>
    <cellStyle name="Normal 4 2 2 2 8" xfId="953" xr:uid="{6538EC1D-6247-41AF-B32B-6BAEC772247B}"/>
    <cellStyle name="Normal 4 2 2 2 9" xfId="954" xr:uid="{A6C7075A-8AEE-4D26-864E-8C4D68C20B89}"/>
    <cellStyle name="Normal 4 2 2 3" xfId="955" xr:uid="{FD6F0CC1-AE18-43E6-9B85-187993E0C4A8}"/>
    <cellStyle name="Normal 4 2 2 4" xfId="956" xr:uid="{04ECEEA0-AE84-41FB-A28E-43907B61F037}"/>
    <cellStyle name="Normal 4 2 2 5" xfId="957" xr:uid="{9FAD1207-528D-44BE-B189-6000605F5FBD}"/>
    <cellStyle name="Normal 4 2 2 6" xfId="958" xr:uid="{8CBFC7E0-49F7-4EEA-B414-F5B85341BF51}"/>
    <cellStyle name="Normal 4 2 2 7" xfId="959" xr:uid="{18625CE0-3CB1-46FE-9F05-8A5C850E2C29}"/>
    <cellStyle name="Normal 4 2 2 8" xfId="960" xr:uid="{3E268763-7A0C-4913-B0FB-BBAF105F40BA}"/>
    <cellStyle name="Normal 4 2 2 9" xfId="961" xr:uid="{6A6BF66C-E612-4771-9951-80B53BCC8001}"/>
    <cellStyle name="Normal 4 2 3" xfId="962" xr:uid="{EDA45D0D-0B18-4DAD-84CF-8FBA332DBC86}"/>
    <cellStyle name="Normal 4 2 4" xfId="963" xr:uid="{6DC469D6-1B6B-4B67-B31A-8288B1104B25}"/>
    <cellStyle name="Normal 4 2 5" xfId="964" xr:uid="{859106A4-0D21-4A36-9599-0817A61C2A05}"/>
    <cellStyle name="Normal 4 2 6" xfId="965" xr:uid="{0022BBA1-760C-4BE6-A791-9CA5AEC202B2}"/>
    <cellStyle name="Normal 4 2 7" xfId="966" xr:uid="{5922471F-E0C6-44CE-9B91-2BBB7F06C8D8}"/>
    <cellStyle name="Normal 4 2 8" xfId="967" xr:uid="{1E235B44-AF60-44C4-ACEB-F3B824484ABF}"/>
    <cellStyle name="Normal 4 3" xfId="968" xr:uid="{4CE12692-2FBF-46FB-8438-61FA09D005F2}"/>
    <cellStyle name="Normal 4 3 2" xfId="969" xr:uid="{D71A73A7-1602-4CF5-B066-847F8E210286}"/>
    <cellStyle name="Normal 4 3 3" xfId="970" xr:uid="{EC7B0EA3-C940-4CEA-B0FE-152B9DA9F34B}"/>
    <cellStyle name="Normal 4 3 4" xfId="971" xr:uid="{1B8F19D2-260D-4AC2-A0DA-1A860A9600A4}"/>
    <cellStyle name="Normal 4 3 5" xfId="972" xr:uid="{5D9E2833-8E3D-402F-A667-B2434473EA77}"/>
    <cellStyle name="Normal 4 3 6" xfId="973" xr:uid="{73870EB7-F64D-430C-8909-A379D8AB7DF0}"/>
    <cellStyle name="Normal 4 3 7" xfId="974" xr:uid="{1941A3AF-B9D6-4C2E-9514-1AF726638ED4}"/>
    <cellStyle name="Normal 4 3 8" xfId="975" xr:uid="{BFFFF5C6-B332-4CBF-B2C4-F5FBAA0141A0}"/>
    <cellStyle name="Normal 4 4" xfId="976" xr:uid="{160F8341-38B8-43CB-B9A0-E0E3EB0C028F}"/>
    <cellStyle name="Normal 4 4 2" xfId="977" xr:uid="{D90E7149-A4B4-4318-B5FD-5386B961B06E}"/>
    <cellStyle name="Normal 4 4 3" xfId="978" xr:uid="{EA5902B6-7CD9-4B21-A1A5-015F4FE902E6}"/>
    <cellStyle name="Normal 4 4 4" xfId="979" xr:uid="{6CC96275-8985-46E4-A440-D79E79CD527D}"/>
    <cellStyle name="Normal 4 4 5" xfId="980" xr:uid="{E5CB71E7-4432-49EE-AE86-5679E6C52F43}"/>
    <cellStyle name="Normal 4 4 6" xfId="981" xr:uid="{C11E559D-7208-4729-B42D-45770A9DFCE2}"/>
    <cellStyle name="Normal 4 4 7" xfId="982" xr:uid="{3EE806FC-45A4-434D-9D50-23A8A49DFE49}"/>
    <cellStyle name="Normal 4 4 8" xfId="983" xr:uid="{D870F385-52BC-42D6-9C59-647D3CEC8BB0}"/>
    <cellStyle name="Normal 4 5" xfId="984" xr:uid="{214CD7AD-7DE5-417C-9189-C75957A95324}"/>
    <cellStyle name="Normal 4 5 2" xfId="985" xr:uid="{A10047CC-85E0-49CD-A9DD-55E34C5F18BF}"/>
    <cellStyle name="Normal 4 5 3" xfId="986" xr:uid="{DC76495C-AAAD-48FA-9194-150B17A1417E}"/>
    <cellStyle name="Normal 4 5 4" xfId="987" xr:uid="{06D75ED3-3A2A-46D9-A562-ACC43C541AE9}"/>
    <cellStyle name="Normal 4 5 5" xfId="988" xr:uid="{E2631E0F-36F0-410B-96FB-C6731709C32E}"/>
    <cellStyle name="Normal 4 5 6" xfId="989" xr:uid="{CF734911-E933-41AD-A340-7F295ECC2692}"/>
    <cellStyle name="Normal 4 5 7" xfId="990" xr:uid="{B8754AD7-4005-4BE9-A448-AD5FF4F6FC3D}"/>
    <cellStyle name="Normal 4 5 8" xfId="991" xr:uid="{6F7099CA-07BB-4A37-88C2-AAB4771187D0}"/>
    <cellStyle name="Normal 4 6" xfId="992" xr:uid="{2F0E3482-640B-484A-B58F-688303C7F7C2}"/>
    <cellStyle name="Normal 4 7" xfId="993" xr:uid="{E148A325-1395-4251-9400-83D697FDEF2C}"/>
    <cellStyle name="Normal 4 8" xfId="994" xr:uid="{7678EADE-8661-4ED0-9465-C516945C962D}"/>
    <cellStyle name="Normal 4 9" xfId="995" xr:uid="{5A02E35F-DDF8-438C-AD6B-96C32CF97EE7}"/>
    <cellStyle name="Normal 5" xfId="996" xr:uid="{0A5D7B33-F352-4824-9B2B-70E24A1B9BDD}"/>
    <cellStyle name="Normal 5 10" xfId="997" xr:uid="{105C69B1-8163-43C9-8D28-B68A12A762E0}"/>
    <cellStyle name="Normal 5 11" xfId="998" xr:uid="{C4EFCAE5-0CDA-4C1D-B1D8-8880E9B42F99}"/>
    <cellStyle name="Normal 5 12" xfId="999" xr:uid="{98D00E1B-9601-49CE-8243-35250CF6E6A7}"/>
    <cellStyle name="Normal 5 2" xfId="1000" xr:uid="{BCFC319F-9756-4F58-A3FB-A05A66626102}"/>
    <cellStyle name="Normal 5 2 2" xfId="1001" xr:uid="{91C8E5B9-A396-4228-99DF-0D8CF3DA6782}"/>
    <cellStyle name="Normal 5 2 2 10" xfId="1002" xr:uid="{BF7486A6-DFD2-41B8-87E7-D7EF650C7268}"/>
    <cellStyle name="Normal 5 2 2 11" xfId="1003" xr:uid="{B634E612-3001-4B9E-9C00-1E16DD6A4FD5}"/>
    <cellStyle name="Normal 5 2 2 12" xfId="1004" xr:uid="{53F89FA6-D03F-4A89-8B2C-5C9478DF7010}"/>
    <cellStyle name="Normal 5 2 2 13" xfId="1005" xr:uid="{8D660ED9-7389-48C8-8C8B-2E6F754BF12F}"/>
    <cellStyle name="Normal 5 2 2 2" xfId="1006" xr:uid="{83883E03-F494-410E-92C5-717F1078326D}"/>
    <cellStyle name="Normal 5 2 2 2 10" xfId="1007" xr:uid="{C76E6BD2-593F-4AD0-8386-867858C7177D}"/>
    <cellStyle name="Normal 5 2 2 2 11" xfId="1008" xr:uid="{37060F68-6269-4C45-B936-15BE6D7C1DF7}"/>
    <cellStyle name="Normal 5 2 2 2 12" xfId="1009" xr:uid="{0A11FDF7-F8BF-4EEC-AA0D-1A0847ACD94B}"/>
    <cellStyle name="Normal 5 2 2 2 13" xfId="1010" xr:uid="{DF8EFC16-B43B-43D5-B04E-A998B4956962}"/>
    <cellStyle name="Normal 5 2 2 2 2" xfId="1011" xr:uid="{2EFC7EE6-57BB-406D-9C81-C43D391225CD}"/>
    <cellStyle name="Normal 5 2 2 2 3" xfId="1012" xr:uid="{4A7D4573-65B0-4E4A-846B-3A0A96D6EF2A}"/>
    <cellStyle name="Normal 5 2 2 2 4" xfId="1013" xr:uid="{F5C9A692-5946-48D2-83E9-42DEA51D3E87}"/>
    <cellStyle name="Normal 5 2 2 2 5" xfId="1014" xr:uid="{7AB4196A-5E36-4014-9112-DCB81C5DEE4B}"/>
    <cellStyle name="Normal 5 2 2 2 6" xfId="1015" xr:uid="{501D1075-2107-4956-B019-56E72D6B87C5}"/>
    <cellStyle name="Normal 5 2 2 2 7" xfId="1016" xr:uid="{C4365253-6C07-4322-BFDA-8E7E065E2619}"/>
    <cellStyle name="Normal 5 2 2 2 8" xfId="1017" xr:uid="{1F00234B-DB06-47E0-A951-681601A78B36}"/>
    <cellStyle name="Normal 5 2 2 2 9" xfId="1018" xr:uid="{9841AC7C-1994-413B-9421-0CBB245B1AD0}"/>
    <cellStyle name="Normal 5 2 2 3" xfId="1019" xr:uid="{8C186E69-DAE9-49B1-BF9B-8985FC395DF4}"/>
    <cellStyle name="Normal 5 2 2 4" xfId="1020" xr:uid="{F9602ABA-EE3D-4415-B5A7-29E948E0DBB8}"/>
    <cellStyle name="Normal 5 2 2 5" xfId="1021" xr:uid="{6AC13010-57DD-41AD-AD01-B88D795465E7}"/>
    <cellStyle name="Normal 5 2 2 6" xfId="1022" xr:uid="{2FF46DB4-C6C9-4C8B-9EDB-FD1E8981954B}"/>
    <cellStyle name="Normal 5 2 2 7" xfId="1023" xr:uid="{55717CF8-F82D-43D5-929E-97ACB2B0ACC4}"/>
    <cellStyle name="Normal 5 2 2 8" xfId="1024" xr:uid="{8BF1AF8D-9347-4B44-90C5-DDEA02931495}"/>
    <cellStyle name="Normal 5 2 2 9" xfId="1025" xr:uid="{2D4C5848-E132-4671-8F7B-FA8049C8BDE4}"/>
    <cellStyle name="Normal 5 2 3" xfId="1026" xr:uid="{0F622076-7712-477C-8575-4E7725893C93}"/>
    <cellStyle name="Normal 5 2 4" xfId="1027" xr:uid="{693AD7FC-735F-4EB5-84BB-1AE5F9D93F36}"/>
    <cellStyle name="Normal 5 2 5" xfId="1028" xr:uid="{47B4454F-2E46-4738-ADFF-8EA3EAEAD691}"/>
    <cellStyle name="Normal 5 2 6" xfId="1029" xr:uid="{2569E93F-3C42-4E5B-B9FF-2F1CEA889826}"/>
    <cellStyle name="Normal 5 2 7" xfId="1030" xr:uid="{4C5E760E-3CC8-4C4A-A6DF-BF6C0796D147}"/>
    <cellStyle name="Normal 5 2 8" xfId="1031" xr:uid="{CD925391-2F54-4287-B26F-D32C483D1409}"/>
    <cellStyle name="Normal 5 3" xfId="1032" xr:uid="{C26CB947-2B5E-4006-994E-AB3B2E37646B}"/>
    <cellStyle name="Normal 5 3 2" xfId="1033" xr:uid="{1E26AE4F-B9AE-4C9E-8E2F-4E181E21428D}"/>
    <cellStyle name="Normal 5 3 3" xfId="1034" xr:uid="{1B3D9ABE-8171-4E31-A9ED-C1455073FB1C}"/>
    <cellStyle name="Normal 5 3 4" xfId="1035" xr:uid="{A254442A-FD11-4EF2-A326-4E072F6F421B}"/>
    <cellStyle name="Normal 5 3 5" xfId="1036" xr:uid="{349DD095-90DD-4780-A2A0-B6CE0A15179C}"/>
    <cellStyle name="Normal 5 3 6" xfId="1037" xr:uid="{CD1DD265-BCBA-44B9-8228-290B0BEB666D}"/>
    <cellStyle name="Normal 5 3 7" xfId="1038" xr:uid="{32C3796D-B6FD-4460-A267-E51C34CA55A8}"/>
    <cellStyle name="Normal 5 3 8" xfId="1039" xr:uid="{39EE665D-C9DE-4EBE-860A-59EAF38165BB}"/>
    <cellStyle name="Normal 5 4" xfId="1040" xr:uid="{0BF55BD1-3831-4783-9416-ADDDE495C48A}"/>
    <cellStyle name="Normal 5 4 2" xfId="1041" xr:uid="{A239348C-1097-41CB-BEAD-14EBD17805DD}"/>
    <cellStyle name="Normal 5 4 3" xfId="1042" xr:uid="{EF108212-A5AD-41D4-B181-04C5C5CAC6C8}"/>
    <cellStyle name="Normal 5 4 4" xfId="1043" xr:uid="{F1BE5EB5-E496-462C-B980-D1DAFFFEABAC}"/>
    <cellStyle name="Normal 5 4 5" xfId="1044" xr:uid="{81F977AA-F867-4573-A92D-EC01FBA8FEEC}"/>
    <cellStyle name="Normal 5 4 6" xfId="1045" xr:uid="{3DEC227A-89BC-495F-9CC0-E44418ED4613}"/>
    <cellStyle name="Normal 5 4 7" xfId="1046" xr:uid="{6E7488D6-AA90-48DF-A73F-C437DF461E38}"/>
    <cellStyle name="Normal 5 4 8" xfId="1047" xr:uid="{B48640B9-FA66-4852-A1B5-A7AA9D0281BC}"/>
    <cellStyle name="Normal 5 5" xfId="1048" xr:uid="{DD6A1308-F272-469E-BAE8-9114E059A3B9}"/>
    <cellStyle name="Normal 5 5 2" xfId="1049" xr:uid="{A6B4AB2C-4EFF-418E-A869-BC17358044C4}"/>
    <cellStyle name="Normal 5 5 3" xfId="1050" xr:uid="{06B01323-0C09-4590-B202-A45CB29DFFFA}"/>
    <cellStyle name="Normal 5 5 4" xfId="1051" xr:uid="{E002C281-3830-4F8D-8DD9-95F3E8963F40}"/>
    <cellStyle name="Normal 5 5 5" xfId="1052" xr:uid="{521B1288-4C34-4802-906C-F6BCB8419279}"/>
    <cellStyle name="Normal 5 5 6" xfId="1053" xr:uid="{BDB24FCA-3914-4F1C-B16B-C009E3460F5B}"/>
    <cellStyle name="Normal 5 5 7" xfId="1054" xr:uid="{BF504624-BCE2-417B-9671-D67585360759}"/>
    <cellStyle name="Normal 5 5 8" xfId="1055" xr:uid="{95356308-DCBB-4735-94FD-A3CB7073230D}"/>
    <cellStyle name="Normal 5 6" xfId="1056" xr:uid="{442298D0-9F60-4022-97D1-0BA92A422B41}"/>
    <cellStyle name="Normal 5 7" xfId="1057" xr:uid="{96FA9403-0D12-47DC-8FD1-A7AE7CEC15CF}"/>
    <cellStyle name="Normal 5 8" xfId="1058" xr:uid="{8D076030-E78F-4B59-8BD8-ECF019CFE16B}"/>
    <cellStyle name="Normal 5 9" xfId="1059" xr:uid="{DA9F0613-E2F7-4956-A138-E411330B0580}"/>
    <cellStyle name="Normal 6" xfId="1060" xr:uid="{3E0E7E65-FA61-4F83-8291-575CD87D956B}"/>
    <cellStyle name="Normal 6 10" xfId="1061" xr:uid="{B401584A-E955-46C2-BF26-FAC0DF0849E4}"/>
    <cellStyle name="Normal 6 11" xfId="1062" xr:uid="{F690CD46-1CDE-4509-B35C-C15817EEBC26}"/>
    <cellStyle name="Normal 6 12" xfId="1063" xr:uid="{2A77670B-3CD6-4DC3-88C3-85F0B0E5E6F7}"/>
    <cellStyle name="Normal 6 2" xfId="1064" xr:uid="{DAE5713E-10EC-4063-B7A9-93A06D15B8EE}"/>
    <cellStyle name="Normal 6 2 2" xfId="1065" xr:uid="{F550940D-8A2C-4403-A094-41D8AB8D091C}"/>
    <cellStyle name="Normal 6 2 2 10" xfId="1066" xr:uid="{DB8154FE-36FA-4B9B-97AE-3055C16941C0}"/>
    <cellStyle name="Normal 6 2 2 11" xfId="1067" xr:uid="{52BCDAAA-3179-4C12-B318-1C09993F31EA}"/>
    <cellStyle name="Normal 6 2 2 12" xfId="1068" xr:uid="{67A4A225-93D3-470E-AC90-DF01D5D1F092}"/>
    <cellStyle name="Normal 6 2 2 13" xfId="1069" xr:uid="{A21FED6D-DEE5-4E8F-AFE1-73408C0A9837}"/>
    <cellStyle name="Normal 6 2 2 2" xfId="1070" xr:uid="{9387C4D9-5FB8-4CE2-B610-1471CF1FE21C}"/>
    <cellStyle name="Normal 6 2 2 3" xfId="1071" xr:uid="{6CCECF58-EF5E-488B-A063-B8E7565B2A7D}"/>
    <cellStyle name="Normal 6 2 2 4" xfId="1072" xr:uid="{EB63FA64-0FE1-400E-BF4F-B123594EDDBE}"/>
    <cellStyle name="Normal 6 2 2 5" xfId="1073" xr:uid="{EC4AA073-474D-40EF-92C2-8C9074FCDBAE}"/>
    <cellStyle name="Normal 6 2 2 6" xfId="1074" xr:uid="{EBDF29B5-F09D-440B-A246-D197E3281DF2}"/>
    <cellStyle name="Normal 6 2 2 7" xfId="1075" xr:uid="{99CB486B-9C61-47E2-B618-24ADEC80CECC}"/>
    <cellStyle name="Normal 6 2 2 8" xfId="1076" xr:uid="{4B0C8C55-5EA9-45D3-A1BB-EC5E263FB472}"/>
    <cellStyle name="Normal 6 2 2 9" xfId="1077" xr:uid="{37FD183C-2DDA-458E-9798-F19E486D7A5F}"/>
    <cellStyle name="Normal 6 2 3" xfId="1078" xr:uid="{34A6A632-7336-40B1-AAE8-53E83D98666A}"/>
    <cellStyle name="Normal 6 2 4" xfId="1079" xr:uid="{268E5FDD-8038-4A7C-9FF1-CC97756A4F54}"/>
    <cellStyle name="Normal 6 2 5" xfId="1080" xr:uid="{01AC48D0-9768-487E-92E4-A8490CC3EF62}"/>
    <cellStyle name="Normal 6 2 6" xfId="1081" xr:uid="{4E857D6B-F435-476E-B50A-E56FA40DC0A3}"/>
    <cellStyle name="Normal 6 2 7" xfId="1082" xr:uid="{964A34D3-A9EA-41C5-AA0B-C8C351F5B970}"/>
    <cellStyle name="Normal 6 2 8" xfId="1083" xr:uid="{0C1DFD3E-6277-4F49-9BBC-D39FFC135D15}"/>
    <cellStyle name="Normal 6 3" xfId="1084" xr:uid="{E9BCA355-B875-4234-8E2E-D43F24DA2A40}"/>
    <cellStyle name="Normal 6 3 2" xfId="1085" xr:uid="{DE5F9360-BBD9-4A3C-89A3-6BAB74ECF8C9}"/>
    <cellStyle name="Normal 6 3 3" xfId="1086" xr:uid="{2B213413-1EE2-4AD0-8D38-EA1AA19DA011}"/>
    <cellStyle name="Normal 6 3 4" xfId="1087" xr:uid="{55DAB679-CFC0-4258-8B21-EE2A7C449540}"/>
    <cellStyle name="Normal 6 3 5" xfId="1088" xr:uid="{F36D9B69-57AE-425E-BE1C-FFA886A2A07B}"/>
    <cellStyle name="Normal 6 3 6" xfId="1089" xr:uid="{A8C29C1F-7AF6-425A-806C-EF95C363F8AC}"/>
    <cellStyle name="Normal 6 3 7" xfId="1090" xr:uid="{9E99D554-A102-4A76-B43D-F6FFE32CE8E0}"/>
    <cellStyle name="Normal 6 3 8" xfId="1091" xr:uid="{1E45FFD5-2E99-476B-AECA-63C3AA1488D2}"/>
    <cellStyle name="Normal 6 4" xfId="1092" xr:uid="{CA5A45B5-3FD2-4A45-8E9F-D7710A958479}"/>
    <cellStyle name="Normal 6 4 2" xfId="1093" xr:uid="{1F69AFC6-0D7A-4787-9569-DAE62D3538FD}"/>
    <cellStyle name="Normal 6 4 3" xfId="1094" xr:uid="{B70016BF-EACD-4D24-8DFC-D01CCB14759C}"/>
    <cellStyle name="Normal 6 4 4" xfId="1095" xr:uid="{C3AED42B-027F-4F6F-9CF2-CCDD7F3A38FA}"/>
    <cellStyle name="Normal 6 4 5" xfId="1096" xr:uid="{C943C482-4E90-4BEA-AC8D-2CA4D80D052C}"/>
    <cellStyle name="Normal 6 4 6" xfId="1097" xr:uid="{BC87274D-DF20-4380-A3E3-7843836CBE1D}"/>
    <cellStyle name="Normal 6 4 7" xfId="1098" xr:uid="{6974DADF-0E1A-4A5E-9D24-F6B1E2DAEEE0}"/>
    <cellStyle name="Normal 6 4 8" xfId="1099" xr:uid="{3BB7E6B7-2E45-40A9-9D0D-519D24415768}"/>
    <cellStyle name="Normal 6 5" xfId="1100" xr:uid="{7ABE8713-1151-4A49-940F-8501BAABF765}"/>
    <cellStyle name="Normal 6 5 2" xfId="1101" xr:uid="{8438F2E6-4BC9-4899-94F3-0CFCE910A14E}"/>
    <cellStyle name="Normal 6 5 3" xfId="1102" xr:uid="{A9679438-8A5C-409E-A362-628C6BB7BD7B}"/>
    <cellStyle name="Normal 6 5 4" xfId="1103" xr:uid="{06B47EB9-2CDC-434A-8074-F283580311AD}"/>
    <cellStyle name="Normal 6 5 5" xfId="1104" xr:uid="{EEE198DA-3B45-4397-9E6C-C3D5A102D3D8}"/>
    <cellStyle name="Normal 6 5 6" xfId="1105" xr:uid="{A4CAF126-8F46-4368-B17F-60AA7F88218A}"/>
    <cellStyle name="Normal 6 5 7" xfId="1106" xr:uid="{DAAC8648-C40D-4A65-9E6A-712476089DFC}"/>
    <cellStyle name="Normal 6 5 8" xfId="1107" xr:uid="{0A038E3A-1254-4050-9D17-631E632AAD5C}"/>
    <cellStyle name="Normal 6 6" xfId="1108" xr:uid="{EA3212FD-9181-4735-BFB3-E9BE7289C723}"/>
    <cellStyle name="Normal 6 7" xfId="1109" xr:uid="{13DD3357-688C-4F77-B7A1-28BBC667697E}"/>
    <cellStyle name="Normal 6 8" xfId="1110" xr:uid="{96977DA0-6E8C-4F9F-ABC6-1BC63A93DF20}"/>
    <cellStyle name="Normal 6 9" xfId="1111" xr:uid="{AE9F5BEE-D221-4C84-BF40-B18FCF82930F}"/>
    <cellStyle name="Normal 7" xfId="1112" xr:uid="{89C44B0C-644E-48BD-A502-2DAD83E21418}"/>
    <cellStyle name="Normal 7 10" xfId="1113" xr:uid="{9A0E4020-36AB-4E45-9517-2092138ED780}"/>
    <cellStyle name="Normal 7 11" xfId="1114" xr:uid="{E3DFA59E-B78F-4F17-A9E9-321F0C348041}"/>
    <cellStyle name="Normal 7 12" xfId="1115" xr:uid="{D4C87764-3A97-4F8D-A8A1-BE6A00F43D4C}"/>
    <cellStyle name="Normal 7 2" xfId="1116" xr:uid="{C6A26EEC-DB88-423B-8157-6BA79F49AED5}"/>
    <cellStyle name="Normal 7 2 2" xfId="1117" xr:uid="{8396DD7D-194A-4AED-9366-49653B6E31A9}"/>
    <cellStyle name="Normal 7 2 3" xfId="1118" xr:uid="{4448C120-D114-4206-A33B-C274BB354B42}"/>
    <cellStyle name="Normal 7 2 4" xfId="1119" xr:uid="{C60AB40C-2EA0-473D-8267-256E1A0F8C81}"/>
    <cellStyle name="Normal 7 2 5" xfId="1120" xr:uid="{A93D0972-B7B1-434E-B199-9D0184445D3D}"/>
    <cellStyle name="Normal 7 2 6" xfId="1121" xr:uid="{FEB69502-4301-45CF-8AA6-C2247A769545}"/>
    <cellStyle name="Normal 7 2 7" xfId="1122" xr:uid="{3DE747B5-C963-4F80-A067-302012E16824}"/>
    <cellStyle name="Normal 7 2 8" xfId="1123" xr:uid="{3FA6CF71-416C-4A86-AD7C-90B40BD771E2}"/>
    <cellStyle name="Normal 7 3" xfId="1124" xr:uid="{8B5067E7-9A9F-490A-B4EA-96130FCDB25C}"/>
    <cellStyle name="Normal 7 3 2" xfId="1125" xr:uid="{EC8E7D60-EE07-4DAC-BFA8-9F77E372D62D}"/>
    <cellStyle name="Normal 7 3 3" xfId="1126" xr:uid="{3F0DF0E0-9079-4CB8-BB10-01A87B8F8174}"/>
    <cellStyle name="Normal 7 3 4" xfId="1127" xr:uid="{B09B7AA5-759C-4339-BCF9-E8C86BB0CBFD}"/>
    <cellStyle name="Normal 7 3 5" xfId="1128" xr:uid="{8BC2A1D7-E65B-4B0B-9350-6952FB57AAF5}"/>
    <cellStyle name="Normal 7 3 6" xfId="1129" xr:uid="{F59E61B6-95D1-41BE-982A-417DEFA6E43C}"/>
    <cellStyle name="Normal 7 3 7" xfId="1130" xr:uid="{BB502D15-4599-4ABC-B62A-28B4D19B7EF0}"/>
    <cellStyle name="Normal 7 3 8" xfId="1131" xr:uid="{60BF6572-DC1B-4BA9-AADB-827BCC2F8097}"/>
    <cellStyle name="Normal 7 4" xfId="1132" xr:uid="{12F83CCD-9AB2-4A8B-B0DC-69B4AA3A6255}"/>
    <cellStyle name="Normal 7 4 2" xfId="1133" xr:uid="{84C3D7F8-805D-4357-A0EF-AC26AE372ED0}"/>
    <cellStyle name="Normal 7 4 3" xfId="1134" xr:uid="{91FC5B30-AED8-4625-9BCB-7C907F818A61}"/>
    <cellStyle name="Normal 7 4 4" xfId="1135" xr:uid="{F2AA7174-182A-481B-BFB8-2B4275A8A60C}"/>
    <cellStyle name="Normal 7 4 5" xfId="1136" xr:uid="{19A7269F-B0BB-46A8-98B5-00C6B48241E9}"/>
    <cellStyle name="Normal 7 4 6" xfId="1137" xr:uid="{A74662E6-E4DC-4746-8998-6383AA3E55D2}"/>
    <cellStyle name="Normal 7 4 7" xfId="1138" xr:uid="{8EAEE45E-6B99-48CB-BC93-8647DADDEF0B}"/>
    <cellStyle name="Normal 7 4 8" xfId="1139" xr:uid="{1399EB22-6DC9-4E3F-BD23-ABB34868FC34}"/>
    <cellStyle name="Normal 7 5" xfId="1140" xr:uid="{3A65B732-2528-4B5D-BC36-B5AB3FF5B831}"/>
    <cellStyle name="Normal 7 5 2" xfId="1141" xr:uid="{8C792F8D-9ADA-452D-AFC7-9CB9E146E420}"/>
    <cellStyle name="Normal 7 5 3" xfId="1142" xr:uid="{EE68FB5B-D23D-4F22-A52C-8952BB21117F}"/>
    <cellStyle name="Normal 7 5 4" xfId="1143" xr:uid="{F1C3E34D-01A1-4261-AE29-86579DABA140}"/>
    <cellStyle name="Normal 7 5 5" xfId="1144" xr:uid="{5CF23635-0F49-492D-A631-0A1E1D037653}"/>
    <cellStyle name="Normal 7 5 6" xfId="1145" xr:uid="{149F690E-B729-4D56-AA68-7E00B1629ADD}"/>
    <cellStyle name="Normal 7 5 7" xfId="1146" xr:uid="{686DCFBE-315F-4B23-B133-B7C1F0DA30AD}"/>
    <cellStyle name="Normal 7 5 8" xfId="1147" xr:uid="{369EC059-75F0-4DD0-947A-06E29CE627D0}"/>
    <cellStyle name="Normal 7 6" xfId="1148" xr:uid="{8973E05C-E62F-4CF3-A44C-E4421C1C6575}"/>
    <cellStyle name="Normal 7 7" xfId="1149" xr:uid="{4F4F2D8E-4FBD-4085-9EB1-D9C20A072015}"/>
    <cellStyle name="Normal 7 8" xfId="1150" xr:uid="{07189039-F831-4EDD-89B3-8E538CC5CAB7}"/>
    <cellStyle name="Normal 7 9" xfId="1151" xr:uid="{9D7C4F87-4579-4C60-824A-6BFF4609B9D2}"/>
    <cellStyle name="Normal 8" xfId="1152" xr:uid="{D5F54F7A-F3A7-4D95-923A-FE48E17F7CA4}"/>
    <cellStyle name="Normal 8 10" xfId="1153" xr:uid="{4B1904DF-7822-482B-B125-381D5178AFA0}"/>
    <cellStyle name="Normal 8 11" xfId="1154" xr:uid="{DB6EA231-5D4A-4158-B0E9-87BA556FE0B4}"/>
    <cellStyle name="Normal 8 12" xfId="1155" xr:uid="{CD57F9A4-E828-4547-94D1-1B2D92539519}"/>
    <cellStyle name="Normal 8 2" xfId="1156" xr:uid="{1872C75C-06AC-408D-B41E-3A6A1BC0B353}"/>
    <cellStyle name="Normal 8 2 2" xfId="1157" xr:uid="{7E71ABA5-D39A-4835-A2E6-AFC5B7B8ED3E}"/>
    <cellStyle name="Normal 8 2 3" xfId="1158" xr:uid="{31B5F5C8-7340-4F7C-9567-DF56AB5F9607}"/>
    <cellStyle name="Normal 8 2 4" xfId="1159" xr:uid="{2B848F92-4ABE-4B46-A1C5-15BB7E04EB6C}"/>
    <cellStyle name="Normal 8 2 5" xfId="1160" xr:uid="{6837D60D-8B47-4B7F-9B1A-3B3564404869}"/>
    <cellStyle name="Normal 8 2 6" xfId="1161" xr:uid="{6EF740B8-7043-4CAC-B648-5D578F5F08D2}"/>
    <cellStyle name="Normal 8 2 7" xfId="1162" xr:uid="{77BEDEC1-6549-4F0E-B63F-84AF24E3BB70}"/>
    <cellStyle name="Normal 8 2 8" xfId="1163" xr:uid="{AEEDC72C-1AB2-40D5-9C80-7801F368F07B}"/>
    <cellStyle name="Normal 8 3" xfId="1164" xr:uid="{0208C9F3-D816-4B91-868A-E996AE44CBB7}"/>
    <cellStyle name="Normal 8 3 2" xfId="1165" xr:uid="{73491427-670E-4C4A-8AB2-E6B1A5D5BD65}"/>
    <cellStyle name="Normal 8 3 3" xfId="1166" xr:uid="{AAD6B52C-3E30-41AB-BD9E-18C1B8061E88}"/>
    <cellStyle name="Normal 8 3 4" xfId="1167" xr:uid="{D904696B-FFDE-403E-8A33-5F66E5F9BF7A}"/>
    <cellStyle name="Normal 8 3 5" xfId="1168" xr:uid="{0AA98E49-8DBE-4994-AE5A-E951040D9299}"/>
    <cellStyle name="Normal 8 3 6" xfId="1169" xr:uid="{1B37E4FF-AE3F-4D94-8AC9-9883B2D8A236}"/>
    <cellStyle name="Normal 8 3 7" xfId="1170" xr:uid="{7CA9DCB6-342C-4A1E-9D3E-5698FA0229B7}"/>
    <cellStyle name="Normal 8 3 8" xfId="1171" xr:uid="{6E715227-9608-4623-B2F0-BBA9347B5C39}"/>
    <cellStyle name="Normal 8 4" xfId="1172" xr:uid="{58283203-04C4-498E-916C-4FC8DF3277B2}"/>
    <cellStyle name="Normal 8 4 2" xfId="1173" xr:uid="{4A32EF11-8928-4181-A445-A4C1463BD25F}"/>
    <cellStyle name="Normal 8 4 3" xfId="1174" xr:uid="{2FFA3085-001B-4B60-BDD8-25DA76172F9E}"/>
    <cellStyle name="Normal 8 4 4" xfId="1175" xr:uid="{4D405088-3541-4E88-A963-9EA7748F6DE4}"/>
    <cellStyle name="Normal 8 4 5" xfId="1176" xr:uid="{3C9BE824-4482-498A-A35B-3970A8644502}"/>
    <cellStyle name="Normal 8 4 6" xfId="1177" xr:uid="{CC0B3DF5-33ED-4DFB-A76B-EDEF91DC3C98}"/>
    <cellStyle name="Normal 8 4 7" xfId="1178" xr:uid="{1633AD87-7CCD-4001-9F81-85C76F3BBCE3}"/>
    <cellStyle name="Normal 8 4 8" xfId="1179" xr:uid="{A183B704-442A-4E27-BFE2-175ACA3FD863}"/>
    <cellStyle name="Normal 8 5" xfId="1180" xr:uid="{D9A3D6D5-F4C7-4C1C-8F2F-0B925D8A36CA}"/>
    <cellStyle name="Normal 8 5 2" xfId="1181" xr:uid="{9F2C22AA-ABD1-4241-B851-FCF8716419CD}"/>
    <cellStyle name="Normal 8 5 3" xfId="1182" xr:uid="{0D5ED748-14B9-4FD1-AC1B-8B73E28710CE}"/>
    <cellStyle name="Normal 8 5 4" xfId="1183" xr:uid="{28E1C0A3-A797-4580-8278-9AC4DA2DEA33}"/>
    <cellStyle name="Normal 8 5 5" xfId="1184" xr:uid="{E4942590-A1A3-4547-9146-AA625FC40CFB}"/>
    <cellStyle name="Normal 8 5 6" xfId="1185" xr:uid="{045DCADB-416B-42DA-A829-0D01F6A67D2C}"/>
    <cellStyle name="Normal 8 5 7" xfId="1186" xr:uid="{0F0CA976-DB2E-45C3-80BF-35E8D71FFC82}"/>
    <cellStyle name="Normal 8 5 8" xfId="1187" xr:uid="{3F5C1772-9F76-4F51-822E-2F7B6C362A0E}"/>
    <cellStyle name="Normal 8 6" xfId="1188" xr:uid="{9BC04F69-E72B-405A-BC56-8CB107CCE0A4}"/>
    <cellStyle name="Normal 8 7" xfId="1189" xr:uid="{2B856C80-39CF-47D9-A603-915FB52F61BA}"/>
    <cellStyle name="Normal 8 8" xfId="1190" xr:uid="{C543B693-0A59-4F64-A204-6E9BD1F3F617}"/>
    <cellStyle name="Normal 8 9" xfId="1191" xr:uid="{7EE0FC95-0F5C-4D49-B608-6954E388F3E7}"/>
    <cellStyle name="Normal 9" xfId="1192" xr:uid="{9E124FA6-59DD-4AE0-9945-4F6D7A07798B}"/>
    <cellStyle name="Normal 9 2" xfId="1193" xr:uid="{BF9DD4D4-A872-4F15-A967-C74F4BAB3D83}"/>
    <cellStyle name="Normal 9 3" xfId="1194" xr:uid="{5275958E-66C3-4424-B9A7-0E0A59411092}"/>
    <cellStyle name="Normal 9 4" xfId="1195" xr:uid="{4BDA8126-661E-4009-B3DA-36AA468A50CB}"/>
    <cellStyle name="Normal 9 5" xfId="1196" xr:uid="{E92F5C0F-B778-4622-86B9-DA276B98285A}"/>
    <cellStyle name="Normal 9 6" xfId="1197" xr:uid="{39B63072-828D-4616-990B-45479C69C3E5}"/>
    <cellStyle name="Normal 9 7" xfId="1198" xr:uid="{848DF301-ACEC-4FC7-801B-9BA0D7925DBD}"/>
    <cellStyle name="Normal 9 8" xfId="1199" xr:uid="{C4715C59-DEA4-4891-AD0C-6CF8F4B05D6D}"/>
    <cellStyle name="Normal_1990 and 1998 CIP - Prices Quantity and CO2(MH)" xfId="6" xr:uid="{95E07D9A-26CE-4113-AE86-35F9CE7F2784}"/>
    <cellStyle name="Normal_2000balx" xfId="5" xr:uid="{BEC2C6DE-B3C7-4D38-8140-AD9D66A5E0F2}"/>
    <cellStyle name="Normale 2" xfId="1627" xr:uid="{5CB94B50-B8CA-48B4-A76B-9C812F48FF8B}"/>
    <cellStyle name="Normale_B2020" xfId="1200" xr:uid="{6FFD9FEB-21B2-4DC1-A2B0-83A130CBFA43}"/>
    <cellStyle name="Note 2 10" xfId="1201" xr:uid="{631275B0-E8C3-4482-B300-95737590B947}"/>
    <cellStyle name="Note 2 11" xfId="1202" xr:uid="{53C8D894-2003-4C94-8C09-CB339F971F2D}"/>
    <cellStyle name="Note 2 12" xfId="1203" xr:uid="{CDBCADBF-FB28-4BC8-83B1-2FED1D3111A5}"/>
    <cellStyle name="Note 2 13" xfId="1204" xr:uid="{B4C33B4E-9FB8-43E1-8C88-B821A5239A2D}"/>
    <cellStyle name="Note 2 14" xfId="1205" xr:uid="{326DC0AA-4358-4913-ACD6-1859A9FBC63C}"/>
    <cellStyle name="Note 2 15" xfId="1206" xr:uid="{4C2D37A0-9E14-47C2-B3FA-BF5F51823C32}"/>
    <cellStyle name="Note 2 2" xfId="1207" xr:uid="{7E6CBF03-528A-422D-8A16-6A7BB0E261D5}"/>
    <cellStyle name="Note 2 3" xfId="1208" xr:uid="{232F4ED6-0D0F-4ED2-8AB1-CF657D467615}"/>
    <cellStyle name="Note 2 4" xfId="1209" xr:uid="{D2FFBBB0-5309-4738-B514-6C756D54A6E9}"/>
    <cellStyle name="Note 2 5" xfId="1210" xr:uid="{63A3857B-49D4-4513-BF3E-D7084B2FB9A2}"/>
    <cellStyle name="Note 2 6" xfId="1211" xr:uid="{01FB0FE4-BBEA-4532-B0FD-74E9AB4F66EE}"/>
    <cellStyle name="Note 2 7" xfId="1212" xr:uid="{079442FE-13DD-4641-B374-3A4AACF225D0}"/>
    <cellStyle name="Note 2 8" xfId="1213" xr:uid="{C99E1A1E-972A-45B4-A1CA-DD15BD74E5FA}"/>
    <cellStyle name="Note 2 9" xfId="1214" xr:uid="{5DA6B038-6433-46AC-B14A-B7B254791DD9}"/>
    <cellStyle name="Note 3" xfId="1215" xr:uid="{8A1253BB-C3B4-4092-9200-7BFFDF12A0A8}"/>
    <cellStyle name="Note 4" xfId="1216" xr:uid="{285FD641-98A8-4FF5-B08F-650F61EF6F94}"/>
    <cellStyle name="Note 5" xfId="1217" xr:uid="{D6A158FB-B2CA-4419-B2B1-621277F7C8DF}"/>
    <cellStyle name="Note 6" xfId="1218" xr:uid="{8FD91275-9557-4C97-8B34-BE47CDEE7441}"/>
    <cellStyle name="Note 7" xfId="1219" xr:uid="{1DFD4BD8-3641-4686-A6B1-5CAD3B46DE7B}"/>
    <cellStyle name="Note 8" xfId="1220" xr:uid="{519C0DFD-250E-45A8-B4FB-6F711E45C6B5}"/>
    <cellStyle name="Output 2" xfId="1639" xr:uid="{D6DDF551-0C75-41E3-B436-8EFFF4D3969E}"/>
    <cellStyle name="Output 2 10" xfId="1221" xr:uid="{85D02B70-BAA6-4E49-9DA6-EB8F7968D5CE}"/>
    <cellStyle name="Output 2 2" xfId="1222" xr:uid="{88A3DF20-921C-4D75-A11E-7B0DE713F514}"/>
    <cellStyle name="Output 2 3" xfId="1223" xr:uid="{41599AD7-AE15-4CC9-9821-05AD498CED0E}"/>
    <cellStyle name="Output 2 4" xfId="1224" xr:uid="{E45149EC-21F0-492B-A524-8A195A4708ED}"/>
    <cellStyle name="Output 2 5" xfId="1225" xr:uid="{7EB55D40-8F08-4EB8-88DC-45551E85BAF3}"/>
    <cellStyle name="Output 2 6" xfId="1226" xr:uid="{B998AB6E-666C-42E9-8403-60B9455BC9BF}"/>
    <cellStyle name="Output 2 7" xfId="1227" xr:uid="{DD180919-695D-4B51-B4AD-40F116EDBE33}"/>
    <cellStyle name="Output 2 8" xfId="1228" xr:uid="{F14C3638-7EC6-4DE0-A9D0-9B5E74140CA9}"/>
    <cellStyle name="Output 2 9" xfId="1229" xr:uid="{ED2B83E3-4E7F-4B07-BCA9-E20D8AD619ED}"/>
    <cellStyle name="Output 3" xfId="1230" xr:uid="{E04E4EFC-2208-42D0-8A34-B4A19E6E5A97}"/>
    <cellStyle name="Percent" xfId="2" builtinId="5"/>
    <cellStyle name="Percent 10" xfId="1231" xr:uid="{BFAF6F81-D8D2-49E9-A359-AECDBE88E320}"/>
    <cellStyle name="Percent 10 2" xfId="1232" xr:uid="{E0D5B099-CA58-4217-BEA4-27253668B5B4}"/>
    <cellStyle name="Percent 10 3" xfId="1233" xr:uid="{90C532F5-C99D-45AB-A551-423C8B4E0901}"/>
    <cellStyle name="Percent 10 4" xfId="1234" xr:uid="{A8BD0561-5FEB-45F4-9A26-32269C3F8D35}"/>
    <cellStyle name="Percent 10 5" xfId="1235" xr:uid="{48C146FD-40D1-4897-83D2-BACAE7600470}"/>
    <cellStyle name="Percent 10 6" xfId="1236" xr:uid="{5A4080B7-9C06-4599-87AF-8B45E4BA655C}"/>
    <cellStyle name="Percent 10 7" xfId="1237" xr:uid="{25E30915-F7F6-4366-AA77-374235C16FFD}"/>
    <cellStyle name="Percent 10 8" xfId="1238" xr:uid="{65305112-A276-4C13-971C-1218EDE6512A}"/>
    <cellStyle name="Percent 11" xfId="1239" xr:uid="{57E3605E-E203-4193-BA7F-007C3B2BD43D}"/>
    <cellStyle name="Percent 11 2" xfId="1240" xr:uid="{4290FE93-C176-4C71-B507-2DEA44F4D22F}"/>
    <cellStyle name="Percent 11 3" xfId="1241" xr:uid="{315616CC-3665-4F46-A10B-ACCCD1770891}"/>
    <cellStyle name="Percent 11 4" xfId="1242" xr:uid="{EDDF9162-8AF5-49D1-BF1C-D391DE6851C0}"/>
    <cellStyle name="Percent 11 5" xfId="1243" xr:uid="{0B9F103C-4DAD-4506-B81B-6C98CE6CA54A}"/>
    <cellStyle name="Percent 11 6" xfId="1244" xr:uid="{0BC058D2-5574-44CC-9067-30BE80CF966C}"/>
    <cellStyle name="Percent 11 7" xfId="1245" xr:uid="{F010FB8A-75F5-422D-9335-767A876399F2}"/>
    <cellStyle name="Percent 11 8" xfId="1246" xr:uid="{5618519C-866A-421B-B5F2-58594B8F5C85}"/>
    <cellStyle name="Percent 12" xfId="1247" xr:uid="{739478BD-F18C-4345-912E-4EC85ABBA10F}"/>
    <cellStyle name="Percent 12 2" xfId="1248" xr:uid="{7605379B-728E-4546-8604-5BCB82C9F1AD}"/>
    <cellStyle name="Percent 12 3" xfId="1249" xr:uid="{62ACB344-34F4-4628-AE39-CC064800583B}"/>
    <cellStyle name="Percent 12 4" xfId="1250" xr:uid="{C2582B83-E51D-4664-A888-D743B11116F9}"/>
    <cellStyle name="Percent 12 5" xfId="1251" xr:uid="{B393D342-9FDB-4856-BCF3-F25D85708031}"/>
    <cellStyle name="Percent 12 6" xfId="1252" xr:uid="{B9CFFC1B-95E7-4977-8190-E9DC5C6B3D54}"/>
    <cellStyle name="Percent 12 7" xfId="1253" xr:uid="{61DFF4B0-6EE7-4B82-844A-21FDC5AB3298}"/>
    <cellStyle name="Percent 12 8" xfId="1254" xr:uid="{11C9A6E2-85E8-4D86-A0DE-61E29EE15EC1}"/>
    <cellStyle name="Percent 13" xfId="1255" xr:uid="{466C0398-9E10-4CA7-9747-69350BD93059}"/>
    <cellStyle name="Percent 13 2" xfId="1256" xr:uid="{AEFE7A41-F40D-4783-949D-BA7206245FC0}"/>
    <cellStyle name="Percent 13 3" xfId="1257" xr:uid="{A4901C0B-6284-41F8-989F-893C337EB3C2}"/>
    <cellStyle name="Percent 13 4" xfId="1258" xr:uid="{315BC8A1-380C-4C45-8161-3DAE6196753E}"/>
    <cellStyle name="Percent 13 5" xfId="1259" xr:uid="{02D22878-2EBB-46F6-9A3B-8A190A4980A0}"/>
    <cellStyle name="Percent 13 6" xfId="1260" xr:uid="{6564D4D9-77D0-4D86-8F63-7DCA5E10CD65}"/>
    <cellStyle name="Percent 13 7" xfId="1261" xr:uid="{6054139C-EFE0-4B61-ADAB-503294F6D8C9}"/>
    <cellStyle name="Percent 13 8" xfId="1262" xr:uid="{9F0C4662-DB17-45DA-8837-605D30E59E49}"/>
    <cellStyle name="Percent 14" xfId="1263" xr:uid="{8F316AA2-8C92-49DB-9FDF-17197753BC58}"/>
    <cellStyle name="Percent 14 2" xfId="1264" xr:uid="{3DBE54AC-494D-4335-B65E-EC08825D3E9D}"/>
    <cellStyle name="Percent 14 3" xfId="1265" xr:uid="{4E5F34F6-C934-409B-A770-EB407DD65E52}"/>
    <cellStyle name="Percent 14 4" xfId="1266" xr:uid="{B6E27D75-633A-4CA0-9294-7D35DC95C80C}"/>
    <cellStyle name="Percent 14 5" xfId="1267" xr:uid="{F4760A69-E93B-4E9D-A0AD-9494C5263E1D}"/>
    <cellStyle name="Percent 14 6" xfId="1268" xr:uid="{F293A342-79A0-463F-A656-3E47F169C973}"/>
    <cellStyle name="Percent 14 7" xfId="1269" xr:uid="{32625EA0-1C29-43C7-AF61-610736A64F81}"/>
    <cellStyle name="Percent 14 8" xfId="1270" xr:uid="{806862CB-2321-482D-AD5F-30C50BFF1D59}"/>
    <cellStyle name="Percent 15" xfId="1271" xr:uid="{CB9133EE-5A55-490A-AD05-BEF93F6ABAD3}"/>
    <cellStyle name="Percent 15 10" xfId="1272" xr:uid="{F34736B0-C21B-4530-B7FD-BC815C4720C7}"/>
    <cellStyle name="Percent 15 11" xfId="1273" xr:uid="{D174D9D8-3A6D-499A-B73A-0F7508A68749}"/>
    <cellStyle name="Percent 15 12" xfId="1274" xr:uid="{FF3FE5AF-E574-4C20-A5C1-126CF6ADC7DB}"/>
    <cellStyle name="Percent 15 13" xfId="1275" xr:uid="{CF9FF851-5154-4349-8346-78A4DBDD5567}"/>
    <cellStyle name="Percent 15 14" xfId="1276" xr:uid="{E26DB48F-44B2-474F-9159-BF804D555417}"/>
    <cellStyle name="Percent 15 2" xfId="1277" xr:uid="{E7B34A03-7844-44A6-BC4A-2416F841CD58}"/>
    <cellStyle name="Percent 15 2 2" xfId="1278" xr:uid="{D1783D62-ED5D-44B6-AA5F-0A347335D54A}"/>
    <cellStyle name="Percent 15 2 3" xfId="1279" xr:uid="{B61F3E4D-118C-4269-9A71-43D5B0F50C23}"/>
    <cellStyle name="Percent 15 2 4" xfId="1280" xr:uid="{F369BCD7-0561-4BF1-AABB-8667609D16FE}"/>
    <cellStyle name="Percent 15 2 5" xfId="1281" xr:uid="{A7590107-4D9C-4110-96C2-3C55009CAFD2}"/>
    <cellStyle name="Percent 15 2 6" xfId="1282" xr:uid="{53B92D1A-BBDC-4BDF-B46E-C95A8048E559}"/>
    <cellStyle name="Percent 15 2 7" xfId="1283" xr:uid="{AA652E69-29BC-4975-8BF7-20E9A23BE2AB}"/>
    <cellStyle name="Percent 15 3" xfId="1284" xr:uid="{AE4C0FCE-D3E2-4F8B-9F7B-5DBF6B5F2136}"/>
    <cellStyle name="Percent 15 4" xfId="1285" xr:uid="{EEC24BE5-ED0F-4799-B9C8-57BCF2702204}"/>
    <cellStyle name="Percent 15 5" xfId="1286" xr:uid="{7A3E9AF1-760F-43BB-B06D-6D9706D4B8DD}"/>
    <cellStyle name="Percent 15 6" xfId="1287" xr:uid="{BCA31B48-2836-4DDB-A1FE-66E859A7F552}"/>
    <cellStyle name="Percent 15 7" xfId="1288" xr:uid="{A70CA1DB-C52E-4613-9DF1-A7EDA16DAE08}"/>
    <cellStyle name="Percent 15 8" xfId="1289" xr:uid="{68BD9EE8-A24E-4279-A8BD-70FF0FF4D268}"/>
    <cellStyle name="Percent 15 9" xfId="1290" xr:uid="{9E7674CC-3095-40E2-BB49-A80BD3C871BA}"/>
    <cellStyle name="Percent 16 2" xfId="1291" xr:uid="{5F45FD92-11B3-409F-A1FD-BF1C952FCC9A}"/>
    <cellStyle name="Percent 16 3" xfId="1292" xr:uid="{11CA1D37-4177-452F-8052-58B1655FA1E3}"/>
    <cellStyle name="Percent 16 3 10" xfId="1293" xr:uid="{F9B1CD5D-9428-4D2D-B376-97A9F3E481FD}"/>
    <cellStyle name="Percent 16 3 11" xfId="1294" xr:uid="{4527C590-D9C2-4BA0-BCA8-DC43165ED3C6}"/>
    <cellStyle name="Percent 16 3 12" xfId="1295" xr:uid="{823B6483-2F18-47BD-BC67-625A0B54446C}"/>
    <cellStyle name="Percent 16 3 13" xfId="1296" xr:uid="{B28E0359-0FA8-4085-B22B-649AB7B91126}"/>
    <cellStyle name="Percent 16 3 14" xfId="1297" xr:uid="{8FDCDE9E-2372-45DC-903E-EC6D28F59EEF}"/>
    <cellStyle name="Percent 16 3 15" xfId="1298" xr:uid="{B79BFC55-DF6A-49E6-BAA8-508D56C97D9D}"/>
    <cellStyle name="Percent 16 3 16" xfId="1299" xr:uid="{A6BD1BA3-E788-4442-B780-CA0E5933A9D9}"/>
    <cellStyle name="Percent 16 3 17" xfId="1300" xr:uid="{303F9BF3-C0A2-4B3D-ADE7-57E234DE19E7}"/>
    <cellStyle name="Percent 16 3 2" xfId="1301" xr:uid="{62CB3110-3E45-4610-87ED-630162DA264E}"/>
    <cellStyle name="Percent 16 3 3" xfId="1302" xr:uid="{8FA0F71F-E68E-4C53-A498-5BECE6E72557}"/>
    <cellStyle name="Percent 16 3 4" xfId="1303" xr:uid="{F3F564A7-59E9-4357-B4A6-E4C4B36E66F1}"/>
    <cellStyle name="Percent 16 3 5" xfId="1304" xr:uid="{9B0B374E-7F42-44D0-B994-256C73CE8DAB}"/>
    <cellStyle name="Percent 16 3 6" xfId="1305" xr:uid="{C612B7A4-D27F-4DFD-81E0-54E00CAEE62E}"/>
    <cellStyle name="Percent 16 3 7" xfId="1306" xr:uid="{190D74AE-BB25-4BC7-8B68-6018B716B1EF}"/>
    <cellStyle name="Percent 16 3 8" xfId="1307" xr:uid="{15A96695-B911-4436-9E1E-FAB084739752}"/>
    <cellStyle name="Percent 16 3 9" xfId="1308" xr:uid="{A5D1B962-8ACD-426B-A846-0F9191F03EE1}"/>
    <cellStyle name="Percent 16 4" xfId="1309" xr:uid="{0A61A08C-3814-4982-BC9E-E6CE75AEEE1B}"/>
    <cellStyle name="Percent 16 4 10" xfId="1310" xr:uid="{58F74843-44C5-4017-B8DD-00EC27C8369C}"/>
    <cellStyle name="Percent 16 4 11" xfId="1311" xr:uid="{825247D2-DB1B-4207-BA4B-8CE743475B2B}"/>
    <cellStyle name="Percent 16 4 12" xfId="1312" xr:uid="{18A62058-1078-4A7D-889B-F97E7647B387}"/>
    <cellStyle name="Percent 16 4 13" xfId="1313" xr:uid="{49939F41-ED4E-4AB9-AEB7-12ACD4C75DE7}"/>
    <cellStyle name="Percent 16 4 14" xfId="1314" xr:uid="{9FDE568C-DD82-4F92-B9A1-BE7D4FBFE48B}"/>
    <cellStyle name="Percent 16 4 15" xfId="1315" xr:uid="{618542FA-A4BA-4939-B979-FBAA9FF60721}"/>
    <cellStyle name="Percent 16 4 16" xfId="1316" xr:uid="{A5C9A133-9095-4F64-824D-64DED9A8B2A0}"/>
    <cellStyle name="Percent 16 4 17" xfId="1317" xr:uid="{2BA1EE62-02D2-4136-A315-0912FEFD9FC5}"/>
    <cellStyle name="Percent 16 4 2" xfId="1318" xr:uid="{695C54BF-A47C-4163-BAD4-27DD02F2581E}"/>
    <cellStyle name="Percent 16 4 3" xfId="1319" xr:uid="{708B6843-CC0D-4E83-A9D9-3A78DD7B4C05}"/>
    <cellStyle name="Percent 16 4 4" xfId="1320" xr:uid="{ED287EE9-1FF9-4EDE-8F8E-8FD3993370DD}"/>
    <cellStyle name="Percent 16 4 5" xfId="1321" xr:uid="{0170669B-AE84-44EC-A400-EF762BCD106B}"/>
    <cellStyle name="Percent 16 4 6" xfId="1322" xr:uid="{8E556FD0-DD08-4A93-B4C4-5799D22B51A4}"/>
    <cellStyle name="Percent 16 4 7" xfId="1323" xr:uid="{9A050034-E674-48BD-96C0-5553060EC0E2}"/>
    <cellStyle name="Percent 16 4 8" xfId="1324" xr:uid="{B0B95CD9-0BDA-4A69-A07A-603EF9FA9889}"/>
    <cellStyle name="Percent 16 4 9" xfId="1325" xr:uid="{8C408492-2AF3-4DDD-A9DA-F296C5D64CC3}"/>
    <cellStyle name="Percent 16 5" xfId="1326" xr:uid="{74941625-FED9-4B07-82D1-9EC9E91B0270}"/>
    <cellStyle name="Percent 16 5 10" xfId="1327" xr:uid="{5297B904-0159-411E-9043-1BD73FA41944}"/>
    <cellStyle name="Percent 16 5 11" xfId="1328" xr:uid="{8D2A244B-D472-4917-85C6-3579DDC5DC9A}"/>
    <cellStyle name="Percent 16 5 12" xfId="1329" xr:uid="{09BAAC6B-BC76-4A1E-B4D7-176E884339FA}"/>
    <cellStyle name="Percent 16 5 13" xfId="1330" xr:uid="{31954CAF-DEA6-48E2-AAA5-415A31E16424}"/>
    <cellStyle name="Percent 16 5 14" xfId="1331" xr:uid="{15FCE8B8-7228-4A24-B960-B0ECFBF41F22}"/>
    <cellStyle name="Percent 16 5 15" xfId="1332" xr:uid="{B545B7CF-C78C-4BAB-9F73-9ABDE27FC5AD}"/>
    <cellStyle name="Percent 16 5 16" xfId="1333" xr:uid="{C02DD2BE-E5BA-4EAF-9D15-8588DFFD614D}"/>
    <cellStyle name="Percent 16 5 17" xfId="1334" xr:uid="{CD55696F-B017-4562-8EAD-A6E05C9A1910}"/>
    <cellStyle name="Percent 16 5 2" xfId="1335" xr:uid="{6BC6049B-D0BD-4A95-AE15-2875142457E9}"/>
    <cellStyle name="Percent 16 5 3" xfId="1336" xr:uid="{2E1A1DE3-3FD3-49B4-B9CC-18887E7FAD8C}"/>
    <cellStyle name="Percent 16 5 4" xfId="1337" xr:uid="{E5B61D90-CB5E-4880-8E53-90CEB9A2FDE6}"/>
    <cellStyle name="Percent 16 5 5" xfId="1338" xr:uid="{03E92E40-8361-4A3A-B715-7ED871CC8896}"/>
    <cellStyle name="Percent 16 5 6" xfId="1339" xr:uid="{1112C7EE-E06A-4D36-9CFD-34B446D2DB21}"/>
    <cellStyle name="Percent 16 5 7" xfId="1340" xr:uid="{EE4C698A-2E75-430A-97B0-38E18B4CFFFD}"/>
    <cellStyle name="Percent 16 5 8" xfId="1341" xr:uid="{B056A3A1-401B-4427-A613-12189904D3A3}"/>
    <cellStyle name="Percent 16 5 9" xfId="1342" xr:uid="{510F8268-E61E-49BF-8C9E-01EFF42E9136}"/>
    <cellStyle name="Percent 16 6" xfId="1343" xr:uid="{0571B3FA-14F6-451E-B07A-36DF76AA1436}"/>
    <cellStyle name="Percent 16 6 10" xfId="1344" xr:uid="{15B7FEC7-2015-468C-B341-FA5327B21CB9}"/>
    <cellStyle name="Percent 16 6 11" xfId="1345" xr:uid="{E096ADE2-A9E1-47C4-AC93-8EFF8D2D3E22}"/>
    <cellStyle name="Percent 16 6 12" xfId="1346" xr:uid="{9282F9EC-3D12-41AD-8759-DE074EDCBA7B}"/>
    <cellStyle name="Percent 16 6 13" xfId="1347" xr:uid="{A7E1DD33-EA78-4736-B9A8-F2E93CFCB4F2}"/>
    <cellStyle name="Percent 16 6 14" xfId="1348" xr:uid="{3A6E576D-8EDF-461B-A75D-C299A68FAC93}"/>
    <cellStyle name="Percent 16 6 15" xfId="1349" xr:uid="{E782A4C1-B954-40F5-9192-07AF64269B49}"/>
    <cellStyle name="Percent 16 6 16" xfId="1350" xr:uid="{AA06EE0F-13B7-4666-A64B-D7AA05C0402F}"/>
    <cellStyle name="Percent 16 6 17" xfId="1351" xr:uid="{4A3C0242-13B4-46D4-BEAC-0D86119E5335}"/>
    <cellStyle name="Percent 16 6 2" xfId="1352" xr:uid="{C2F003B3-4729-41F4-859E-3E6364F15FF2}"/>
    <cellStyle name="Percent 16 6 3" xfId="1353" xr:uid="{2C883FB1-61F8-4086-ABBC-446C58EC8802}"/>
    <cellStyle name="Percent 16 6 4" xfId="1354" xr:uid="{F5BD2CEC-A950-43E8-980B-AA859FF74076}"/>
    <cellStyle name="Percent 16 6 5" xfId="1355" xr:uid="{07B93F0A-B697-45CF-890F-DA74A41BB5B9}"/>
    <cellStyle name="Percent 16 6 6" xfId="1356" xr:uid="{8181F453-86C4-4185-92B8-56F2B4BC920A}"/>
    <cellStyle name="Percent 16 6 7" xfId="1357" xr:uid="{0A60B2E6-0ED6-409A-953E-7AD70A2F7931}"/>
    <cellStyle name="Percent 16 6 8" xfId="1358" xr:uid="{FE081197-F9BA-4C3D-92BA-A63A0955AB14}"/>
    <cellStyle name="Percent 16 6 9" xfId="1359" xr:uid="{9C9C7ECE-0675-4246-9527-4E24C5350B88}"/>
    <cellStyle name="Percent 16 7" xfId="1360" xr:uid="{A6B2178C-C1DF-4D9F-B8D5-0EBD05F057D8}"/>
    <cellStyle name="Percent 16 7 10" xfId="1361" xr:uid="{0D4B2E81-8605-471B-BBF9-7870A3E9A153}"/>
    <cellStyle name="Percent 16 7 11" xfId="1362" xr:uid="{2B877613-01F1-4D44-ADE3-B693411BBD41}"/>
    <cellStyle name="Percent 16 7 12" xfId="1363" xr:uid="{C340673F-31F0-4172-AC53-27C02165F0F0}"/>
    <cellStyle name="Percent 16 7 13" xfId="1364" xr:uid="{609E4478-5280-40A8-A4DB-042E8B0675B7}"/>
    <cellStyle name="Percent 16 7 14" xfId="1365" xr:uid="{3A252D63-EFB4-4ABC-A7B0-C434D6B58B1A}"/>
    <cellStyle name="Percent 16 7 15" xfId="1366" xr:uid="{659DCB25-9567-43A0-AFE5-13A06DB5095B}"/>
    <cellStyle name="Percent 16 7 16" xfId="1367" xr:uid="{7CF3E513-4908-4206-A9A1-ED5737745B3E}"/>
    <cellStyle name="Percent 16 7 17" xfId="1368" xr:uid="{7BE5CAD8-5A2A-49AA-83E5-6052AD0814FD}"/>
    <cellStyle name="Percent 16 7 2" xfId="1369" xr:uid="{E185679D-B67F-4161-9F34-84C01502D447}"/>
    <cellStyle name="Percent 16 7 3" xfId="1370" xr:uid="{25430920-6E41-44F9-914E-24DEA6E0E3B8}"/>
    <cellStyle name="Percent 16 7 4" xfId="1371" xr:uid="{7D4ACB72-4877-4BEE-92AE-1F9A850EEC71}"/>
    <cellStyle name="Percent 16 7 5" xfId="1372" xr:uid="{7FE12CA3-3510-43E8-A99E-E393E32EE34A}"/>
    <cellStyle name="Percent 16 7 6" xfId="1373" xr:uid="{BB98659E-C1E3-4350-8BF3-7EFD73636A9C}"/>
    <cellStyle name="Percent 16 7 7" xfId="1374" xr:uid="{07787A8F-60AA-470E-AC34-C849CC7B2CD6}"/>
    <cellStyle name="Percent 16 7 8" xfId="1375" xr:uid="{B043406E-11B7-4527-A2D0-8E432A079FA4}"/>
    <cellStyle name="Percent 16 7 9" xfId="1376" xr:uid="{C7EB77CE-5B1C-466C-9232-BF5C40D4EFA4}"/>
    <cellStyle name="Percent 16 8" xfId="1377" xr:uid="{378BCE19-56F0-466B-BACB-9BD17C3F1A16}"/>
    <cellStyle name="Percent 16 8 10" xfId="1378" xr:uid="{08ADD726-84C8-44E3-8E7F-DF3D0375D669}"/>
    <cellStyle name="Percent 16 8 11" xfId="1379" xr:uid="{EE1DAB6D-8B80-42E3-810E-853CE2393858}"/>
    <cellStyle name="Percent 16 8 12" xfId="1380" xr:uid="{BC294EB6-DCF6-49B3-8067-580F83D5B023}"/>
    <cellStyle name="Percent 16 8 13" xfId="1381" xr:uid="{0607B579-B710-4CD1-A42A-E5952930059E}"/>
    <cellStyle name="Percent 16 8 14" xfId="1382" xr:uid="{DA1CE5BE-FAF0-4D48-93CA-DAAF262BB3A6}"/>
    <cellStyle name="Percent 16 8 15" xfId="1383" xr:uid="{C4AA0948-1E0A-4932-9694-64D5CD22B81B}"/>
    <cellStyle name="Percent 16 8 16" xfId="1384" xr:uid="{8ABFA8C6-843D-4896-9A10-0258A9D3DFF4}"/>
    <cellStyle name="Percent 16 8 17" xfId="1385" xr:uid="{2B46C87F-2BBF-4947-A183-D3F71A3CC152}"/>
    <cellStyle name="Percent 16 8 2" xfId="1386" xr:uid="{5BE92149-DD03-49A1-8D9E-D9B79A0ADB68}"/>
    <cellStyle name="Percent 16 8 3" xfId="1387" xr:uid="{4BF15F94-3CB1-48D1-90E9-C63F05998498}"/>
    <cellStyle name="Percent 16 8 4" xfId="1388" xr:uid="{CAE10B7B-054F-4E8A-9421-D539E07C8713}"/>
    <cellStyle name="Percent 16 8 5" xfId="1389" xr:uid="{D6540571-5A61-4E03-A2AF-68A392FC1661}"/>
    <cellStyle name="Percent 16 8 6" xfId="1390" xr:uid="{B1A7390E-8194-4F82-ADC5-A9FF8F269E81}"/>
    <cellStyle name="Percent 16 8 7" xfId="1391" xr:uid="{BE257C00-027C-429F-8327-7626D74B816A}"/>
    <cellStyle name="Percent 16 8 8" xfId="1392" xr:uid="{47D6367F-0C7F-4C13-B447-96A3B3388EE5}"/>
    <cellStyle name="Percent 16 8 9" xfId="1393" xr:uid="{6D09AA44-3B0B-41AC-9803-5E8EA0021692}"/>
    <cellStyle name="Percent 16 9" xfId="1394" xr:uid="{F1A7D17E-ED9B-4CE8-9DD6-79F1A26658FC}"/>
    <cellStyle name="Percent 16 9 10" xfId="1395" xr:uid="{E2AED399-2DFC-4E5A-AB79-72E6462E75AD}"/>
    <cellStyle name="Percent 16 9 11" xfId="1396" xr:uid="{FE321AF4-760E-4010-8FCF-963A96F76ECD}"/>
    <cellStyle name="Percent 16 9 12" xfId="1397" xr:uid="{B28EECA6-947F-4BEE-BD6C-E8DA7D41C693}"/>
    <cellStyle name="Percent 16 9 13" xfId="1398" xr:uid="{C2F9AC59-ACDC-4FCD-B653-F54F64E74028}"/>
    <cellStyle name="Percent 16 9 14" xfId="1399" xr:uid="{5364FE94-714E-4E03-93DB-E317E761C6C0}"/>
    <cellStyle name="Percent 16 9 15" xfId="1400" xr:uid="{80EF26D4-CC48-4F92-B580-5BADA1F9989B}"/>
    <cellStyle name="Percent 16 9 16" xfId="1401" xr:uid="{8CFE73F8-758C-4149-9846-2C0F21453812}"/>
    <cellStyle name="Percent 16 9 17" xfId="1402" xr:uid="{7F438015-C7A6-4620-9BB8-AFEEEE8F4CC2}"/>
    <cellStyle name="Percent 16 9 2" xfId="1403" xr:uid="{187385FE-6037-46E9-9F35-1EF81444190A}"/>
    <cellStyle name="Percent 16 9 3" xfId="1404" xr:uid="{B90E339A-8C8B-4DFE-801E-B5546A7B2C20}"/>
    <cellStyle name="Percent 16 9 4" xfId="1405" xr:uid="{CBA62D29-0E3A-4EB9-849E-62BBB28AB9EE}"/>
    <cellStyle name="Percent 16 9 5" xfId="1406" xr:uid="{5442B488-0BBB-4E97-B607-EEBB440D61B7}"/>
    <cellStyle name="Percent 16 9 6" xfId="1407" xr:uid="{0A686FF8-3B44-48BF-892A-59A0B03F5C72}"/>
    <cellStyle name="Percent 16 9 7" xfId="1408" xr:uid="{DDFD136A-D379-4275-89D6-A9509B797933}"/>
    <cellStyle name="Percent 16 9 8" xfId="1409" xr:uid="{43C9716B-649D-48CE-A7BC-9AB86911F67F}"/>
    <cellStyle name="Percent 16 9 9" xfId="1410" xr:uid="{240255D3-35E2-4924-913F-0A9206A8968A}"/>
    <cellStyle name="Percent 2" xfId="9" xr:uid="{3C69E9BC-BEC3-4727-BDE5-88BAEFA36435}"/>
    <cellStyle name="Percent 2 10" xfId="1411" xr:uid="{2BD38EDA-2E22-4B55-8A99-093F1B3C459F}"/>
    <cellStyle name="Percent 2 10 2" xfId="1412" xr:uid="{65F9AC09-B79D-478B-9362-C1AC701BF27F}"/>
    <cellStyle name="Percent 2 10 3" xfId="1413" xr:uid="{8788A5FD-44EB-4DBD-992F-38305E96F189}"/>
    <cellStyle name="Percent 2 10 4" xfId="1414" xr:uid="{3A8EE7AF-7D15-47EC-A4FA-0D31F2385DBF}"/>
    <cellStyle name="Percent 2 10 5" xfId="1415" xr:uid="{37033A11-D681-48B3-842A-356E5E690560}"/>
    <cellStyle name="Percent 2 10 6" xfId="1416" xr:uid="{F7013931-A2B0-48BC-8D17-076D5D5389EE}"/>
    <cellStyle name="Percent 2 10 7" xfId="1417" xr:uid="{F4406EC9-D541-4810-99F9-46C80F1320C6}"/>
    <cellStyle name="Percent 2 10 8" xfId="1418" xr:uid="{888467AE-130C-4F4E-B792-62A188F09013}"/>
    <cellStyle name="Percent 2 11" xfId="1419" xr:uid="{385B69FE-BC49-422F-9BCA-AE292CB483D0}"/>
    <cellStyle name="Percent 2 11 2" xfId="1420" xr:uid="{BE4E6208-42FC-46C6-9564-BBF3D9A1F542}"/>
    <cellStyle name="Percent 2 11 3" xfId="1421" xr:uid="{84762259-0652-4FFA-8B06-F06C5BA3F5D4}"/>
    <cellStyle name="Percent 2 11 4" xfId="1422" xr:uid="{43648306-5BFC-4BC0-9C6A-619557E212CC}"/>
    <cellStyle name="Percent 2 11 5" xfId="1423" xr:uid="{B62CF30A-171E-4BE2-A1E3-7A38EF37DD42}"/>
    <cellStyle name="Percent 2 11 6" xfId="1424" xr:uid="{4D44CC57-067C-4CB9-ABE7-05555FAC991F}"/>
    <cellStyle name="Percent 2 11 7" xfId="1425" xr:uid="{02C21CC3-03C4-4F16-963F-F0FCF8719C9D}"/>
    <cellStyle name="Percent 2 11 8" xfId="1426" xr:uid="{0B1F3E92-E64D-4E74-88D9-A8F87F39B8C0}"/>
    <cellStyle name="Percent 2 12" xfId="1427" xr:uid="{0742BE0F-3288-49E2-AF4F-2D063194CC48}"/>
    <cellStyle name="Percent 2 13" xfId="1428" xr:uid="{119EA311-2546-4544-A9CA-791F7235CF07}"/>
    <cellStyle name="Percent 2 14" xfId="1429" xr:uid="{591416A4-D97F-4424-AA46-49422176CD8C}"/>
    <cellStyle name="Percent 2 15" xfId="1430" xr:uid="{419CC64A-C1A0-4561-9F69-14BA998C6FA2}"/>
    <cellStyle name="Percent 2 16" xfId="1431" xr:uid="{0C3D6186-2488-4230-A9A1-372C1E040C93}"/>
    <cellStyle name="Percent 2 17" xfId="1432" xr:uid="{F5CD0681-7902-4BC0-9AC0-FEAC34B03C1F}"/>
    <cellStyle name="Percent 2 18" xfId="1433" xr:uid="{0AA155F0-5ABC-41C5-8E55-9D547D7F884A}"/>
    <cellStyle name="Percent 2 2" xfId="1434" xr:uid="{69D0DEF3-2AA9-4F73-B123-84336D44FD98}"/>
    <cellStyle name="Percent 2 2 2" xfId="1435" xr:uid="{AE80FEAE-5A8B-4B82-9FF8-0FB418925F20}"/>
    <cellStyle name="Percent 2 2 3" xfId="1436" xr:uid="{732E3AEA-EE9C-4FC7-8C53-B408E15B6A6E}"/>
    <cellStyle name="Percent 2 2 4" xfId="1437" xr:uid="{CFE587B3-AF83-4C52-A2BF-E7D0D55AF2A7}"/>
    <cellStyle name="Percent 2 2 5" xfId="1438" xr:uid="{54DF3327-5318-4B32-81A8-7D6D08C3CE7B}"/>
    <cellStyle name="Percent 2 2 6" xfId="1439" xr:uid="{731B880A-59E0-405C-97BE-F3140B8A44F0}"/>
    <cellStyle name="Percent 2 2 7" xfId="1440" xr:uid="{3B3DFECC-1F5D-4271-B31C-D79D8F7DF341}"/>
    <cellStyle name="Percent 2 2 8" xfId="1441" xr:uid="{AEC6363D-F912-426E-8A26-1DFFF83654B9}"/>
    <cellStyle name="Percent 2 3" xfId="1442" xr:uid="{4499C88C-09F1-4207-A5F2-B4A1C1A4FAC0}"/>
    <cellStyle name="Percent 2 3 2" xfId="1443" xr:uid="{89ACE7B0-0A19-49BE-AABC-581BB37C2472}"/>
    <cellStyle name="Percent 2 3 3" xfId="1444" xr:uid="{4308EF08-D3F6-4AE6-9573-20814A03E439}"/>
    <cellStyle name="Percent 2 3 4" xfId="1445" xr:uid="{24A68829-C61D-49BA-867F-B3396B3DEC14}"/>
    <cellStyle name="Percent 2 3 5" xfId="1446" xr:uid="{79C0DB57-8F65-4B5A-9F3D-DE208DC89BFD}"/>
    <cellStyle name="Percent 2 3 6" xfId="1447" xr:uid="{7F53A36C-996D-4021-9DD7-EBCF2D59C64D}"/>
    <cellStyle name="Percent 2 3 7" xfId="1448" xr:uid="{F4EABDC3-19A3-447F-8D4C-7A61B24653EF}"/>
    <cellStyle name="Percent 2 3 8" xfId="1449" xr:uid="{B3BFF957-3016-4CA8-A772-88ADA92EFF76}"/>
    <cellStyle name="Percent 2 4" xfId="1450" xr:uid="{D243573A-33C4-42A4-9A22-CD177ED681F4}"/>
    <cellStyle name="Percent 2 4 2" xfId="1451" xr:uid="{6D4763CB-852F-448C-9727-64D3DD7752E2}"/>
    <cellStyle name="Percent 2 4 3" xfId="1452" xr:uid="{9DDE3640-B104-41CD-A643-07274ADAD495}"/>
    <cellStyle name="Percent 2 4 4" xfId="1453" xr:uid="{0584C29D-DB61-4D87-8896-D217D66863C6}"/>
    <cellStyle name="Percent 2 4 5" xfId="1454" xr:uid="{74FC05C1-9AA6-40FD-BB34-85426EEBA264}"/>
    <cellStyle name="Percent 2 4 6" xfId="1455" xr:uid="{0D4BF43B-2908-4FB4-886F-7E2A9DE52733}"/>
    <cellStyle name="Percent 2 4 7" xfId="1456" xr:uid="{FC062440-BD4E-4BD3-817B-EE6485FFDBE0}"/>
    <cellStyle name="Percent 2 4 8" xfId="1457" xr:uid="{E7B93D66-4BED-406B-82E7-4C5D7F561B01}"/>
    <cellStyle name="Percent 2 5" xfId="1458" xr:uid="{50F48A83-5DDE-4444-A0D8-4DB48EF08070}"/>
    <cellStyle name="Percent 2 5 2" xfId="1459" xr:uid="{F8C9066F-8971-4822-B742-FC766B793910}"/>
    <cellStyle name="Percent 2 5 3" xfId="1460" xr:uid="{18F9FE15-1A92-4FCC-AF8C-CA03DCA090E1}"/>
    <cellStyle name="Percent 2 5 4" xfId="1461" xr:uid="{A9EF066C-C83E-4E0A-B1B8-94E5C159582F}"/>
    <cellStyle name="Percent 2 5 5" xfId="1462" xr:uid="{7194F0AC-21F7-4103-81AB-5ACB5986EB43}"/>
    <cellStyle name="Percent 2 5 6" xfId="1463" xr:uid="{F3AC1F61-361C-430A-AF5E-6244656360C7}"/>
    <cellStyle name="Percent 2 5 7" xfId="1464" xr:uid="{2DB943F7-9190-46CD-852F-78F49EB36FEA}"/>
    <cellStyle name="Percent 2 5 8" xfId="1465" xr:uid="{237F64D9-5202-4E53-B841-1523E07C56D3}"/>
    <cellStyle name="Percent 2 6" xfId="1466" xr:uid="{FF918B5F-3737-42D3-9124-C7E0C8DA6555}"/>
    <cellStyle name="Percent 2 6 2" xfId="1467" xr:uid="{3B14DC7E-93D8-4303-89C0-4D691308E920}"/>
    <cellStyle name="Percent 2 6 3" xfId="1468" xr:uid="{EDB5D831-6B44-4128-998A-E9AAAA26F6CB}"/>
    <cellStyle name="Percent 2 6 4" xfId="1469" xr:uid="{3BA71506-8C2E-4FE1-B5A7-A5A8678C3961}"/>
    <cellStyle name="Percent 2 6 5" xfId="1470" xr:uid="{A9EA48D4-9939-490C-BA88-EEDFFAEA83AA}"/>
    <cellStyle name="Percent 2 6 6" xfId="1471" xr:uid="{EB9B216D-6831-47F5-BCAD-3E07822B81D9}"/>
    <cellStyle name="Percent 2 6 7" xfId="1472" xr:uid="{C61C0BF5-61C5-4720-B782-D26C045BF424}"/>
    <cellStyle name="Percent 2 6 8" xfId="1473" xr:uid="{FEDDB698-8972-4807-A9E1-FBA78851B85E}"/>
    <cellStyle name="Percent 2 7" xfId="1474" xr:uid="{70625A05-E962-4F60-B82D-B9623CD31733}"/>
    <cellStyle name="Percent 2 7 2" xfId="1475" xr:uid="{499467D6-97D1-4AEA-8007-919C83939FDB}"/>
    <cellStyle name="Percent 2 7 3" xfId="1476" xr:uid="{FC05A9D1-9EF7-4C1B-A83F-50CAF81F2780}"/>
    <cellStyle name="Percent 2 7 4" xfId="1477" xr:uid="{0197AED2-EC98-4269-9BFC-FDAC463E92DA}"/>
    <cellStyle name="Percent 2 7 5" xfId="1478" xr:uid="{F300EE3D-4DC0-4647-B3FC-BB5BE6F03FD8}"/>
    <cellStyle name="Percent 2 7 6" xfId="1479" xr:uid="{D0230934-E483-4DF5-975A-AA8281206158}"/>
    <cellStyle name="Percent 2 7 7" xfId="1480" xr:uid="{EA200B8F-B868-460C-82D6-46BDD15AB5EF}"/>
    <cellStyle name="Percent 2 7 8" xfId="1481" xr:uid="{B617104F-09D5-45A8-BC3E-C4A92C7EEFAC}"/>
    <cellStyle name="Percent 2 8" xfId="1482" xr:uid="{2B0F9292-5415-4470-A91E-99B154F2850A}"/>
    <cellStyle name="Percent 2 8 2" xfId="1483" xr:uid="{317854F1-5521-4946-B204-CADF709C07BB}"/>
    <cellStyle name="Percent 2 8 3" xfId="1484" xr:uid="{DBB07701-E507-4693-82CC-83D6BDA9C22B}"/>
    <cellStyle name="Percent 2 8 4" xfId="1485" xr:uid="{4D7B1687-570C-4194-9BFF-71AEA2EB4971}"/>
    <cellStyle name="Percent 2 8 5" xfId="1486" xr:uid="{7CD8393C-E7E1-4F4C-ACD9-DC9C88E430F1}"/>
    <cellStyle name="Percent 2 8 6" xfId="1487" xr:uid="{A3E6B7AC-CA47-4717-BAB5-F0B8CDE06596}"/>
    <cellStyle name="Percent 2 8 7" xfId="1488" xr:uid="{54E75B9D-471D-4DF5-9E6F-82B15C84C8B1}"/>
    <cellStyle name="Percent 2 8 8" xfId="1489" xr:uid="{60CA50A1-2310-451E-9A04-CCE8CCFAAAC1}"/>
    <cellStyle name="Percent 2 9" xfId="1490" xr:uid="{4E68A79D-35F3-4ECE-BE3D-26AD06FDC526}"/>
    <cellStyle name="Percent 2 9 2" xfId="1491" xr:uid="{480D3B2F-FA8E-47B1-A03F-BECE54A5DFA6}"/>
    <cellStyle name="Percent 2 9 3" xfId="1492" xr:uid="{04C7CABF-7867-4FB5-AE2C-A5EE71E5A86F}"/>
    <cellStyle name="Percent 2 9 4" xfId="1493" xr:uid="{E4440C9F-C593-4F0F-AAD7-C181A9541736}"/>
    <cellStyle name="Percent 2 9 5" xfId="1494" xr:uid="{085E2255-E690-46D4-A986-222A6ADF0562}"/>
    <cellStyle name="Percent 2 9 6" xfId="1495" xr:uid="{3E134E99-98E5-4D4E-8C58-469FD3151B5A}"/>
    <cellStyle name="Percent 2 9 7" xfId="1496" xr:uid="{2379ED86-15C8-45AF-B020-B9F9BFF9C7F5}"/>
    <cellStyle name="Percent 2 9 8" xfId="1497" xr:uid="{CDD25062-147C-41AD-9AFE-23191742991E}"/>
    <cellStyle name="Percent 3" xfId="1498" xr:uid="{154EABA5-3404-412F-A895-53895BB34A83}"/>
    <cellStyle name="Percent 3 2" xfId="1499" xr:uid="{22AAEE18-9319-4483-8AE0-D05A08721CD6}"/>
    <cellStyle name="Percent 3 3" xfId="1500" xr:uid="{BF8B62F0-40AA-4295-A80D-A2953DCB2993}"/>
    <cellStyle name="Percent 3 4" xfId="1501" xr:uid="{1BE446ED-87DA-4DFC-960D-6E5CF36C6887}"/>
    <cellStyle name="Percent 3 5" xfId="1502" xr:uid="{31D1D967-4886-46C6-B0F6-57E3B6BB0328}"/>
    <cellStyle name="Percent 3 6" xfId="1503" xr:uid="{A28694AE-96EA-4764-86E1-0B5CEB5FC84E}"/>
    <cellStyle name="Percent 3 7" xfId="1504" xr:uid="{F894D95A-516B-42B9-8BBD-D977BF8BA1E9}"/>
    <cellStyle name="Percent 3 8" xfId="1505" xr:uid="{A992A865-72A4-46B7-8D3C-95A0ACC3D9D5}"/>
    <cellStyle name="Percent 4" xfId="1506" xr:uid="{0E6FDDE2-E6E9-415C-8999-B969D7C927CC}"/>
    <cellStyle name="Percent 4 10" xfId="1507" xr:uid="{5CF7AA98-C9E0-4468-9A7F-7012290916DF}"/>
    <cellStyle name="Percent 4 11" xfId="1508" xr:uid="{DA70234E-36D4-46C5-A524-337B321C148D}"/>
    <cellStyle name="Percent 4 12" xfId="1509" xr:uid="{3E1D73A9-E9D4-4F07-8CBA-FD0A60B749B8}"/>
    <cellStyle name="Percent 4 13" xfId="1510" xr:uid="{1A3978BA-4F83-45B5-A707-DE68F50EBBCB}"/>
    <cellStyle name="Percent 4 2" xfId="1511" xr:uid="{2CF101BC-7CEE-4D50-BD73-D110666E5CE5}"/>
    <cellStyle name="Percent 4 2 2" xfId="1512" xr:uid="{5B8C84A4-75B2-442A-94E1-0F3D525003CE}"/>
    <cellStyle name="Percent 4 2 3" xfId="1513" xr:uid="{FC3C31E5-5E1C-48E8-A7FB-93E3370DBC2E}"/>
    <cellStyle name="Percent 4 2 4" xfId="1514" xr:uid="{11A701CC-2B52-41A7-903B-EF026630B017}"/>
    <cellStyle name="Percent 4 2 5" xfId="1515" xr:uid="{F7799615-BC4C-42A3-BC22-E10C16884AAA}"/>
    <cellStyle name="Percent 4 2 6" xfId="1516" xr:uid="{85A2549C-B90B-4242-9771-C9E063AA8BF4}"/>
    <cellStyle name="Percent 4 2 7" xfId="1517" xr:uid="{28357E02-8BAF-42A8-9B0C-8AE9F6BBB080}"/>
    <cellStyle name="Percent 4 2 8" xfId="1518" xr:uid="{1A4822C1-D6F8-4C32-A12B-E6513E74C5D7}"/>
    <cellStyle name="Percent 4 3" xfId="1519" xr:uid="{9B88D347-F244-40EC-8E7E-F5AACBA8068B}"/>
    <cellStyle name="Percent 4 3 2" xfId="1520" xr:uid="{75A4F5B6-744D-4378-9378-71D6189069E2}"/>
    <cellStyle name="Percent 4 3 3" xfId="1521" xr:uid="{2C114034-E227-4480-BC1F-6DC6276FE6B7}"/>
    <cellStyle name="Percent 4 3 4" xfId="1522" xr:uid="{88631221-E839-435A-9638-780C9671D454}"/>
    <cellStyle name="Percent 4 3 5" xfId="1523" xr:uid="{1DDE1EFD-B7DB-4452-BD20-B684AC0A0DAE}"/>
    <cellStyle name="Percent 4 3 6" xfId="1524" xr:uid="{EF68713A-99A5-41B3-B070-BC8D94EBD118}"/>
    <cellStyle name="Percent 4 3 7" xfId="1525" xr:uid="{AFF98FBE-6347-450E-88E5-105F66EDFA86}"/>
    <cellStyle name="Percent 4 3 8" xfId="1526" xr:uid="{51D4FD7B-086E-4075-BCD8-FEC9E2C1303E}"/>
    <cellStyle name="Percent 4 4" xfId="1527" xr:uid="{A6DA8378-4310-4949-83FD-5D35856BA8B7}"/>
    <cellStyle name="Percent 4 4 2" xfId="1528" xr:uid="{52EA823C-4B05-418C-AB3A-E21F0EB2B995}"/>
    <cellStyle name="Percent 4 4 3" xfId="1529" xr:uid="{BF4B2DAE-A763-4F7C-9BFF-A0ABF4697F0A}"/>
    <cellStyle name="Percent 4 4 4" xfId="1530" xr:uid="{C2F0251A-8916-40ED-B7ED-248E93282429}"/>
    <cellStyle name="Percent 4 4 5" xfId="1531" xr:uid="{7ADC486C-D4B5-478D-8625-4B6987114E54}"/>
    <cellStyle name="Percent 4 4 6" xfId="1532" xr:uid="{64A99398-A9C8-4CA3-A3E5-45EB45618DE5}"/>
    <cellStyle name="Percent 4 4 7" xfId="1533" xr:uid="{585BBD46-1066-4F2E-B422-ABA69352D45B}"/>
    <cellStyle name="Percent 4 4 8" xfId="1534" xr:uid="{1538A02D-BE38-461D-8522-826F6BC185B2}"/>
    <cellStyle name="Percent 4 5" xfId="1535" xr:uid="{DE75BDA9-7498-47AB-BEAA-1D05D167FC22}"/>
    <cellStyle name="Percent 4 5 2" xfId="1536" xr:uid="{5C26AD36-BFB6-4D4E-962F-C5E923E0CC62}"/>
    <cellStyle name="Percent 4 5 3" xfId="1537" xr:uid="{7FA514EC-AED6-4BE5-8CA3-FA0500376A45}"/>
    <cellStyle name="Percent 4 5 4" xfId="1538" xr:uid="{87B297A9-0C97-472A-B4A3-B820BFA7B288}"/>
    <cellStyle name="Percent 4 5 5" xfId="1539" xr:uid="{BDEF085B-516D-410E-8BEF-F18867F023FD}"/>
    <cellStyle name="Percent 4 5 6" xfId="1540" xr:uid="{E9DF29B0-49DD-407D-A669-8A1F68B47FA8}"/>
    <cellStyle name="Percent 4 5 7" xfId="1541" xr:uid="{407DDB0B-B7DD-4A67-8ACD-07EC3ACD5AD3}"/>
    <cellStyle name="Percent 4 5 8" xfId="1542" xr:uid="{3774704E-5251-4C15-91FB-181E8D7CAC3F}"/>
    <cellStyle name="Percent 4 6" xfId="1543" xr:uid="{68440106-BF52-41C7-A4B4-BF28373AB06D}"/>
    <cellStyle name="Percent 4 6 2" xfId="1544" xr:uid="{8330B771-6BA1-469D-B6E8-2E33F55062B8}"/>
    <cellStyle name="Percent 4 6 3" xfId="1545" xr:uid="{F3A60BF8-1931-4D02-8673-97FB6B4BBF5C}"/>
    <cellStyle name="Percent 4 6 4" xfId="1546" xr:uid="{6F3D1506-A92B-40B8-B923-639B5FE9CFCC}"/>
    <cellStyle name="Percent 4 6 5" xfId="1547" xr:uid="{4699B27C-F130-4317-BB76-937B8271D2DE}"/>
    <cellStyle name="Percent 4 6 6" xfId="1548" xr:uid="{36B64DFF-8317-46F8-8506-ECF8B66EA466}"/>
    <cellStyle name="Percent 4 6 7" xfId="1549" xr:uid="{0C941225-8604-40F9-9935-9A6E9C3132D0}"/>
    <cellStyle name="Percent 4 6 8" xfId="1550" xr:uid="{2C2F2443-2CC4-414B-B3CB-84AFD83AF943}"/>
    <cellStyle name="Percent 4 7" xfId="1551" xr:uid="{1C3E0D84-F4E0-4F53-ADCD-CA3859DD082F}"/>
    <cellStyle name="Percent 4 8" xfId="1552" xr:uid="{F69B9432-2871-48E6-8F19-A66B441D8224}"/>
    <cellStyle name="Percent 4 9" xfId="1553" xr:uid="{8DE57BB3-1C2D-44FC-BDF1-06F093EB30E1}"/>
    <cellStyle name="Percent 5" xfId="1554" xr:uid="{7E59A1E3-0661-47C4-9B36-788871285115}"/>
    <cellStyle name="Percent 5 2" xfId="1555" xr:uid="{811655FE-49C9-476B-A8CB-098A095F6F0D}"/>
    <cellStyle name="Percent 5 3" xfId="1556" xr:uid="{CF264809-C5E9-4A63-AF16-F0C866AEB9A6}"/>
    <cellStyle name="Percent 5 4" xfId="1557" xr:uid="{F1138AE7-8C37-449D-880A-C6B58FFBA473}"/>
    <cellStyle name="Percent 5 5" xfId="1558" xr:uid="{18D34BB0-1685-4B47-8670-AEF466154348}"/>
    <cellStyle name="Percent 5 6" xfId="1559" xr:uid="{173EE732-BC6A-4B24-8AD3-39C59A2C8CF6}"/>
    <cellStyle name="Percent 5 7" xfId="1560" xr:uid="{B306585D-A5DC-4E8D-B23D-546B13EC5857}"/>
    <cellStyle name="Percent 5 8" xfId="1561" xr:uid="{636DFCBC-3758-446C-9D56-BC97046BE4DA}"/>
    <cellStyle name="Percent 6" xfId="1562" xr:uid="{499E8B7E-C486-48EE-9810-6A27981B7969}"/>
    <cellStyle name="Percent 6 2" xfId="1563" xr:uid="{85D0C8B2-1DC1-48CB-8999-E8256CB4C52F}"/>
    <cellStyle name="Percent 6 3" xfId="1564" xr:uid="{DE068C2A-4A3D-4A2D-884D-925370282C29}"/>
    <cellStyle name="Percent 6 4" xfId="1565" xr:uid="{CC9D38AB-A1FB-4F76-BB8B-7D21966D5E98}"/>
    <cellStyle name="Percent 6 5" xfId="1566" xr:uid="{1F84FF06-3C92-42B6-9767-CE6CBD107580}"/>
    <cellStyle name="Percent 6 6" xfId="1567" xr:uid="{528920D1-0E6C-41E3-AB6E-20575E90E818}"/>
    <cellStyle name="Percent 6 7" xfId="1568" xr:uid="{5E7F64B9-68F3-4E3A-8B4B-0E7A467643D3}"/>
    <cellStyle name="Percent 6 8" xfId="1569" xr:uid="{0E3E25BB-D08A-4395-8022-B22C6538BF24}"/>
    <cellStyle name="Percent 7" xfId="1570" xr:uid="{26715231-908E-48C6-A5DA-27BABBCC2477}"/>
    <cellStyle name="Percent 7 2" xfId="1571" xr:uid="{C7A69ECC-F700-43DD-B444-DA5C442E3203}"/>
    <cellStyle name="Percent 7 3" xfId="1572" xr:uid="{B67C0F7A-8F72-4BAD-A5AB-C7B37A93B72A}"/>
    <cellStyle name="Percent 7 4" xfId="1573" xr:uid="{E1DAFC68-75B6-4CF8-9DAF-64C29215B188}"/>
    <cellStyle name="Percent 7 5" xfId="1574" xr:uid="{183D34F7-E357-470E-9AEB-91DAEFFB183F}"/>
    <cellStyle name="Percent 7 6" xfId="1575" xr:uid="{A1F73712-B2C0-4D35-9087-9F8A562C0F31}"/>
    <cellStyle name="Percent 7 7" xfId="1576" xr:uid="{367D7689-0C21-4A3E-AA91-8EE351C4FBA0}"/>
    <cellStyle name="Percent 7 8" xfId="1577" xr:uid="{6DBBA557-19AB-42C5-AAE8-77FA4ED6FCCC}"/>
    <cellStyle name="Percent 8" xfId="1578" xr:uid="{37F3AA06-4FFC-4A7F-9681-C51CF7EB1615}"/>
    <cellStyle name="Percent 8 2" xfId="1579" xr:uid="{CB7E10A2-1DEC-4ABA-9D97-A648A6337B15}"/>
    <cellStyle name="Percent 8 3" xfId="1580" xr:uid="{A47DA778-5C57-4205-9D67-C5CD66DC8275}"/>
    <cellStyle name="Percent 8 4" xfId="1581" xr:uid="{857DA859-7F89-4240-915E-41975BD63078}"/>
    <cellStyle name="Percent 8 5" xfId="1582" xr:uid="{F671CEFC-8D6B-4878-9AC2-F831553A71BB}"/>
    <cellStyle name="Percent 8 6" xfId="1583" xr:uid="{64A25E48-DE83-4B60-9AC2-FE9B389DA83B}"/>
    <cellStyle name="Percent 8 7" xfId="1584" xr:uid="{F1736B8B-B654-464D-9EB8-1B02BA021071}"/>
    <cellStyle name="Percent 8 8" xfId="1585" xr:uid="{032DC2A1-664B-40BF-A462-18BF7F9CD993}"/>
    <cellStyle name="Percent 9" xfId="1586" xr:uid="{E6D4A8FA-7BDA-4DC3-B2C0-2C6B48E4784E}"/>
    <cellStyle name="Percent 9 2" xfId="1587" xr:uid="{03894D22-02CA-42C9-ABA3-FDD74A3E9307}"/>
    <cellStyle name="Percent 9 3" xfId="1588" xr:uid="{C846E655-FC62-4B47-AF08-DB4BE02E5FEC}"/>
    <cellStyle name="Percent 9 4" xfId="1589" xr:uid="{7E390829-D72A-4092-A873-F586F42ED2A7}"/>
    <cellStyle name="Percent 9 5" xfId="1590" xr:uid="{F516074B-190D-46C7-89AC-E594F9A93D7A}"/>
    <cellStyle name="Percent 9 6" xfId="1591" xr:uid="{EC33EB4E-C27D-4268-89DD-3A8E37A94740}"/>
    <cellStyle name="Percent 9 7" xfId="1592" xr:uid="{51EE6835-E580-4B22-9319-54EEE06F725B}"/>
    <cellStyle name="Percent 9 8" xfId="1593" xr:uid="{00E5C137-5BE3-45AF-AA51-5A6222174766}"/>
    <cellStyle name="Title 2" xfId="1630" xr:uid="{66A74FFC-3094-4661-B4CC-44CE7B0B1292}"/>
    <cellStyle name="Title 2 10" xfId="1594" xr:uid="{19F2E158-1A1B-45A6-9D5A-4F1CE35F30C5}"/>
    <cellStyle name="Title 2 2" xfId="1595" xr:uid="{999FC120-CEE6-497D-A228-6301C6845893}"/>
    <cellStyle name="Title 2 3" xfId="1596" xr:uid="{071A2851-8579-49E7-B2BC-F661AAFE5981}"/>
    <cellStyle name="Title 2 4" xfId="1597" xr:uid="{54C1BB59-EC19-4FB5-86E6-5D871D298E33}"/>
    <cellStyle name="Title 2 5" xfId="1598" xr:uid="{E176BC67-9941-40B8-90D1-1B3D3CA43C7D}"/>
    <cellStyle name="Title 2 6" xfId="1599" xr:uid="{5FE5DF3C-BE75-4581-B5CE-7F1657CE315A}"/>
    <cellStyle name="Title 2 7" xfId="1600" xr:uid="{5BAECBDC-7FAD-4DD0-AB3F-1D6C70DB0E98}"/>
    <cellStyle name="Title 2 8" xfId="1601" xr:uid="{5B932B25-2F45-4A35-A598-EDC17127B2FA}"/>
    <cellStyle name="Title 2 9" xfId="1602" xr:uid="{937E1830-B6D9-4BB1-9ED3-A3FE29287B02}"/>
    <cellStyle name="Title 3" xfId="1603" xr:uid="{488E3625-AFDD-4E7D-8A88-ABC3D0272005}"/>
    <cellStyle name="Total 2" xfId="1645" xr:uid="{F975C03B-41EF-4A84-9C50-FFDC5CCE4054}"/>
    <cellStyle name="Total 2 10" xfId="1604" xr:uid="{4A58A3FC-F065-41A2-8DD9-A8AACDD433FB}"/>
    <cellStyle name="Total 2 2" xfId="1605" xr:uid="{FF864EA3-3246-4492-919F-CEE9149823F6}"/>
    <cellStyle name="Total 2 3" xfId="1606" xr:uid="{1BF08C48-F41E-4660-8028-6A0A5E7F819C}"/>
    <cellStyle name="Total 2 4" xfId="1607" xr:uid="{EB083E23-DC77-4D21-A62B-D262B2DB312F}"/>
    <cellStyle name="Total 2 5" xfId="1608" xr:uid="{03EDB150-3F3E-4A66-9BDD-A98EF034FDAD}"/>
    <cellStyle name="Total 2 6" xfId="1609" xr:uid="{929867E4-027E-4C75-A714-7483BABD7DC2}"/>
    <cellStyle name="Total 2 7" xfId="1610" xr:uid="{7480F6B9-ADEE-432B-9818-DD70BFD61035}"/>
    <cellStyle name="Total 2 8" xfId="1611" xr:uid="{118EC15F-10B1-48B4-A594-02D40D7FDC41}"/>
    <cellStyle name="Total 2 9" xfId="1612" xr:uid="{9B720047-BD09-4CB5-921F-C923E94AE643}"/>
    <cellStyle name="Total 3" xfId="1613" xr:uid="{E0561EF2-B1F3-495B-8C7A-11CF23F75F0A}"/>
    <cellStyle name="Warning Text 2" xfId="1643" xr:uid="{1FF6DB59-A039-4D16-BD52-D5BEB7EDBAAA}"/>
    <cellStyle name="Warning Text 2 10" xfId="1614" xr:uid="{617F0164-99B7-46E7-A4B4-3E5BC34DE7DB}"/>
    <cellStyle name="Warning Text 2 2" xfId="1615" xr:uid="{B71B7D18-2880-4EF5-8807-A337FCEF3003}"/>
    <cellStyle name="Warning Text 2 3" xfId="1616" xr:uid="{331FF7F5-64FB-4926-8FB6-3A1E53BD14F9}"/>
    <cellStyle name="Warning Text 2 4" xfId="1617" xr:uid="{E9C2512D-A35B-43EF-A70C-23E123A5ED16}"/>
    <cellStyle name="Warning Text 2 5" xfId="1618" xr:uid="{73A43928-4A0B-4E9A-9680-24A334B587DE}"/>
    <cellStyle name="Warning Text 2 6" xfId="1619" xr:uid="{7E36E49F-9F0F-4542-BDB9-3F71BC902099}"/>
    <cellStyle name="Warning Text 2 7" xfId="1620" xr:uid="{A444867D-1626-4272-BF96-9184EF5181DE}"/>
    <cellStyle name="Warning Text 2 8" xfId="1621" xr:uid="{28C17A92-B62E-402A-AB28-57446CD540D6}"/>
    <cellStyle name="Warning Text 2 9" xfId="1622" xr:uid="{E7AEF24C-28EF-4850-BF6D-44FADCCE3C9C}"/>
    <cellStyle name="Warning Text 3" xfId="1623" xr:uid="{E1ED7F10-2DDB-4E24-9359-10672DABAD9B}"/>
    <cellStyle name="已访问的超链接" xfId="1624" xr:uid="{8774D10E-EF45-46A1-BC7A-47AF777F3DB4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" id="{C306D037-5865-4607-AADD-ADB33C688ACF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7" dT="2024-05-22T13:38:37.85" personId="{C306D037-5865-4607-AADD-ADB33C688ACF}" id="{BD5A9F51-A744-45B5-93C6-1792A49D4216}">
    <text>5 PJ from CHP in power sector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62B-02C7-4060-A9F5-1DCC6C62AFDC}">
  <sheetPr codeName="Sheet10"/>
  <dimension ref="A1:Z99"/>
  <sheetViews>
    <sheetView showGridLines="0" topLeftCell="A16" zoomScaleNormal="100" workbookViewId="0">
      <selection activeCell="B24" sqref="B24:D2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505" t="s">
        <v>306</v>
      </c>
      <c r="B16" s="505"/>
      <c r="C16" s="505"/>
      <c r="D16" s="50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307</v>
      </c>
      <c r="B19" s="504" t="s">
        <v>318</v>
      </c>
      <c r="C19" s="504"/>
      <c r="D19" s="50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308</v>
      </c>
      <c r="B20" s="504" t="s">
        <v>319</v>
      </c>
      <c r="C20" s="504"/>
      <c r="D20" s="50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309</v>
      </c>
      <c r="B21" s="69" t="s">
        <v>320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310</v>
      </c>
      <c r="B23" s="504" t="s">
        <v>321</v>
      </c>
      <c r="C23" s="504"/>
      <c r="D23" s="50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504" t="s">
        <v>589</v>
      </c>
      <c r="C24" s="504"/>
      <c r="D24" s="504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311</v>
      </c>
      <c r="B26" s="504" t="s">
        <v>589</v>
      </c>
      <c r="C26" s="504"/>
      <c r="D26" s="50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312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313</v>
      </c>
      <c r="B30" s="506" t="s">
        <v>314</v>
      </c>
      <c r="C30" s="504"/>
      <c r="D30" s="50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315</v>
      </c>
      <c r="B31" s="504" t="s">
        <v>316</v>
      </c>
      <c r="C31" s="504"/>
      <c r="D31" s="50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317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4:D24"/>
  </mergeCells>
  <hyperlinks>
    <hyperlink ref="B30" r:id="rId1" xr:uid="{8DCC8E78-0A83-4A14-808A-E694AAE78312}"/>
    <hyperlink ref="B32" r:id="rId2" xr:uid="{17E69339-D539-406E-856F-006D8E281EC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I23" sqref="I23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D34-EFD7-45C2-8418-665049CA220F}">
  <sheetPr codeName="Sheet4"/>
  <dimension ref="B2:P89"/>
  <sheetViews>
    <sheetView topLeftCell="A6" zoomScaleNormal="100" workbookViewId="0">
      <selection activeCell="D27" sqref="D27:D36"/>
    </sheetView>
  </sheetViews>
  <sheetFormatPr defaultRowHeight="14.5"/>
  <cols>
    <col min="3" max="3" width="10.7265625" bestFit="1" customWidth="1"/>
    <col min="4" max="4" width="12" bestFit="1" customWidth="1"/>
    <col min="5" max="5" width="50.1796875" bestFit="1" customWidth="1"/>
  </cols>
  <sheetData>
    <row r="2" spans="2:12">
      <c r="B2" s="18" t="s">
        <v>155</v>
      </c>
      <c r="C2" s="18"/>
      <c r="D2" s="19"/>
      <c r="E2" s="19"/>
      <c r="F2" s="19"/>
      <c r="G2" s="19"/>
      <c r="H2" s="19"/>
      <c r="I2" s="19"/>
      <c r="J2" s="19"/>
    </row>
    <row r="3" spans="2:12" ht="15" thickBot="1">
      <c r="B3" s="20" t="s">
        <v>156</v>
      </c>
      <c r="C3" s="20" t="s">
        <v>203</v>
      </c>
      <c r="D3" s="20" t="s">
        <v>157</v>
      </c>
      <c r="E3" s="20" t="s">
        <v>158</v>
      </c>
      <c r="F3" s="20" t="s">
        <v>159</v>
      </c>
      <c r="G3" s="20" t="s">
        <v>160</v>
      </c>
      <c r="H3" s="20" t="s">
        <v>161</v>
      </c>
      <c r="I3" s="20" t="s">
        <v>162</v>
      </c>
      <c r="J3" s="20" t="s">
        <v>163</v>
      </c>
    </row>
    <row r="4" spans="2:12">
      <c r="B4" s="22" t="s">
        <v>209</v>
      </c>
      <c r="C4" s="22"/>
      <c r="D4" s="21"/>
      <c r="E4" s="22"/>
      <c r="F4" s="22"/>
      <c r="G4" s="22"/>
      <c r="H4" s="22"/>
      <c r="I4" s="22"/>
      <c r="J4" s="22"/>
    </row>
    <row r="5" spans="2:12">
      <c r="B5" s="23" t="s">
        <v>164</v>
      </c>
      <c r="C5" s="24" t="str">
        <f>_xlfn.TEXTJOIN(",",TRUE,IF(LEFT(Regions!$C$3,1)&lt;&gt;"*",Regions!$C$3,""),IF(LEFT(Regions!$D$3,1)&lt;&gt;"*",Regions!$D$3,""))</f>
        <v>IE,National</v>
      </c>
      <c r="D5" s="24" t="s">
        <v>199</v>
      </c>
      <c r="E5" s="24" t="s">
        <v>200</v>
      </c>
      <c r="F5" s="23" t="s">
        <v>166</v>
      </c>
      <c r="G5" s="23" t="s">
        <v>351</v>
      </c>
      <c r="H5" s="23"/>
      <c r="I5" s="23"/>
      <c r="J5" s="23"/>
    </row>
    <row r="6" spans="2:12">
      <c r="B6" s="23" t="s">
        <v>488</v>
      </c>
      <c r="C6" s="24" t="str">
        <f>_xlfn.TEXTJOIN(",",TRUE,IF(LEFT(Regions!$C$3,1)&lt;&gt;"*",Regions!$C$3,""),IF(LEFT(Regions!$D$3,1)&lt;&gt;"*",Regions!$D$3,""))</f>
        <v>IE,National</v>
      </c>
      <c r="D6" s="24" t="s">
        <v>197</v>
      </c>
      <c r="E6" s="24" t="s">
        <v>198</v>
      </c>
      <c r="F6" s="23" t="s">
        <v>166</v>
      </c>
      <c r="G6" s="23" t="s">
        <v>351</v>
      </c>
      <c r="H6" s="23"/>
      <c r="I6" s="23"/>
      <c r="J6" s="23"/>
      <c r="L6" s="39"/>
    </row>
    <row r="7" spans="2:12">
      <c r="B7" s="23" t="s">
        <v>164</v>
      </c>
      <c r="C7" s="24" t="str">
        <f>_xlfn.TEXTJOIN(",",TRUE,IF(LEFT(Regions!$C$3,1)&lt;&gt;"*",Regions!$C$3,""),IF(LEFT(Regions!$D$3,1)&lt;&gt;"*",Regions!$D$3,""))</f>
        <v>IE,National</v>
      </c>
      <c r="D7" s="24" t="s">
        <v>459</v>
      </c>
      <c r="E7" s="24" t="s">
        <v>489</v>
      </c>
      <c r="F7" s="23" t="s">
        <v>166</v>
      </c>
      <c r="G7" s="23" t="s">
        <v>351</v>
      </c>
      <c r="H7" s="23"/>
      <c r="I7" s="23"/>
      <c r="J7" s="23"/>
    </row>
    <row r="8" spans="2:12">
      <c r="B8" s="51" t="s">
        <v>164</v>
      </c>
      <c r="C8" s="51" t="str">
        <f>_xlfn.TEXTJOIN(",",TRUE,IF(LEFT(Regions!$C$3,1)&lt;&gt;"*",Regions!$C$3,""),IF(LEFT(Regions!$D$3,1)&lt;&gt;"*",Regions!$D$3,""))</f>
        <v>IE,National</v>
      </c>
      <c r="D8" s="51" t="s">
        <v>298</v>
      </c>
      <c r="E8" s="51" t="s">
        <v>297</v>
      </c>
      <c r="F8" s="51" t="s">
        <v>166</v>
      </c>
      <c r="G8" s="23" t="s">
        <v>351</v>
      </c>
      <c r="H8" s="51"/>
      <c r="I8" s="51"/>
      <c r="J8" s="51"/>
    </row>
    <row r="9" spans="2:12">
      <c r="B9" s="23" t="s">
        <v>488</v>
      </c>
      <c r="C9" s="24" t="str">
        <f>_xlfn.TEXTJOIN(",",TRUE,IF(LEFT(Regions!$C$3,1)&lt;&gt;"*",Regions!$C$3,""),IF(LEFT(Regions!$D$3,1)&lt;&gt;"*",Regions!$D$3,""))</f>
        <v>IE,National</v>
      </c>
      <c r="D9" s="24" t="s">
        <v>247</v>
      </c>
      <c r="E9" s="24" t="s">
        <v>254</v>
      </c>
      <c r="F9" s="23" t="s">
        <v>166</v>
      </c>
      <c r="G9" s="23" t="s">
        <v>351</v>
      </c>
      <c r="H9" s="23"/>
      <c r="I9" s="23"/>
      <c r="J9" s="23"/>
    </row>
    <row r="10" spans="2:12">
      <c r="B10" s="23" t="s">
        <v>488</v>
      </c>
      <c r="C10" s="24" t="str">
        <f>_xlfn.TEXTJOIN(",",TRUE,IF(LEFT(Regions!$C$3,1)&lt;&gt;"*",Regions!$C$3,""),IF(LEFT(Regions!$D$3,1)&lt;&gt;"*",Regions!$D$3,""))</f>
        <v>IE,National</v>
      </c>
      <c r="D10" s="24" t="s">
        <v>248</v>
      </c>
      <c r="E10" s="24" t="s">
        <v>253</v>
      </c>
      <c r="F10" s="23" t="s">
        <v>166</v>
      </c>
      <c r="G10" s="23" t="s">
        <v>351</v>
      </c>
      <c r="H10" s="23"/>
      <c r="I10" s="23"/>
      <c r="J10" s="23"/>
    </row>
    <row r="11" spans="2:12">
      <c r="B11" s="23" t="s">
        <v>488</v>
      </c>
      <c r="C11" s="24" t="str">
        <f>_xlfn.TEXTJOIN(",",TRUE,IF(LEFT(Regions!$C$3,1)&lt;&gt;"*",Regions!$C$3,""),IF(LEFT(Regions!$D$3,1)&lt;&gt;"*",Regions!$D$3,""))</f>
        <v>IE,National</v>
      </c>
      <c r="D11" s="24" t="s">
        <v>251</v>
      </c>
      <c r="E11" s="24" t="s">
        <v>252</v>
      </c>
      <c r="F11" s="23" t="s">
        <v>166</v>
      </c>
      <c r="G11" s="23" t="s">
        <v>351</v>
      </c>
      <c r="H11" s="23"/>
      <c r="I11" s="23"/>
      <c r="J11" s="23"/>
    </row>
    <row r="12" spans="2:12">
      <c r="B12" s="23" t="s">
        <v>164</v>
      </c>
      <c r="C12" s="51" t="str">
        <f>_xlfn.TEXTJOIN(",",TRUE,IF(LEFT(Regions!$C$3,1)&lt;&gt;"*",Regions!$C$3,""),IF(LEFT(Regions!$D$3,1)&lt;&gt;"*",Regions!$D$3,""))</f>
        <v>IE,National</v>
      </c>
      <c r="D12" s="51" t="s">
        <v>559</v>
      </c>
      <c r="E12" s="51" t="s">
        <v>560</v>
      </c>
      <c r="F12" s="51" t="s">
        <v>166</v>
      </c>
      <c r="G12" s="23" t="s">
        <v>351</v>
      </c>
      <c r="H12" s="51"/>
      <c r="I12" s="51"/>
      <c r="J12" s="51"/>
    </row>
    <row r="13" spans="2:12">
      <c r="B13" s="23" t="s">
        <v>164</v>
      </c>
      <c r="C13" s="24" t="str">
        <f>_xlfn.TEXTJOIN(",",TRUE,IF(LEFT(Regions!$C$3,1)&lt;&gt;"*",Regions!$C$3,""),IF(LEFT(Regions!$D$3,1)&lt;&gt;"*",Regions!$D$3,""))</f>
        <v>IE,National</v>
      </c>
      <c r="D13" s="24" t="s">
        <v>249</v>
      </c>
      <c r="E13" s="24" t="s">
        <v>250</v>
      </c>
      <c r="F13" s="23" t="s">
        <v>166</v>
      </c>
      <c r="G13" s="23" t="s">
        <v>351</v>
      </c>
      <c r="H13" s="23"/>
      <c r="I13" s="23"/>
      <c r="J13" s="23"/>
    </row>
    <row r="14" spans="2:12">
      <c r="B14" s="23" t="s">
        <v>164</v>
      </c>
      <c r="C14" s="24" t="str">
        <f>_xlfn.TEXTJOIN(",",TRUE,IF(LEFT(Regions!$C$3,1)&lt;&gt;"*",Regions!$C$3,""),IF(LEFT(Regions!$D$3,1)&lt;&gt;"*",Regions!$D$3,""))</f>
        <v>IE,National</v>
      </c>
      <c r="D14" s="24" t="s">
        <v>202</v>
      </c>
      <c r="E14" s="24" t="s">
        <v>201</v>
      </c>
      <c r="F14" s="23" t="s">
        <v>166</v>
      </c>
      <c r="G14" s="23" t="s">
        <v>351</v>
      </c>
      <c r="H14" s="23"/>
      <c r="I14" s="23"/>
      <c r="J14" s="23"/>
    </row>
    <row r="15" spans="2:12">
      <c r="B15" s="51" t="s">
        <v>488</v>
      </c>
      <c r="C15" s="24" t="str">
        <f>_xlfn.TEXTJOIN(",",TRUE,IF(LEFT(Regions!$C$3,1)&lt;&gt;"*",Regions!$C$3,""),IF(LEFT(Regions!$D$3,1)&lt;&gt;"*",Regions!$D$3,""))</f>
        <v>IE,National</v>
      </c>
      <c r="D15" s="24" t="s">
        <v>471</v>
      </c>
      <c r="E15" s="24" t="s">
        <v>408</v>
      </c>
      <c r="F15" s="23" t="s">
        <v>166</v>
      </c>
      <c r="G15" s="23" t="s">
        <v>351</v>
      </c>
      <c r="H15" s="23" t="s">
        <v>221</v>
      </c>
      <c r="I15" s="23"/>
      <c r="J15" s="483" t="s">
        <v>510</v>
      </c>
    </row>
    <row r="16" spans="2:12">
      <c r="B16" s="51" t="s">
        <v>488</v>
      </c>
      <c r="C16" s="24" t="str">
        <f>_xlfn.TEXTJOIN(",",TRUE,IF(LEFT(Regions!$C$3,1)&lt;&gt;"*",Regions!$C$3,""),IF(LEFT(Regions!$D$3,1)&lt;&gt;"*",Regions!$D$3,""))</f>
        <v>IE,National</v>
      </c>
      <c r="D16" s="24" t="s">
        <v>472</v>
      </c>
      <c r="E16" s="24" t="s">
        <v>409</v>
      </c>
      <c r="F16" s="23" t="s">
        <v>166</v>
      </c>
      <c r="G16" s="23" t="s">
        <v>351</v>
      </c>
      <c r="H16" s="23" t="s">
        <v>221</v>
      </c>
      <c r="I16" s="23"/>
      <c r="J16" s="483" t="s">
        <v>510</v>
      </c>
    </row>
    <row r="17" spans="2:16">
      <c r="B17" s="51" t="s">
        <v>488</v>
      </c>
      <c r="C17" s="24" t="str">
        <f>_xlfn.TEXTJOIN(",",TRUE,IF(LEFT(Regions!$C$3,1)&lt;&gt;"*",Regions!$C$3,""),IF(LEFT(Regions!$D$3,1)&lt;&gt;"*",Regions!$D$3,""))</f>
        <v>IE,National</v>
      </c>
      <c r="D17" s="24" t="s">
        <v>473</v>
      </c>
      <c r="E17" s="24" t="s">
        <v>410</v>
      </c>
      <c r="F17" s="23" t="s">
        <v>166</v>
      </c>
      <c r="G17" s="23" t="s">
        <v>351</v>
      </c>
      <c r="H17" s="23" t="s">
        <v>221</v>
      </c>
      <c r="I17" s="23"/>
      <c r="J17" s="483" t="s">
        <v>511</v>
      </c>
    </row>
    <row r="18" spans="2:16">
      <c r="B18" s="51" t="s">
        <v>488</v>
      </c>
      <c r="C18" s="24" t="str">
        <f>_xlfn.TEXTJOIN(",",TRUE,IF(LEFT(Regions!$C$3,1)&lt;&gt;"*",Regions!$C$3,""),IF(LEFT(Regions!$D$3,1)&lt;&gt;"*",Regions!$D$3,""))</f>
        <v>IE,National</v>
      </c>
      <c r="D18" s="24" t="s">
        <v>474</v>
      </c>
      <c r="E18" s="24" t="s">
        <v>411</v>
      </c>
      <c r="F18" s="23" t="s">
        <v>166</v>
      </c>
      <c r="G18" s="23" t="s">
        <v>351</v>
      </c>
      <c r="H18" s="23" t="s">
        <v>221</v>
      </c>
      <c r="I18" s="23"/>
      <c r="J18" s="483" t="s">
        <v>511</v>
      </c>
    </row>
    <row r="19" spans="2:16">
      <c r="B19" s="23" t="s">
        <v>164</v>
      </c>
      <c r="C19" s="24" t="str">
        <f>_xlfn.TEXTJOIN(",",TRUE,IF(LEFT(Regions!$C$3,1)&lt;&gt;"*",Regions!$C$3,""),IF(LEFT(Regions!$D$3,1)&lt;&gt;"*",Regions!$D$3,""))</f>
        <v>IE,National</v>
      </c>
      <c r="D19" s="24" t="s">
        <v>205</v>
      </c>
      <c r="E19" s="24" t="s">
        <v>204</v>
      </c>
      <c r="F19" s="23" t="s">
        <v>166</v>
      </c>
      <c r="G19" s="23" t="s">
        <v>351</v>
      </c>
      <c r="H19" s="23" t="s">
        <v>221</v>
      </c>
      <c r="I19" s="23"/>
      <c r="J19" s="23" t="s">
        <v>512</v>
      </c>
    </row>
    <row r="20" spans="2:16">
      <c r="B20" s="23" t="s">
        <v>164</v>
      </c>
      <c r="C20" s="24" t="str">
        <f>_xlfn.TEXTJOIN(",",TRUE,IF(LEFT(Regions!$C$3,1)&lt;&gt;"*",Regions!$C$3,""),IF(LEFT(Regions!$D$3,1)&lt;&gt;"*",Regions!$D$3,""))</f>
        <v>IE,National</v>
      </c>
      <c r="D20" s="24" t="s">
        <v>207</v>
      </c>
      <c r="E20" s="24" t="s">
        <v>208</v>
      </c>
      <c r="F20" s="23" t="s">
        <v>166</v>
      </c>
      <c r="G20" s="23" t="s">
        <v>351</v>
      </c>
      <c r="H20" s="23"/>
      <c r="I20" s="23"/>
      <c r="J20" s="23"/>
    </row>
    <row r="21" spans="2:16">
      <c r="B21" s="23" t="s">
        <v>164</v>
      </c>
      <c r="C21" s="24" t="str">
        <f>_xlfn.TEXTJOIN(",",TRUE,IF(LEFT(Regions!$C$3,1)&lt;&gt;"*",Regions!$C$3,""),IF(LEFT(Regions!$D$3,1)&lt;&gt;"*",Regions!$D$3,""))</f>
        <v>IE,National</v>
      </c>
      <c r="D21" s="24" t="s">
        <v>293</v>
      </c>
      <c r="E21" s="24" t="s">
        <v>291</v>
      </c>
      <c r="F21" s="23" t="s">
        <v>166</v>
      </c>
      <c r="G21" s="23" t="s">
        <v>351</v>
      </c>
      <c r="H21" s="23"/>
      <c r="I21" s="23"/>
      <c r="J21" s="23"/>
    </row>
    <row r="22" spans="2:16">
      <c r="B22" s="23" t="s">
        <v>164</v>
      </c>
      <c r="C22" s="24" t="str">
        <f>_xlfn.TEXTJOIN(",",TRUE,IF(LEFT(Regions!$C$3,1)&lt;&gt;"*",Regions!$C$3,""),IF(LEFT(Regions!$D$3,1)&lt;&gt;"*",Regions!$D$3,""))</f>
        <v>IE,National</v>
      </c>
      <c r="D22" s="24" t="s">
        <v>294</v>
      </c>
      <c r="E22" s="24" t="s">
        <v>292</v>
      </c>
      <c r="F22" s="23" t="s">
        <v>166</v>
      </c>
      <c r="G22" s="23" t="s">
        <v>351</v>
      </c>
      <c r="H22" s="23"/>
      <c r="I22" s="23"/>
      <c r="J22" s="23"/>
    </row>
    <row r="23" spans="2:16">
      <c r="B23" s="23" t="s">
        <v>164</v>
      </c>
      <c r="C23" s="24" t="str">
        <f>_xlfn.TEXTJOIN(",",TRUE,IF(LEFT(Regions!$C$3,1)&lt;&gt;"*",Regions!$C$3,""),IF(LEFT(Regions!$D$3,1)&lt;&gt;"*",Regions!$D$3,""))</f>
        <v>IE,National</v>
      </c>
      <c r="D23" s="24" t="s">
        <v>295</v>
      </c>
      <c r="E23" s="24" t="s">
        <v>206</v>
      </c>
      <c r="F23" s="23" t="s">
        <v>166</v>
      </c>
      <c r="G23" s="23" t="s">
        <v>351</v>
      </c>
      <c r="H23" s="23"/>
      <c r="I23" s="23"/>
      <c r="J23" s="23"/>
    </row>
    <row r="24" spans="2:16">
      <c r="B24" s="23" t="s">
        <v>164</v>
      </c>
      <c r="C24" s="24" t="str">
        <f>_xlfn.TEXTJOIN(",",TRUE,IF(LEFT(Regions!$C$3,1)&lt;&gt;"*",Regions!$C$3,""),IF(LEFT(Regions!$D$3,1)&lt;&gt;"*",Regions!$D$3,""))</f>
        <v>IE,National</v>
      </c>
      <c r="D24" s="24" t="s">
        <v>302</v>
      </c>
      <c r="E24" s="24" t="s">
        <v>301</v>
      </c>
      <c r="F24" s="23" t="s">
        <v>166</v>
      </c>
      <c r="G24" s="23" t="s">
        <v>351</v>
      </c>
      <c r="H24" s="23"/>
      <c r="I24" s="23"/>
      <c r="J24" s="23"/>
    </row>
    <row r="25" spans="2:16">
      <c r="B25" s="23" t="s">
        <v>164</v>
      </c>
      <c r="C25" s="24" t="str">
        <f>_xlfn.TEXTJOIN(",",TRUE,IF(LEFT(Regions!$C$3,1)&lt;&gt;"*",Regions!$C$3,""),IF(LEFT(Regions!$D$3,1)&lt;&gt;"*",Regions!$D$3,""))</f>
        <v>IE,National</v>
      </c>
      <c r="D25" s="24" t="s">
        <v>300</v>
      </c>
      <c r="E25" s="24" t="s">
        <v>303</v>
      </c>
      <c r="F25" s="23" t="s">
        <v>166</v>
      </c>
      <c r="G25" s="23" t="s">
        <v>351</v>
      </c>
      <c r="H25" s="23"/>
      <c r="I25" s="23"/>
      <c r="J25" s="23"/>
    </row>
    <row r="26" spans="2:16">
      <c r="B26" s="22" t="s">
        <v>210</v>
      </c>
      <c r="C26" s="22"/>
      <c r="D26" s="21"/>
      <c r="E26" s="22"/>
      <c r="F26" s="22"/>
      <c r="G26" s="22"/>
      <c r="H26" s="22"/>
      <c r="I26" s="22"/>
      <c r="J26" s="22"/>
    </row>
    <row r="27" spans="2:16">
      <c r="B27" s="23" t="s">
        <v>211</v>
      </c>
      <c r="C27" s="24" t="str">
        <f>_xlfn.TEXTJOIN(",",TRUE,IF(LEFT(Regions!$C$3,1)&lt;&gt;"*",Regions!$C$3,""),IF(LEFT(Regions!$D$3,1)&lt;&gt;"*",Regions!$D$3,""))</f>
        <v>IE,National</v>
      </c>
      <c r="D27" s="24" t="str">
        <f>+"I"&amp;P27</f>
        <v>ICEM</v>
      </c>
      <c r="E27" s="26" t="s">
        <v>469</v>
      </c>
      <c r="F27" s="23" t="s">
        <v>166</v>
      </c>
      <c r="G27" s="23"/>
      <c r="H27" s="23"/>
      <c r="I27" s="23"/>
      <c r="J27" s="23"/>
      <c r="O27" t="s">
        <v>359</v>
      </c>
      <c r="P27" t="s">
        <v>435</v>
      </c>
    </row>
    <row r="28" spans="2:16">
      <c r="B28" s="23" t="s">
        <v>211</v>
      </c>
      <c r="C28" s="24" t="str">
        <f>_xlfn.TEXTJOIN(",",TRUE,IF(LEFT(Regions!$C$3,1)&lt;&gt;"*",Regions!$C$3,""),IF(LEFT(Regions!$D$3,1)&lt;&gt;"*",Regions!$D$3,""))</f>
        <v>IE,National</v>
      </c>
      <c r="D28" s="24" t="str">
        <f t="shared" ref="D28:D35" si="0">+"I"&amp;P28</f>
        <v>ICAF</v>
      </c>
      <c r="E28" s="26" t="s">
        <v>470</v>
      </c>
      <c r="F28" s="23" t="s">
        <v>166</v>
      </c>
      <c r="G28" s="23"/>
      <c r="H28" s="23"/>
      <c r="I28" s="23"/>
      <c r="J28" s="23"/>
      <c r="O28" t="s">
        <v>387</v>
      </c>
      <c r="P28" t="s">
        <v>438</v>
      </c>
    </row>
    <row r="29" spans="2:16">
      <c r="B29" s="23" t="s">
        <v>211</v>
      </c>
      <c r="C29" s="24" t="str">
        <f>_xlfn.TEXTJOIN(",",TRUE,IF(LEFT(Regions!$C$3,1)&lt;&gt;"*",Regions!$C$3,""),IF(LEFT(Regions!$D$3,1)&lt;&gt;"*",Regions!$D$3,""))</f>
        <v>IE,National</v>
      </c>
      <c r="D29" s="24" t="str">
        <f t="shared" si="0"/>
        <v>IFAP</v>
      </c>
      <c r="E29" s="26" t="str">
        <f>O29&amp;" demand"</f>
        <v>Food and Drink demand</v>
      </c>
      <c r="F29" s="23" t="s">
        <v>166</v>
      </c>
      <c r="G29" s="23"/>
      <c r="H29" s="23"/>
      <c r="I29" s="23"/>
      <c r="J29" s="23"/>
      <c r="O29" t="s">
        <v>377</v>
      </c>
      <c r="P29" t="s">
        <v>439</v>
      </c>
    </row>
    <row r="30" spans="2:16">
      <c r="B30" s="23" t="s">
        <v>211</v>
      </c>
      <c r="C30" s="24" t="str">
        <f>_xlfn.TEXTJOIN(",",TRUE,IF(LEFT(Regions!$C$3,1)&lt;&gt;"*",Regions!$C$3,""),IF(LEFT(Regions!$D$3,1)&lt;&gt;"*",Regions!$D$3,""))</f>
        <v>IE,National</v>
      </c>
      <c r="D30" s="24" t="str">
        <f t="shared" si="0"/>
        <v>ILIM</v>
      </c>
      <c r="E30" s="26" t="str">
        <f t="shared" ref="E30:E32" si="1">O30&amp;" demand"</f>
        <v>Lime demand</v>
      </c>
      <c r="F30" s="23" t="s">
        <v>166</v>
      </c>
      <c r="G30" s="23"/>
      <c r="H30" s="23"/>
      <c r="I30" s="23"/>
      <c r="J30" s="23"/>
      <c r="O30" t="s">
        <v>370</v>
      </c>
      <c r="P30" t="s">
        <v>436</v>
      </c>
    </row>
    <row r="31" spans="2:16">
      <c r="B31" s="23" t="s">
        <v>211</v>
      </c>
      <c r="C31" s="24" t="str">
        <f>_xlfn.TEXTJOIN(",",TRUE,IF(LEFT(Regions!$C$3,1)&lt;&gt;"*",Regions!$C$3,""),IF(LEFT(Regions!$D$3,1)&lt;&gt;"*",Regions!$D$3,""))</f>
        <v>IE,National</v>
      </c>
      <c r="D31" s="24" t="str">
        <f t="shared" si="0"/>
        <v>IMAP</v>
      </c>
      <c r="E31" s="26" t="str">
        <f t="shared" si="1"/>
        <v>Metals demand</v>
      </c>
      <c r="F31" s="23" t="s">
        <v>166</v>
      </c>
      <c r="G31" s="23"/>
      <c r="H31" s="23"/>
      <c r="I31" s="23"/>
      <c r="J31" s="23"/>
      <c r="O31" t="s">
        <v>353</v>
      </c>
      <c r="P31" t="s">
        <v>440</v>
      </c>
    </row>
    <row r="32" spans="2:16">
      <c r="B32" s="23" t="s">
        <v>211</v>
      </c>
      <c r="C32" s="24" t="str">
        <f>_xlfn.TEXTJOIN(",",TRUE,IF(LEFT(Regions!$C$3,1)&lt;&gt;"*",Regions!$C$3,""),IF(LEFT(Regions!$D$3,1)&lt;&gt;"*",Regions!$D$3,""))</f>
        <v>IE,National</v>
      </c>
      <c r="D32" s="24" t="str">
        <f t="shared" si="0"/>
        <v>IOMA</v>
      </c>
      <c r="E32" s="26" t="str">
        <f t="shared" si="1"/>
        <v>Other Industry demand</v>
      </c>
      <c r="F32" s="23" t="s">
        <v>166</v>
      </c>
      <c r="G32" s="23"/>
      <c r="H32" s="23"/>
      <c r="I32" s="23"/>
      <c r="J32" s="23"/>
      <c r="O32" t="s">
        <v>375</v>
      </c>
      <c r="P32" t="s">
        <v>441</v>
      </c>
    </row>
    <row r="33" spans="2:16">
      <c r="B33" s="23" t="s">
        <v>211</v>
      </c>
      <c r="C33" s="24" t="str">
        <f>_xlfn.TEXTJOIN(",",TRUE,IF(LEFT(Regions!$C$3,1)&lt;&gt;"*",Regions!$C$3,""),IF(LEFT(Regions!$D$3,1)&lt;&gt;"*",Regions!$D$3,""))</f>
        <v>IE,National</v>
      </c>
      <c r="D33" s="24" t="str">
        <f t="shared" si="0"/>
        <v>IONM</v>
      </c>
      <c r="E33" s="26" t="s">
        <v>468</v>
      </c>
      <c r="F33" s="23" t="s">
        <v>166</v>
      </c>
      <c r="G33" s="23"/>
      <c r="H33" s="23"/>
      <c r="I33" s="23"/>
      <c r="J33" s="23"/>
      <c r="O33" t="s">
        <v>388</v>
      </c>
      <c r="P33" t="s">
        <v>442</v>
      </c>
    </row>
    <row r="34" spans="2:16">
      <c r="B34" s="23" t="s">
        <v>467</v>
      </c>
      <c r="C34" s="24"/>
      <c r="D34" s="24"/>
      <c r="E34" s="26"/>
      <c r="F34" s="23"/>
      <c r="G34" s="23"/>
      <c r="H34" s="23"/>
      <c r="I34" s="23"/>
      <c r="J34" s="23"/>
      <c r="O34" t="s">
        <v>369</v>
      </c>
      <c r="P34" t="s">
        <v>437</v>
      </c>
    </row>
    <row r="35" spans="2:16">
      <c r="B35" s="23" t="s">
        <v>211</v>
      </c>
      <c r="C35" s="24" t="str">
        <f>_xlfn.TEXTJOIN(",",TRUE,IF(LEFT(Regions!$C$3,1)&lt;&gt;"*",Regions!$C$3,""),IF(LEFT(Regions!$D$3,1)&lt;&gt;"*",Regions!$D$3,""))</f>
        <v>IE,National</v>
      </c>
      <c r="D35" s="24" t="str">
        <f t="shared" si="0"/>
        <v>IWAP</v>
      </c>
      <c r="E35" s="26" t="str">
        <f>O35&amp;" demand"</f>
        <v>Wood Products demand</v>
      </c>
      <c r="F35" s="23" t="s">
        <v>166</v>
      </c>
      <c r="G35" s="23"/>
      <c r="H35" s="23"/>
      <c r="I35" s="23"/>
      <c r="J35" s="23"/>
      <c r="O35" t="s">
        <v>372</v>
      </c>
      <c r="P35" t="s">
        <v>443</v>
      </c>
    </row>
    <row r="36" spans="2:16">
      <c r="B36" s="23" t="s">
        <v>211</v>
      </c>
      <c r="C36" s="24" t="str">
        <f>_xlfn.TEXTJOIN(",",TRUE,IF(LEFT(Regions!$C$3,1)&lt;&gt;"*",Regions!$C$3,""),IF(LEFT(Regions!$D$3,1)&lt;&gt;"*",Regions!$D$3,""))</f>
        <v>IE,National</v>
      </c>
      <c r="D36" s="24" t="s">
        <v>482</v>
      </c>
      <c r="E36" s="26" t="s">
        <v>483</v>
      </c>
      <c r="F36" s="23" t="s">
        <v>166</v>
      </c>
      <c r="G36" s="23"/>
      <c r="H36" s="23"/>
      <c r="I36" s="23"/>
      <c r="J36" s="23"/>
    </row>
    <row r="37" spans="2:16">
      <c r="B37" s="23" t="s">
        <v>211</v>
      </c>
      <c r="C37" s="24" t="str">
        <f>_xlfn.TEXTJOIN(",",TRUE,IF(LEFT(Regions!$C$3,1)&lt;&gt;"*",Regions!$C$3,""),IF(LEFT(Regions!$D$3,1)&lt;&gt;"*",Regions!$D$3,""))</f>
        <v>IE,National</v>
      </c>
      <c r="D37" s="24" t="s">
        <v>484</v>
      </c>
      <c r="E37" s="26" t="s">
        <v>485</v>
      </c>
      <c r="F37" s="23" t="s">
        <v>166</v>
      </c>
      <c r="G37" s="23"/>
      <c r="H37" s="23"/>
      <c r="I37" s="23"/>
      <c r="J37" s="23"/>
    </row>
    <row r="38" spans="2:16">
      <c r="B38" s="23" t="s">
        <v>467</v>
      </c>
      <c r="C38" s="24"/>
      <c r="D38" s="24"/>
      <c r="E38" s="26"/>
      <c r="F38" s="23"/>
      <c r="G38" s="23"/>
      <c r="H38" s="23"/>
      <c r="I38" s="23"/>
      <c r="J38" s="23"/>
    </row>
    <row r="39" spans="2:16">
      <c r="B39" s="23" t="s">
        <v>467</v>
      </c>
      <c r="C39" s="24"/>
      <c r="D39" s="24"/>
      <c r="E39" s="26"/>
      <c r="F39" s="23"/>
      <c r="G39" s="23"/>
      <c r="H39" s="23"/>
      <c r="I39" s="23"/>
      <c r="J39" s="23"/>
    </row>
    <row r="40" spans="2:16">
      <c r="B40" s="23" t="s">
        <v>467</v>
      </c>
      <c r="C40" s="24"/>
      <c r="D40" s="24"/>
      <c r="E40" s="26"/>
      <c r="F40" s="23"/>
      <c r="G40" s="23"/>
      <c r="H40" s="23"/>
      <c r="I40" s="23"/>
      <c r="J40" s="23"/>
    </row>
    <row r="41" spans="2:16">
      <c r="B41" s="25" t="s">
        <v>174</v>
      </c>
      <c r="C41" s="25"/>
      <c r="D41" s="25"/>
      <c r="E41" s="25"/>
      <c r="F41" s="25"/>
      <c r="G41" s="25"/>
      <c r="H41" s="25"/>
      <c r="I41" s="25"/>
      <c r="J41" s="25"/>
    </row>
    <row r="42" spans="2:16">
      <c r="B42" s="23" t="s">
        <v>175</v>
      </c>
      <c r="C42" s="24" t="str">
        <f>_xlfn.TEXTJOIN(",",TRUE,IF(LEFT(Regions!$C$3,1)&lt;&gt;"*",Regions!$C$3,""),IF(LEFT(Regions!$D$3,1)&lt;&gt;"*",Regions!$D$3,""))</f>
        <v>IE,National</v>
      </c>
      <c r="D42" s="24" t="s">
        <v>177</v>
      </c>
      <c r="E42" s="24" t="s">
        <v>178</v>
      </c>
      <c r="F42" s="23" t="s">
        <v>176</v>
      </c>
      <c r="G42" s="23"/>
      <c r="H42" s="23"/>
      <c r="I42" s="23"/>
      <c r="J42" s="23"/>
    </row>
    <row r="43" spans="2:16">
      <c r="B43" s="23" t="s">
        <v>175</v>
      </c>
      <c r="C43" s="24" t="str">
        <f>_xlfn.TEXTJOIN(",",TRUE,IF(LEFT(Regions!$C$3,1)&lt;&gt;"*",Regions!$C$3,""),IF(LEFT(Regions!$D$3,1)&lt;&gt;"*",Regions!$D$3,""))</f>
        <v>IE,National</v>
      </c>
      <c r="D43" s="24" t="s">
        <v>179</v>
      </c>
      <c r="E43" s="24" t="s">
        <v>180</v>
      </c>
      <c r="F43" s="23" t="s">
        <v>176</v>
      </c>
      <c r="G43" s="23"/>
      <c r="H43" s="23"/>
      <c r="I43" s="23"/>
      <c r="J43" s="23"/>
    </row>
    <row r="44" spans="2:16">
      <c r="B44" s="23" t="s">
        <v>175</v>
      </c>
      <c r="C44" s="24" t="str">
        <f>_xlfn.TEXTJOIN(",",TRUE,IF(LEFT(Regions!$C$3,1)&lt;&gt;"*",Regions!$C$3,""),IF(LEFT(Regions!$D$3,1)&lt;&gt;"*",Regions!$D$3,""))</f>
        <v>IE,National</v>
      </c>
      <c r="D44" s="24" t="s">
        <v>181</v>
      </c>
      <c r="E44" s="24" t="s">
        <v>182</v>
      </c>
      <c r="F44" s="23" t="s">
        <v>176</v>
      </c>
      <c r="G44" s="23"/>
      <c r="H44" s="23"/>
      <c r="I44" s="23"/>
      <c r="J44" s="23"/>
    </row>
    <row r="45" spans="2:16">
      <c r="B45" s="23" t="s">
        <v>175</v>
      </c>
      <c r="C45" s="24" t="str">
        <f>_xlfn.TEXTJOIN(",",TRUE,IF(LEFT(Regions!$C$3,1)&lt;&gt;"*",Regions!$C$3,""),IF(LEFT(Regions!$D$3,1)&lt;&gt;"*",Regions!$D$3,""))</f>
        <v>IE,National</v>
      </c>
      <c r="D45" s="24" t="s">
        <v>183</v>
      </c>
      <c r="E45" s="24" t="s">
        <v>184</v>
      </c>
      <c r="F45" s="23" t="s">
        <v>176</v>
      </c>
      <c r="G45" s="23"/>
      <c r="H45" s="23"/>
      <c r="I45" s="23"/>
      <c r="J45" s="23"/>
    </row>
    <row r="46" spans="2:16">
      <c r="B46" s="23" t="s">
        <v>175</v>
      </c>
      <c r="C46" s="24" t="str">
        <f>_xlfn.TEXTJOIN(",",TRUE,IF(LEFT(Regions!$C$3,1)&lt;&gt;"*",Regions!$C$3,""),IF(LEFT(Regions!$D$3,1)&lt;&gt;"*",Regions!$D$3,""))</f>
        <v>IE,National</v>
      </c>
      <c r="D46" s="24" t="s">
        <v>185</v>
      </c>
      <c r="E46" s="24" t="s">
        <v>186</v>
      </c>
      <c r="F46" s="23" t="s">
        <v>176</v>
      </c>
      <c r="G46" s="23"/>
      <c r="H46" s="23"/>
      <c r="I46" s="23"/>
      <c r="J46" s="23"/>
    </row>
    <row r="47" spans="2:16">
      <c r="B47" s="23" t="s">
        <v>175</v>
      </c>
      <c r="C47" s="24" t="str">
        <f>_xlfn.TEXTJOIN(",",TRUE,IF(LEFT(Regions!$C$3,1)&lt;&gt;"*",Regions!$C$3,""),IF(LEFT(Regions!$D$3,1)&lt;&gt;"*",Regions!$D$3,""))</f>
        <v>IE,National</v>
      </c>
      <c r="D47" s="24" t="s">
        <v>187</v>
      </c>
      <c r="E47" s="24" t="s">
        <v>188</v>
      </c>
      <c r="F47" s="23" t="s">
        <v>176</v>
      </c>
      <c r="G47" s="23"/>
      <c r="H47" s="23"/>
      <c r="I47" s="23"/>
      <c r="J47" s="23"/>
    </row>
    <row r="48" spans="2:16">
      <c r="B48" s="23" t="s">
        <v>175</v>
      </c>
      <c r="C48" s="24" t="str">
        <f>_xlfn.TEXTJOIN(",",TRUE,IF(LEFT(Regions!$C$3,1)&lt;&gt;"*",Regions!$C$3,""),IF(LEFT(Regions!$D$3,1)&lt;&gt;"*",Regions!$D$3,""))</f>
        <v>IE,National</v>
      </c>
      <c r="D48" s="24" t="s">
        <v>189</v>
      </c>
      <c r="E48" s="24" t="s">
        <v>190</v>
      </c>
      <c r="F48" s="23" t="s">
        <v>176</v>
      </c>
      <c r="G48" s="23"/>
      <c r="H48" s="23"/>
      <c r="I48" s="23"/>
      <c r="J48" s="23"/>
    </row>
    <row r="49" spans="2:10">
      <c r="B49" s="23" t="s">
        <v>175</v>
      </c>
      <c r="C49" s="24" t="str">
        <f>_xlfn.TEXTJOIN(",",TRUE,IF(LEFT(Regions!$C$3,1)&lt;&gt;"*",Regions!$C$3,""),IF(LEFT(Regions!$D$3,1)&lt;&gt;"*",Regions!$D$3,""))</f>
        <v>IE,National</v>
      </c>
      <c r="D49" s="24" t="s">
        <v>191</v>
      </c>
      <c r="E49" s="24" t="s">
        <v>192</v>
      </c>
      <c r="F49" s="23" t="s">
        <v>176</v>
      </c>
      <c r="G49" s="23"/>
      <c r="H49" s="23"/>
      <c r="I49" s="23"/>
      <c r="J49" s="23"/>
    </row>
    <row r="50" spans="2:10">
      <c r="B50" s="23" t="s">
        <v>175</v>
      </c>
      <c r="C50" s="24" t="str">
        <f>_xlfn.TEXTJOIN(",",TRUE,IF(LEFT(Regions!$C$3,1)&lt;&gt;"*",Regions!$C$3,""),IF(LEFT(Regions!$D$3,1)&lt;&gt;"*",Regions!$D$3,""))</f>
        <v>IE,National</v>
      </c>
      <c r="D50" s="24" t="s">
        <v>193</v>
      </c>
      <c r="E50" s="24" t="s">
        <v>194</v>
      </c>
      <c r="F50" s="23" t="s">
        <v>176</v>
      </c>
      <c r="G50" s="23"/>
      <c r="H50" s="23"/>
      <c r="I50" s="23"/>
      <c r="J50" s="23"/>
    </row>
    <row r="51" spans="2:10">
      <c r="B51" s="23" t="s">
        <v>175</v>
      </c>
      <c r="C51" s="24" t="str">
        <f>_xlfn.TEXTJOIN(",",TRUE,IF(LEFT(Regions!$C$3,1)&lt;&gt;"*",Regions!$C$3,""),IF(LEFT(Regions!$D$3,1)&lt;&gt;"*",Regions!$D$3,""))</f>
        <v>IE,National</v>
      </c>
      <c r="D51" s="24" t="s">
        <v>195</v>
      </c>
      <c r="E51" s="24" t="s">
        <v>196</v>
      </c>
      <c r="F51" s="23" t="s">
        <v>176</v>
      </c>
      <c r="G51" s="23"/>
      <c r="H51" s="23"/>
      <c r="I51" s="23"/>
      <c r="J51" s="23"/>
    </row>
    <row r="52" spans="2:10">
      <c r="B52" s="22" t="s">
        <v>209</v>
      </c>
      <c r="C52" s="22"/>
      <c r="D52" s="21"/>
      <c r="E52" s="22"/>
      <c r="F52" s="22"/>
      <c r="G52" s="22"/>
      <c r="H52" s="22"/>
      <c r="I52" s="22"/>
      <c r="J52" s="22"/>
    </row>
    <row r="53" spans="2:10">
      <c r="B53" s="23" t="s">
        <v>164</v>
      </c>
      <c r="C53" s="24" t="str">
        <f>_xlfn.TEXTJOIN(",",TRUE,IF(LEFT(Regions!$C$3,1)&lt;&gt;"*",Regions!$C$3,""),IF(LEFT(Regions!$D$3,1)&lt;&gt;"*",Regions!$D$3,""))</f>
        <v>IE,National</v>
      </c>
      <c r="D53" s="24" t="s">
        <v>518</v>
      </c>
      <c r="E53" s="24" t="s">
        <v>408</v>
      </c>
      <c r="F53" s="23" t="s">
        <v>166</v>
      </c>
      <c r="G53" s="23"/>
      <c r="H53" s="23" t="s">
        <v>221</v>
      </c>
      <c r="I53" s="23"/>
      <c r="J53" s="483" t="s">
        <v>510</v>
      </c>
    </row>
    <row r="54" spans="2:10">
      <c r="B54" s="23" t="s">
        <v>164</v>
      </c>
      <c r="C54" s="24" t="str">
        <f>_xlfn.TEXTJOIN(",",TRUE,IF(LEFT(Regions!$C$3,1)&lt;&gt;"*",Regions!$C$3,""),IF(LEFT(Regions!$D$3,1)&lt;&gt;"*",Regions!$D$3,""))</f>
        <v>IE,National</v>
      </c>
      <c r="D54" s="24" t="s">
        <v>519</v>
      </c>
      <c r="E54" s="24" t="s">
        <v>409</v>
      </c>
      <c r="F54" s="23" t="s">
        <v>166</v>
      </c>
      <c r="G54" s="23"/>
      <c r="H54" s="23" t="s">
        <v>221</v>
      </c>
      <c r="I54" s="23"/>
      <c r="J54" s="483" t="s">
        <v>510</v>
      </c>
    </row>
    <row r="55" spans="2:10">
      <c r="B55" s="23" t="s">
        <v>164</v>
      </c>
      <c r="C55" s="24" t="str">
        <f>_xlfn.TEXTJOIN(",",TRUE,IF(LEFT(Regions!$C$3,1)&lt;&gt;"*",Regions!$C$3,""),IF(LEFT(Regions!$D$3,1)&lt;&gt;"*",Regions!$D$3,""))</f>
        <v>IE,National</v>
      </c>
      <c r="D55" s="24" t="s">
        <v>520</v>
      </c>
      <c r="E55" s="24" t="s">
        <v>410</v>
      </c>
      <c r="F55" s="23" t="s">
        <v>166</v>
      </c>
      <c r="G55" s="23"/>
      <c r="H55" s="23" t="s">
        <v>221</v>
      </c>
      <c r="I55" s="23"/>
      <c r="J55" s="483" t="s">
        <v>511</v>
      </c>
    </row>
    <row r="56" spans="2:10">
      <c r="B56" s="23" t="s">
        <v>164</v>
      </c>
      <c r="C56" s="24" t="str">
        <f>_xlfn.TEXTJOIN(",",TRUE,IF(LEFT(Regions!$C$3,1)&lt;&gt;"*",Regions!$C$3,""),IF(LEFT(Regions!$D$3,1)&lt;&gt;"*",Regions!$D$3,""))</f>
        <v>IE,National</v>
      </c>
      <c r="D56" s="24" t="s">
        <v>521</v>
      </c>
      <c r="E56" s="24" t="s">
        <v>411</v>
      </c>
      <c r="F56" s="23" t="s">
        <v>166</v>
      </c>
      <c r="G56" s="23"/>
      <c r="H56" s="23" t="s">
        <v>221</v>
      </c>
      <c r="I56" s="23"/>
      <c r="J56" s="483" t="s">
        <v>511</v>
      </c>
    </row>
    <row r="57" spans="2:10">
      <c r="B57" s="23" t="s">
        <v>164</v>
      </c>
      <c r="C57" s="24" t="str">
        <f>_xlfn.TEXTJOIN(",",TRUE,IF(LEFT(Regions!$C$3,1)&lt;&gt;"*",Regions!$C$3,""),IF(LEFT(Regions!$D$3,1)&lt;&gt;"*",Regions!$D$3,""))</f>
        <v>IE,National</v>
      </c>
      <c r="D57" t="s">
        <v>522</v>
      </c>
      <c r="E57" s="24" t="s">
        <v>408</v>
      </c>
      <c r="F57" s="23" t="s">
        <v>166</v>
      </c>
      <c r="G57" s="23"/>
      <c r="H57" s="23" t="s">
        <v>221</v>
      </c>
      <c r="I57" s="23"/>
      <c r="J57" s="483" t="s">
        <v>510</v>
      </c>
    </row>
    <row r="58" spans="2:10">
      <c r="B58" s="23" t="s">
        <v>164</v>
      </c>
      <c r="C58" s="24" t="str">
        <f>_xlfn.TEXTJOIN(",",TRUE,IF(LEFT(Regions!$C$3,1)&lt;&gt;"*",Regions!$C$3,""),IF(LEFT(Regions!$D$3,1)&lt;&gt;"*",Regions!$D$3,""))</f>
        <v>IE,National</v>
      </c>
      <c r="D58" t="s">
        <v>523</v>
      </c>
      <c r="E58" s="24" t="s">
        <v>409</v>
      </c>
      <c r="F58" s="23" t="s">
        <v>166</v>
      </c>
      <c r="G58" s="23"/>
      <c r="H58" s="23" t="s">
        <v>221</v>
      </c>
      <c r="I58" s="23"/>
      <c r="J58" s="483" t="s">
        <v>510</v>
      </c>
    </row>
    <row r="59" spans="2:10">
      <c r="B59" s="23" t="s">
        <v>164</v>
      </c>
      <c r="C59" s="24" t="str">
        <f>_xlfn.TEXTJOIN(",",TRUE,IF(LEFT(Regions!$C$3,1)&lt;&gt;"*",Regions!$C$3,""),IF(LEFT(Regions!$D$3,1)&lt;&gt;"*",Regions!$D$3,""))</f>
        <v>IE,National</v>
      </c>
      <c r="D59" t="s">
        <v>524</v>
      </c>
      <c r="E59" s="24" t="s">
        <v>410</v>
      </c>
      <c r="F59" s="23" t="s">
        <v>166</v>
      </c>
      <c r="G59" s="23"/>
      <c r="H59" s="23" t="s">
        <v>221</v>
      </c>
      <c r="I59" s="23"/>
      <c r="J59" s="483" t="s">
        <v>511</v>
      </c>
    </row>
    <row r="60" spans="2:10">
      <c r="B60" s="23" t="s">
        <v>164</v>
      </c>
      <c r="C60" s="24" t="str">
        <f>_xlfn.TEXTJOIN(",",TRUE,IF(LEFT(Regions!$C$3,1)&lt;&gt;"*",Regions!$C$3,""),IF(LEFT(Regions!$D$3,1)&lt;&gt;"*",Regions!$D$3,""))</f>
        <v>IE,National</v>
      </c>
      <c r="D60" t="s">
        <v>525</v>
      </c>
      <c r="E60" s="24" t="s">
        <v>411</v>
      </c>
      <c r="F60" s="23" t="s">
        <v>166</v>
      </c>
      <c r="G60" s="23"/>
      <c r="H60" s="23" t="s">
        <v>221</v>
      </c>
      <c r="I60" s="23"/>
      <c r="J60" s="483" t="s">
        <v>511</v>
      </c>
    </row>
    <row r="61" spans="2:10">
      <c r="B61" s="23" t="s">
        <v>164</v>
      </c>
      <c r="C61" s="24" t="str">
        <f>_xlfn.TEXTJOIN(",",TRUE,IF(LEFT(Regions!$C$3,1)&lt;&gt;"*",Regions!$C$3,""),IF(LEFT(Regions!$D$3,1)&lt;&gt;"*",Regions!$D$3,""))</f>
        <v>IE,National</v>
      </c>
      <c r="D61" t="s">
        <v>526</v>
      </c>
      <c r="E61" s="24" t="s">
        <v>408</v>
      </c>
      <c r="F61" s="23" t="s">
        <v>166</v>
      </c>
      <c r="G61" s="23"/>
      <c r="H61" s="23" t="s">
        <v>221</v>
      </c>
      <c r="I61" s="23"/>
      <c r="J61" s="483" t="s">
        <v>510</v>
      </c>
    </row>
    <row r="62" spans="2:10">
      <c r="B62" s="23" t="s">
        <v>164</v>
      </c>
      <c r="C62" s="24" t="str">
        <f>_xlfn.TEXTJOIN(",",TRUE,IF(LEFT(Regions!$C$3,1)&lt;&gt;"*",Regions!$C$3,""),IF(LEFT(Regions!$D$3,1)&lt;&gt;"*",Regions!$D$3,""))</f>
        <v>IE,National</v>
      </c>
      <c r="D62" t="s">
        <v>527</v>
      </c>
      <c r="E62" s="24" t="s">
        <v>409</v>
      </c>
      <c r="F62" s="23" t="s">
        <v>166</v>
      </c>
      <c r="G62" s="23"/>
      <c r="H62" s="23" t="s">
        <v>221</v>
      </c>
      <c r="I62" s="23"/>
      <c r="J62" s="483" t="s">
        <v>510</v>
      </c>
    </row>
    <row r="63" spans="2:10">
      <c r="B63" s="23" t="s">
        <v>164</v>
      </c>
      <c r="C63" s="24" t="str">
        <f>_xlfn.TEXTJOIN(",",TRUE,IF(LEFT(Regions!$C$3,1)&lt;&gt;"*",Regions!$C$3,""),IF(LEFT(Regions!$D$3,1)&lt;&gt;"*",Regions!$D$3,""))</f>
        <v>IE,National</v>
      </c>
      <c r="D63" t="s">
        <v>528</v>
      </c>
      <c r="E63" s="24" t="s">
        <v>410</v>
      </c>
      <c r="F63" s="23" t="s">
        <v>166</v>
      </c>
      <c r="G63" s="23"/>
      <c r="H63" s="23" t="s">
        <v>221</v>
      </c>
      <c r="I63" s="23"/>
      <c r="J63" s="483" t="s">
        <v>511</v>
      </c>
    </row>
    <row r="64" spans="2:10">
      <c r="B64" s="23" t="s">
        <v>164</v>
      </c>
      <c r="C64" s="24" t="str">
        <f>_xlfn.TEXTJOIN(",",TRUE,IF(LEFT(Regions!$C$3,1)&lt;&gt;"*",Regions!$C$3,""),IF(LEFT(Regions!$D$3,1)&lt;&gt;"*",Regions!$D$3,""))</f>
        <v>IE,National</v>
      </c>
      <c r="D64" t="s">
        <v>529</v>
      </c>
      <c r="E64" s="24" t="s">
        <v>411</v>
      </c>
      <c r="F64" s="23" t="s">
        <v>166</v>
      </c>
      <c r="G64" s="23"/>
      <c r="H64" s="23" t="s">
        <v>221</v>
      </c>
      <c r="I64" s="23"/>
      <c r="J64" s="483" t="s">
        <v>511</v>
      </c>
    </row>
    <row r="65" spans="2:10">
      <c r="B65" s="23" t="s">
        <v>164</v>
      </c>
      <c r="C65" s="24" t="str">
        <f>_xlfn.TEXTJOIN(",",TRUE,IF(LEFT(Regions!$C$3,1)&lt;&gt;"*",Regions!$C$3,""),IF(LEFT(Regions!$D$3,1)&lt;&gt;"*",Regions!$D$3,""))</f>
        <v>IE,National</v>
      </c>
      <c r="D65" t="s">
        <v>530</v>
      </c>
      <c r="E65" s="24" t="s">
        <v>408</v>
      </c>
      <c r="F65" s="23" t="s">
        <v>166</v>
      </c>
      <c r="G65" s="23"/>
      <c r="H65" s="23" t="s">
        <v>221</v>
      </c>
      <c r="I65" s="23"/>
      <c r="J65" s="483" t="s">
        <v>510</v>
      </c>
    </row>
    <row r="66" spans="2:10">
      <c r="B66" s="23" t="s">
        <v>164</v>
      </c>
      <c r="C66" s="24" t="str">
        <f>_xlfn.TEXTJOIN(",",TRUE,IF(LEFT(Regions!$C$3,1)&lt;&gt;"*",Regions!$C$3,""),IF(LEFT(Regions!$D$3,1)&lt;&gt;"*",Regions!$D$3,""))</f>
        <v>IE,National</v>
      </c>
      <c r="D66" t="s">
        <v>531</v>
      </c>
      <c r="E66" s="24" t="s">
        <v>409</v>
      </c>
      <c r="F66" s="23" t="s">
        <v>166</v>
      </c>
      <c r="G66" s="23"/>
      <c r="H66" s="23" t="s">
        <v>221</v>
      </c>
      <c r="I66" s="23"/>
      <c r="J66" s="483" t="s">
        <v>510</v>
      </c>
    </row>
    <row r="67" spans="2:10">
      <c r="B67" s="23" t="s">
        <v>164</v>
      </c>
      <c r="C67" s="24" t="str">
        <f>_xlfn.TEXTJOIN(",",TRUE,IF(LEFT(Regions!$C$3,1)&lt;&gt;"*",Regions!$C$3,""),IF(LEFT(Regions!$D$3,1)&lt;&gt;"*",Regions!$D$3,""))</f>
        <v>IE,National</v>
      </c>
      <c r="D67" t="s">
        <v>532</v>
      </c>
      <c r="E67" s="24" t="s">
        <v>410</v>
      </c>
      <c r="F67" s="23" t="s">
        <v>166</v>
      </c>
      <c r="G67" s="23"/>
      <c r="H67" s="23" t="s">
        <v>221</v>
      </c>
      <c r="I67" s="23"/>
      <c r="J67" s="483" t="s">
        <v>511</v>
      </c>
    </row>
    <row r="68" spans="2:10">
      <c r="B68" s="23" t="s">
        <v>164</v>
      </c>
      <c r="C68" s="24" t="str">
        <f>_xlfn.TEXTJOIN(",",TRUE,IF(LEFT(Regions!$C$3,1)&lt;&gt;"*",Regions!$C$3,""),IF(LEFT(Regions!$D$3,1)&lt;&gt;"*",Regions!$D$3,""))</f>
        <v>IE,National</v>
      </c>
      <c r="D68" t="s">
        <v>533</v>
      </c>
      <c r="E68" s="24" t="s">
        <v>411</v>
      </c>
      <c r="F68" s="23" t="s">
        <v>166</v>
      </c>
      <c r="G68" s="23"/>
      <c r="H68" s="23" t="s">
        <v>221</v>
      </c>
      <c r="I68" s="23"/>
      <c r="J68" s="483" t="s">
        <v>511</v>
      </c>
    </row>
    <row r="69" spans="2:10">
      <c r="B69" s="23" t="s">
        <v>164</v>
      </c>
      <c r="C69" s="24" t="str">
        <f>_xlfn.TEXTJOIN(",",TRUE,IF(LEFT(Regions!$C$3,1)&lt;&gt;"*",Regions!$C$3,""),IF(LEFT(Regions!$D$3,1)&lt;&gt;"*",Regions!$D$3,""))</f>
        <v>IE,National</v>
      </c>
      <c r="D69" t="s">
        <v>534</v>
      </c>
      <c r="E69" s="24" t="s">
        <v>408</v>
      </c>
      <c r="F69" s="23" t="s">
        <v>166</v>
      </c>
      <c r="G69" s="23"/>
      <c r="H69" s="23" t="s">
        <v>221</v>
      </c>
      <c r="I69" s="23"/>
      <c r="J69" s="483" t="s">
        <v>510</v>
      </c>
    </row>
    <row r="70" spans="2:10">
      <c r="B70" s="23" t="s">
        <v>164</v>
      </c>
      <c r="C70" s="24" t="str">
        <f>_xlfn.TEXTJOIN(",",TRUE,IF(LEFT(Regions!$C$3,1)&lt;&gt;"*",Regions!$C$3,""),IF(LEFT(Regions!$D$3,1)&lt;&gt;"*",Regions!$D$3,""))</f>
        <v>IE,National</v>
      </c>
      <c r="D70" t="s">
        <v>535</v>
      </c>
      <c r="E70" s="24" t="s">
        <v>409</v>
      </c>
      <c r="F70" s="23" t="s">
        <v>166</v>
      </c>
      <c r="G70" s="23"/>
      <c r="H70" s="23" t="s">
        <v>221</v>
      </c>
      <c r="I70" s="23"/>
      <c r="J70" s="483" t="s">
        <v>510</v>
      </c>
    </row>
    <row r="71" spans="2:10">
      <c r="B71" s="23" t="s">
        <v>164</v>
      </c>
      <c r="C71" s="24" t="str">
        <f>_xlfn.TEXTJOIN(",",TRUE,IF(LEFT(Regions!$C$3,1)&lt;&gt;"*",Regions!$C$3,""),IF(LEFT(Regions!$D$3,1)&lt;&gt;"*",Regions!$D$3,""))</f>
        <v>IE,National</v>
      </c>
      <c r="D71" t="s">
        <v>536</v>
      </c>
      <c r="E71" s="24" t="s">
        <v>410</v>
      </c>
      <c r="F71" s="23" t="s">
        <v>166</v>
      </c>
      <c r="G71" s="23"/>
      <c r="H71" s="23" t="s">
        <v>221</v>
      </c>
      <c r="I71" s="23"/>
      <c r="J71" s="483" t="s">
        <v>511</v>
      </c>
    </row>
    <row r="72" spans="2:10">
      <c r="B72" s="23" t="s">
        <v>164</v>
      </c>
      <c r="C72" s="24" t="str">
        <f>_xlfn.TEXTJOIN(",",TRUE,IF(LEFT(Regions!$C$3,1)&lt;&gt;"*",Regions!$C$3,""),IF(LEFT(Regions!$D$3,1)&lt;&gt;"*",Regions!$D$3,""))</f>
        <v>IE,National</v>
      </c>
      <c r="D72" t="s">
        <v>537</v>
      </c>
      <c r="E72" s="24" t="s">
        <v>411</v>
      </c>
      <c r="F72" s="23" t="s">
        <v>166</v>
      </c>
      <c r="G72" s="23"/>
      <c r="H72" s="23" t="s">
        <v>221</v>
      </c>
      <c r="I72" s="23"/>
      <c r="J72" s="483" t="s">
        <v>511</v>
      </c>
    </row>
    <row r="73" spans="2:10">
      <c r="B73" s="23" t="s">
        <v>164</v>
      </c>
      <c r="C73" s="24" t="str">
        <f>_xlfn.TEXTJOIN(",",TRUE,IF(LEFT(Regions!$C$3,1)&lt;&gt;"*",Regions!$C$3,""),IF(LEFT(Regions!$D$3,1)&lt;&gt;"*",Regions!$D$3,""))</f>
        <v>IE,National</v>
      </c>
      <c r="D73" t="s">
        <v>538</v>
      </c>
      <c r="E73" s="24" t="s">
        <v>408</v>
      </c>
      <c r="F73" s="23" t="s">
        <v>166</v>
      </c>
      <c r="G73" s="23"/>
      <c r="H73" s="23" t="s">
        <v>221</v>
      </c>
      <c r="I73" s="23"/>
      <c r="J73" s="483" t="s">
        <v>510</v>
      </c>
    </row>
    <row r="74" spans="2:10">
      <c r="B74" s="23" t="s">
        <v>164</v>
      </c>
      <c r="C74" s="24" t="str">
        <f>_xlfn.TEXTJOIN(",",TRUE,IF(LEFT(Regions!$C$3,1)&lt;&gt;"*",Regions!$C$3,""),IF(LEFT(Regions!$D$3,1)&lt;&gt;"*",Regions!$D$3,""))</f>
        <v>IE,National</v>
      </c>
      <c r="D74" t="s">
        <v>539</v>
      </c>
      <c r="E74" s="24" t="s">
        <v>409</v>
      </c>
      <c r="F74" s="23" t="s">
        <v>166</v>
      </c>
      <c r="G74" s="23"/>
      <c r="H74" s="23" t="s">
        <v>221</v>
      </c>
      <c r="I74" s="23"/>
      <c r="J74" s="483" t="s">
        <v>510</v>
      </c>
    </row>
    <row r="75" spans="2:10">
      <c r="B75" s="23" t="s">
        <v>164</v>
      </c>
      <c r="C75" s="24" t="str">
        <f>_xlfn.TEXTJOIN(",",TRUE,IF(LEFT(Regions!$C$3,1)&lt;&gt;"*",Regions!$C$3,""),IF(LEFT(Regions!$D$3,1)&lt;&gt;"*",Regions!$D$3,""))</f>
        <v>IE,National</v>
      </c>
      <c r="D75" t="s">
        <v>540</v>
      </c>
      <c r="E75" s="24" t="s">
        <v>410</v>
      </c>
      <c r="F75" s="23" t="s">
        <v>166</v>
      </c>
      <c r="G75" s="23"/>
      <c r="H75" s="23" t="s">
        <v>221</v>
      </c>
      <c r="I75" s="23"/>
      <c r="J75" s="483" t="s">
        <v>511</v>
      </c>
    </row>
    <row r="76" spans="2:10">
      <c r="B76" s="23" t="s">
        <v>164</v>
      </c>
      <c r="C76" s="24" t="str">
        <f>_xlfn.TEXTJOIN(",",TRUE,IF(LEFT(Regions!$C$3,1)&lt;&gt;"*",Regions!$C$3,""),IF(LEFT(Regions!$D$3,1)&lt;&gt;"*",Regions!$D$3,""))</f>
        <v>IE,National</v>
      </c>
      <c r="D76" t="s">
        <v>541</v>
      </c>
      <c r="E76" s="24" t="s">
        <v>411</v>
      </c>
      <c r="F76" s="23" t="s">
        <v>166</v>
      </c>
      <c r="G76" s="23"/>
      <c r="H76" s="23" t="s">
        <v>221</v>
      </c>
      <c r="I76" s="23"/>
      <c r="J76" s="483" t="s">
        <v>511</v>
      </c>
    </row>
    <row r="77" spans="2:10">
      <c r="B77" s="23" t="s">
        <v>164</v>
      </c>
      <c r="C77" s="24" t="str">
        <f>_xlfn.TEXTJOIN(",",TRUE,IF(LEFT(Regions!$C$3,1)&lt;&gt;"*",Regions!$C$3,""),IF(LEFT(Regions!$D$3,1)&lt;&gt;"*",Regions!$D$3,""))</f>
        <v>IE,National</v>
      </c>
      <c r="D77" t="s">
        <v>542</v>
      </c>
      <c r="E77" s="24" t="s">
        <v>408</v>
      </c>
      <c r="F77" s="23" t="s">
        <v>166</v>
      </c>
      <c r="G77" s="23"/>
      <c r="H77" s="23" t="s">
        <v>221</v>
      </c>
      <c r="I77" s="23"/>
      <c r="J77" s="483" t="s">
        <v>510</v>
      </c>
    </row>
    <row r="78" spans="2:10">
      <c r="B78" s="23" t="s">
        <v>164</v>
      </c>
      <c r="C78" s="24" t="str">
        <f>_xlfn.TEXTJOIN(",",TRUE,IF(LEFT(Regions!$C$3,1)&lt;&gt;"*",Regions!$C$3,""),IF(LEFT(Regions!$D$3,1)&lt;&gt;"*",Regions!$D$3,""))</f>
        <v>IE,National</v>
      </c>
      <c r="D78" t="s">
        <v>543</v>
      </c>
      <c r="E78" s="24" t="s">
        <v>409</v>
      </c>
      <c r="F78" s="23" t="s">
        <v>166</v>
      </c>
      <c r="G78" s="23"/>
      <c r="H78" s="23" t="s">
        <v>221</v>
      </c>
      <c r="I78" s="23"/>
      <c r="J78" s="483" t="s">
        <v>510</v>
      </c>
    </row>
    <row r="79" spans="2:10">
      <c r="B79" s="23" t="s">
        <v>164</v>
      </c>
      <c r="C79" s="24" t="str">
        <f>_xlfn.TEXTJOIN(",",TRUE,IF(LEFT(Regions!$C$3,1)&lt;&gt;"*",Regions!$C$3,""),IF(LEFT(Regions!$D$3,1)&lt;&gt;"*",Regions!$D$3,""))</f>
        <v>IE,National</v>
      </c>
      <c r="D79" t="s">
        <v>544</v>
      </c>
      <c r="E79" s="24" t="s">
        <v>410</v>
      </c>
      <c r="F79" s="23" t="s">
        <v>166</v>
      </c>
      <c r="G79" s="23"/>
      <c r="H79" s="23" t="s">
        <v>221</v>
      </c>
      <c r="I79" s="23"/>
      <c r="J79" s="483" t="s">
        <v>511</v>
      </c>
    </row>
    <row r="80" spans="2:10">
      <c r="B80" s="23" t="s">
        <v>164</v>
      </c>
      <c r="C80" s="24" t="str">
        <f>_xlfn.TEXTJOIN(",",TRUE,IF(LEFT(Regions!$C$3,1)&lt;&gt;"*",Regions!$C$3,""),IF(LEFT(Regions!$D$3,1)&lt;&gt;"*",Regions!$D$3,""))</f>
        <v>IE,National</v>
      </c>
      <c r="D80" t="s">
        <v>545</v>
      </c>
      <c r="E80" s="24" t="s">
        <v>411</v>
      </c>
      <c r="F80" s="23" t="s">
        <v>166</v>
      </c>
      <c r="G80" s="23"/>
      <c r="H80" s="23" t="s">
        <v>221</v>
      </c>
      <c r="I80" s="23"/>
      <c r="J80" s="483" t="s">
        <v>511</v>
      </c>
    </row>
    <row r="81" spans="2:10">
      <c r="B81" s="23" t="s">
        <v>164</v>
      </c>
      <c r="C81" s="24" t="str">
        <f>_xlfn.TEXTJOIN(",",TRUE,IF(LEFT(Regions!$C$3,1)&lt;&gt;"*",Regions!$C$3,""),IF(LEFT(Regions!$D$3,1)&lt;&gt;"*",Regions!$D$3,""))</f>
        <v>IE,National</v>
      </c>
      <c r="D81" t="s">
        <v>546</v>
      </c>
      <c r="E81" s="24" t="s">
        <v>408</v>
      </c>
      <c r="F81" s="23" t="s">
        <v>166</v>
      </c>
      <c r="G81" s="23"/>
      <c r="H81" s="23" t="s">
        <v>221</v>
      </c>
      <c r="I81" s="23"/>
      <c r="J81" s="483" t="s">
        <v>510</v>
      </c>
    </row>
    <row r="82" spans="2:10">
      <c r="B82" s="23" t="s">
        <v>164</v>
      </c>
      <c r="C82" s="24" t="str">
        <f>_xlfn.TEXTJOIN(",",TRUE,IF(LEFT(Regions!$C$3,1)&lt;&gt;"*",Regions!$C$3,""),IF(LEFT(Regions!$D$3,1)&lt;&gt;"*",Regions!$D$3,""))</f>
        <v>IE,National</v>
      </c>
      <c r="D82" t="s">
        <v>547</v>
      </c>
      <c r="E82" s="24" t="s">
        <v>409</v>
      </c>
      <c r="F82" s="23" t="s">
        <v>166</v>
      </c>
      <c r="G82" s="23"/>
      <c r="H82" s="23" t="s">
        <v>221</v>
      </c>
      <c r="I82" s="23"/>
      <c r="J82" s="483" t="s">
        <v>510</v>
      </c>
    </row>
    <row r="83" spans="2:10">
      <c r="B83" s="23" t="s">
        <v>164</v>
      </c>
      <c r="C83" s="24" t="str">
        <f>_xlfn.TEXTJOIN(",",TRUE,IF(LEFT(Regions!$C$3,1)&lt;&gt;"*",Regions!$C$3,""),IF(LEFT(Regions!$D$3,1)&lt;&gt;"*",Regions!$D$3,""))</f>
        <v>IE,National</v>
      </c>
      <c r="D83" t="s">
        <v>548</v>
      </c>
      <c r="E83" s="24" t="s">
        <v>410</v>
      </c>
      <c r="F83" s="23" t="s">
        <v>166</v>
      </c>
      <c r="G83" s="23"/>
      <c r="H83" s="23" t="s">
        <v>221</v>
      </c>
      <c r="I83" s="23"/>
      <c r="J83" s="483" t="s">
        <v>511</v>
      </c>
    </row>
    <row r="84" spans="2:10">
      <c r="B84" s="23" t="s">
        <v>164</v>
      </c>
      <c r="C84" s="24" t="str">
        <f>_xlfn.TEXTJOIN(",",TRUE,IF(LEFT(Regions!$C$3,1)&lt;&gt;"*",Regions!$C$3,""),IF(LEFT(Regions!$D$3,1)&lt;&gt;"*",Regions!$D$3,""))</f>
        <v>IE,National</v>
      </c>
      <c r="D84" t="s">
        <v>549</v>
      </c>
      <c r="E84" s="24" t="s">
        <v>411</v>
      </c>
      <c r="F84" s="23" t="s">
        <v>166</v>
      </c>
      <c r="G84" s="23"/>
      <c r="H84" s="23" t="s">
        <v>221</v>
      </c>
      <c r="I84" s="23"/>
      <c r="J84" s="483" t="s">
        <v>511</v>
      </c>
    </row>
    <row r="85" spans="2:10">
      <c r="B85" s="23" t="s">
        <v>164</v>
      </c>
      <c r="C85" s="24" t="str">
        <f>_xlfn.TEXTJOIN(",",TRUE,IF(LEFT(Regions!$C$3,1)&lt;&gt;"*",Regions!$C$3,""),IF(LEFT(Regions!$D$3,1)&lt;&gt;"*",Regions!$D$3,""))</f>
        <v>IE,National</v>
      </c>
      <c r="D85" t="s">
        <v>550</v>
      </c>
      <c r="E85" s="24" t="s">
        <v>408</v>
      </c>
      <c r="F85" s="23" t="s">
        <v>166</v>
      </c>
      <c r="G85" s="23"/>
      <c r="H85" s="23" t="s">
        <v>221</v>
      </c>
      <c r="I85" s="23"/>
      <c r="J85" s="483" t="s">
        <v>510</v>
      </c>
    </row>
    <row r="86" spans="2:10">
      <c r="B86" s="23" t="s">
        <v>164</v>
      </c>
      <c r="C86" s="24" t="str">
        <f>_xlfn.TEXTJOIN(",",TRUE,IF(LEFT(Regions!$C$3,1)&lt;&gt;"*",Regions!$C$3,""),IF(LEFT(Regions!$D$3,1)&lt;&gt;"*",Regions!$D$3,""))</f>
        <v>IE,National</v>
      </c>
      <c r="D86" t="s">
        <v>551</v>
      </c>
      <c r="E86" s="24" t="s">
        <v>409</v>
      </c>
      <c r="F86" s="23" t="s">
        <v>166</v>
      </c>
      <c r="G86" s="23"/>
      <c r="H86" s="23" t="s">
        <v>221</v>
      </c>
      <c r="I86" s="23"/>
      <c r="J86" s="483" t="s">
        <v>510</v>
      </c>
    </row>
    <row r="87" spans="2:10">
      <c r="B87" s="23" t="s">
        <v>164</v>
      </c>
      <c r="C87" s="24" t="str">
        <f>_xlfn.TEXTJOIN(",",TRUE,IF(LEFT(Regions!$C$3,1)&lt;&gt;"*",Regions!$C$3,""),IF(LEFT(Regions!$D$3,1)&lt;&gt;"*",Regions!$D$3,""))</f>
        <v>IE,National</v>
      </c>
      <c r="D87" t="s">
        <v>552</v>
      </c>
      <c r="E87" s="24" t="s">
        <v>410</v>
      </c>
      <c r="F87" s="23" t="s">
        <v>166</v>
      </c>
      <c r="G87" s="23"/>
      <c r="H87" s="23" t="s">
        <v>221</v>
      </c>
      <c r="I87" s="23"/>
      <c r="J87" s="483" t="s">
        <v>511</v>
      </c>
    </row>
    <row r="88" spans="2:10">
      <c r="B88" s="23" t="s">
        <v>164</v>
      </c>
      <c r="C88" s="24" t="str">
        <f>_xlfn.TEXTJOIN(",",TRUE,IF(LEFT(Regions!$C$3,1)&lt;&gt;"*",Regions!$C$3,""),IF(LEFT(Regions!$D$3,1)&lt;&gt;"*",Regions!$D$3,""))</f>
        <v>IE,National</v>
      </c>
      <c r="D88" t="s">
        <v>553</v>
      </c>
      <c r="E88" s="24" t="s">
        <v>411</v>
      </c>
      <c r="F88" s="23" t="s">
        <v>166</v>
      </c>
      <c r="G88" s="23"/>
      <c r="H88" s="23" t="s">
        <v>221</v>
      </c>
      <c r="I88" s="23"/>
      <c r="J88" s="483" t="s">
        <v>511</v>
      </c>
    </row>
    <row r="89" spans="2:10">
      <c r="B89" s="23" t="s">
        <v>164</v>
      </c>
      <c r="C89" s="24" t="str">
        <f>_xlfn.TEXTJOIN(",",TRUE,IF(LEFT(Regions!$C$3,1)&lt;&gt;"*",Regions!$C$3,""),IF(LEFT(Regions!$D$3,1)&lt;&gt;"*",Regions!$D$3,""))</f>
        <v>IE,National</v>
      </c>
      <c r="D89" t="s">
        <v>590</v>
      </c>
      <c r="E89" s="24" t="s">
        <v>591</v>
      </c>
      <c r="F89" s="2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9B35-A292-4896-84EE-9157D4436BDA}">
  <sheetPr codeName="Sheet5"/>
  <dimension ref="B2:J141"/>
  <sheetViews>
    <sheetView topLeftCell="A120" zoomScaleNormal="100" workbookViewId="0">
      <selection activeCell="B142" sqref="B142"/>
    </sheetView>
  </sheetViews>
  <sheetFormatPr defaultRowHeight="14.5"/>
  <cols>
    <col min="2" max="2" width="11.26953125" bestFit="1" customWidth="1"/>
    <col min="3" max="3" width="11.26953125" customWidth="1"/>
    <col min="4" max="4" width="15.26953125" bestFit="1" customWidth="1"/>
    <col min="5" max="5" width="55.1796875" bestFit="1" customWidth="1"/>
    <col min="9" max="9" width="10.453125" bestFit="1" customWidth="1"/>
    <col min="10" max="10" width="7.81640625" bestFit="1" customWidth="1"/>
  </cols>
  <sheetData>
    <row r="2" spans="2:10">
      <c r="B2" s="18" t="s">
        <v>212</v>
      </c>
      <c r="C2" s="18"/>
      <c r="D2" s="19"/>
      <c r="E2" s="19"/>
      <c r="F2" s="19"/>
      <c r="G2" s="19"/>
      <c r="H2" s="19"/>
      <c r="I2" s="19"/>
      <c r="J2" s="19"/>
    </row>
    <row r="3" spans="2:10" ht="15" thickBot="1">
      <c r="B3" s="20" t="s">
        <v>213</v>
      </c>
      <c r="C3" s="20" t="s">
        <v>203</v>
      </c>
      <c r="D3" s="20" t="s">
        <v>214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</row>
    <row r="4" spans="2:10">
      <c r="B4" s="22" t="s">
        <v>225</v>
      </c>
      <c r="C4" s="22"/>
      <c r="D4" s="21"/>
      <c r="E4" s="22"/>
      <c r="F4" s="22"/>
      <c r="G4" s="22"/>
      <c r="H4" s="22"/>
      <c r="I4" s="22"/>
      <c r="J4" s="22"/>
    </row>
    <row r="5" spans="2:10">
      <c r="B5" s="24" t="s">
        <v>226</v>
      </c>
      <c r="C5" s="24" t="str">
        <f>_xlfn.TEXTJOIN(",",TRUE,IF(LEFT(Regions!$C$3,1)&lt;&gt;"*",Regions!$C$3,""),IF(LEFT(Regions!$D$3,1)&lt;&gt;"*",Regions!$D$3,""))</f>
        <v>IE,National</v>
      </c>
      <c r="D5" s="24" t="str">
        <f>_xlfn.TEXTJOIN("-",TRUE,"I",B5,MID(Commodities!D27,2,3),"E0")</f>
        <v>I-DMD-CEM-E0</v>
      </c>
      <c r="E5" s="24" t="str">
        <f>_xlfn.CONCAT(Commodities!E27," process")</f>
        <v>Cement industry demand process</v>
      </c>
      <c r="F5" s="27" t="s">
        <v>166</v>
      </c>
      <c r="G5" s="28" t="s">
        <v>224</v>
      </c>
      <c r="H5" s="28"/>
      <c r="I5" s="29"/>
      <c r="J5" s="28"/>
    </row>
    <row r="6" spans="2:10">
      <c r="B6" s="24" t="s">
        <v>226</v>
      </c>
      <c r="C6" s="24" t="str">
        <f>_xlfn.TEXTJOIN(",",TRUE,IF(LEFT(Regions!$C$3,1)&lt;&gt;"*",Regions!$C$3,""),IF(LEFT(Regions!$D$3,1)&lt;&gt;"*",Regions!$D$3,""))</f>
        <v>IE,National</v>
      </c>
      <c r="D6" s="24" t="str">
        <f>_xlfn.TEXTJOIN("-",TRUE,"I",B6,MID(Commodities!D28,2,3),"E0")</f>
        <v>I-DMD-CAF-E0</v>
      </c>
      <c r="E6" s="24" t="str">
        <f>_xlfn.CONCAT(Commodities!E28," process")</f>
        <v>Chemicals industry demand process</v>
      </c>
      <c r="F6" s="27" t="s">
        <v>166</v>
      </c>
      <c r="G6" s="28" t="s">
        <v>224</v>
      </c>
      <c r="H6" s="29"/>
      <c r="I6" s="29"/>
      <c r="J6" s="28"/>
    </row>
    <row r="7" spans="2:10">
      <c r="B7" s="24" t="s">
        <v>226</v>
      </c>
      <c r="C7" s="24" t="str">
        <f>_xlfn.TEXTJOIN(",",TRUE,IF(LEFT(Regions!$C$3,1)&lt;&gt;"*",Regions!$C$3,""),IF(LEFT(Regions!$D$3,1)&lt;&gt;"*",Regions!$D$3,""))</f>
        <v>IE,National</v>
      </c>
      <c r="D7" s="24" t="str">
        <f>_xlfn.TEXTJOIN("-",TRUE,"I",B7,MID(Commodities!D29,2,3),"E0")</f>
        <v>I-DMD-FAP-E0</v>
      </c>
      <c r="E7" s="24" t="str">
        <f>_xlfn.CONCAT(Commodities!E29," process")</f>
        <v>Food and Drink demand process</v>
      </c>
      <c r="F7" s="27" t="s">
        <v>166</v>
      </c>
      <c r="G7" s="28" t="s">
        <v>224</v>
      </c>
      <c r="H7" s="29"/>
      <c r="I7" s="29"/>
      <c r="J7" s="28"/>
    </row>
    <row r="8" spans="2:10">
      <c r="B8" s="24" t="s">
        <v>226</v>
      </c>
      <c r="C8" s="24" t="str">
        <f>_xlfn.TEXTJOIN(",",TRUE,IF(LEFT(Regions!$C$3,1)&lt;&gt;"*",Regions!$C$3,""),IF(LEFT(Regions!$D$3,1)&lt;&gt;"*",Regions!$D$3,""))</f>
        <v>IE,National</v>
      </c>
      <c r="D8" s="24" t="str">
        <f>_xlfn.TEXTJOIN("-",TRUE,"I",B8,MID(Commodities!D30,2,3),"E0")</f>
        <v>I-DMD-LIM-E0</v>
      </c>
      <c r="E8" s="24" t="str">
        <f>_xlfn.CONCAT(Commodities!E30," process")</f>
        <v>Lime demand process</v>
      </c>
      <c r="F8" s="27" t="s">
        <v>166</v>
      </c>
      <c r="G8" s="28" t="s">
        <v>224</v>
      </c>
      <c r="H8" s="29"/>
      <c r="I8" s="29"/>
      <c r="J8" s="28"/>
    </row>
    <row r="9" spans="2:10">
      <c r="B9" s="24" t="s">
        <v>226</v>
      </c>
      <c r="C9" s="24" t="str">
        <f>_xlfn.TEXTJOIN(",",TRUE,IF(LEFT(Regions!$C$3,1)&lt;&gt;"*",Regions!$C$3,""),IF(LEFT(Regions!$D$3,1)&lt;&gt;"*",Regions!$D$3,""))</f>
        <v>IE,National</v>
      </c>
      <c r="D9" s="24" t="str">
        <f>_xlfn.TEXTJOIN("-",TRUE,"I",B9,MID(Commodities!D31,2,3),"E0")</f>
        <v>I-DMD-MAP-E0</v>
      </c>
      <c r="E9" s="24" t="str">
        <f>_xlfn.CONCAT(Commodities!E31," process")</f>
        <v>Metals demand process</v>
      </c>
      <c r="F9" s="27" t="s">
        <v>166</v>
      </c>
      <c r="G9" s="28" t="s">
        <v>224</v>
      </c>
      <c r="H9" s="29"/>
      <c r="I9" s="29"/>
      <c r="J9" s="28"/>
    </row>
    <row r="10" spans="2:10">
      <c r="B10" s="24" t="s">
        <v>226</v>
      </c>
      <c r="C10" s="24" t="str">
        <f>_xlfn.TEXTJOIN(",",TRUE,IF(LEFT(Regions!$C$3,1)&lt;&gt;"*",Regions!$C$3,""),IF(LEFT(Regions!$D$3,1)&lt;&gt;"*",Regions!$D$3,""))</f>
        <v>IE,National</v>
      </c>
      <c r="D10" s="24" t="str">
        <f>_xlfn.TEXTJOIN("-",TRUE,"I",B10,MID(Commodities!D32,2,3),"E0")</f>
        <v>I-DMD-OMA-E0</v>
      </c>
      <c r="E10" s="24" t="str">
        <f>_xlfn.CONCAT(Commodities!E32," process")</f>
        <v>Other Industry demand process</v>
      </c>
      <c r="F10" s="27" t="s">
        <v>166</v>
      </c>
      <c r="G10" s="28" t="s">
        <v>224</v>
      </c>
      <c r="H10" s="29"/>
      <c r="I10" s="29"/>
      <c r="J10" s="28"/>
    </row>
    <row r="11" spans="2:10">
      <c r="B11" s="24" t="s">
        <v>226</v>
      </c>
      <c r="C11" s="24" t="str">
        <f>_xlfn.TEXTJOIN(",",TRUE,IF(LEFT(Regions!$C$3,1)&lt;&gt;"*",Regions!$C$3,""),IF(LEFT(Regions!$D$3,1)&lt;&gt;"*",Regions!$D$3,""))</f>
        <v>IE,National</v>
      </c>
      <c r="D11" s="24" t="str">
        <f>_xlfn.TEXTJOIN("-",TRUE,"I",B11,MID(Commodities!D33,2,3),"E0")</f>
        <v>I-DMD-ONM-E0</v>
      </c>
      <c r="E11" s="24" t="str">
        <f>_xlfn.CONCAT(Commodities!E33," process")</f>
        <v>Other non-metallic minerals process</v>
      </c>
      <c r="F11" s="27" t="s">
        <v>166</v>
      </c>
      <c r="G11" s="28" t="s">
        <v>224</v>
      </c>
      <c r="H11" s="29"/>
      <c r="I11" s="29"/>
      <c r="J11" s="28"/>
    </row>
    <row r="12" spans="2:10">
      <c r="B12" s="24" t="s">
        <v>467</v>
      </c>
      <c r="C12" s="24" t="str">
        <f>_xlfn.TEXTJOIN(",",TRUE,IF(LEFT(Regions!$C$3,1)&lt;&gt;"*",Regions!$C$3,""),IF(LEFT(Regions!$D$3,1)&lt;&gt;"*",Regions!$D$3,""))</f>
        <v>IE,National</v>
      </c>
      <c r="D12" s="24" t="str">
        <f>_xlfn.TEXTJOIN("-",TRUE,"I",B12,MID(Commodities!D34,2,3),"E0")</f>
        <v>I-\I: -E0</v>
      </c>
      <c r="E12" s="24" t="str">
        <f>_xlfn.CONCAT(Commodities!E34," process")</f>
        <v xml:space="preserve"> process</v>
      </c>
      <c r="F12" s="27" t="s">
        <v>166</v>
      </c>
      <c r="G12" s="28" t="s">
        <v>224</v>
      </c>
      <c r="H12" s="29"/>
      <c r="I12" s="29"/>
      <c r="J12" s="28"/>
    </row>
    <row r="13" spans="2:10">
      <c r="B13" s="24" t="s">
        <v>226</v>
      </c>
      <c r="C13" s="24" t="str">
        <f>_xlfn.TEXTJOIN(",",TRUE,IF(LEFT(Regions!$C$3,1)&lt;&gt;"*",Regions!$C$3,""),IF(LEFT(Regions!$D$3,1)&lt;&gt;"*",Regions!$D$3,""))</f>
        <v>IE,National</v>
      </c>
      <c r="D13" s="24" t="str">
        <f>_xlfn.TEXTJOIN("-",TRUE,"I",B13,MID(Commodities!D35,2,3),"E0")</f>
        <v>I-DMD-WAP-E0</v>
      </c>
      <c r="E13" s="24" t="str">
        <f>_xlfn.CONCAT(Commodities!E35," process")</f>
        <v>Wood Products demand process</v>
      </c>
      <c r="F13" s="27" t="s">
        <v>166</v>
      </c>
      <c r="G13" s="28" t="s">
        <v>224</v>
      </c>
      <c r="H13" s="29"/>
      <c r="I13" s="29"/>
      <c r="J13" s="28"/>
    </row>
    <row r="14" spans="2:10">
      <c r="B14" s="24" t="s">
        <v>226</v>
      </c>
      <c r="C14" s="24" t="str">
        <f>_xlfn.TEXTJOIN(",",TRUE,IF(LEFT(Regions!$C$3,1)&lt;&gt;"*",Regions!$C$3,""),IF(LEFT(Regions!$D$3,1)&lt;&gt;"*",Regions!$D$3,""))</f>
        <v>IE,National</v>
      </c>
      <c r="D14" s="24" t="str">
        <f>_xlfn.TEXTJOIN("-",TRUE,"I",B14,MID(Commodities!D36,2,3),"E0")</f>
        <v>I-DMD-ELC-E0</v>
      </c>
      <c r="E14" s="24" t="str">
        <f>_xlfn.CONCAT(Commodities!E36," process")</f>
        <v>Electricity consumption industry process</v>
      </c>
      <c r="F14" s="27" t="s">
        <v>166</v>
      </c>
      <c r="G14" s="28" t="s">
        <v>224</v>
      </c>
      <c r="H14" s="29"/>
      <c r="I14" s="29"/>
      <c r="J14" s="28"/>
    </row>
    <row r="15" spans="2:10">
      <c r="B15" s="24" t="s">
        <v>226</v>
      </c>
      <c r="C15" s="24" t="str">
        <f>_xlfn.TEXTJOIN(",",TRUE,IF(LEFT(Regions!$C$3,1)&lt;&gt;"*",Regions!$C$3,""),IF(LEFT(Regions!$D$3,1)&lt;&gt;"*",Regions!$D$3,""))</f>
        <v>IE,National</v>
      </c>
      <c r="D15" s="24" t="str">
        <f>_xlfn.TEXTJOIN("-",TRUE,"I",B15,MID(Commodities!D37,2,3),"E0")</f>
        <v>I-DMD-OIL-E0</v>
      </c>
      <c r="E15" s="24" t="str">
        <f>_xlfn.CONCAT(Commodities!E37," process")</f>
        <v>Residual oil consumption industry process</v>
      </c>
      <c r="F15" s="27" t="s">
        <v>166</v>
      </c>
      <c r="G15" s="28" t="s">
        <v>224</v>
      </c>
      <c r="H15" s="28"/>
      <c r="I15" s="28"/>
      <c r="J15" s="28"/>
    </row>
    <row r="16" spans="2:10">
      <c r="B16" s="24" t="s">
        <v>467</v>
      </c>
      <c r="C16" s="24" t="str">
        <f>_xlfn.TEXTJOIN(",",TRUE,IF(LEFT(Regions!$C$3,1)&lt;&gt;"*",Regions!$C$3,""),IF(LEFT(Regions!$D$3,1)&lt;&gt;"*",Regions!$D$3,""))</f>
        <v>IE,National</v>
      </c>
      <c r="D16" s="24" t="str">
        <f>_xlfn.TEXTJOIN("-",TRUE,"I",B16,MID(Commodities!D38,2,3),"E0")</f>
        <v>I-\I: -E0</v>
      </c>
      <c r="E16" s="24" t="str">
        <f>_xlfn.CONCAT(Commodities!E38," process")</f>
        <v xml:space="preserve"> process</v>
      </c>
      <c r="F16" s="30" t="s">
        <v>166</v>
      </c>
      <c r="G16" s="28" t="s">
        <v>224</v>
      </c>
      <c r="H16" s="29"/>
      <c r="I16" s="29"/>
      <c r="J16" s="30"/>
    </row>
    <row r="17" spans="2:10">
      <c r="B17" s="24" t="s">
        <v>467</v>
      </c>
      <c r="C17" s="24" t="str">
        <f>_xlfn.TEXTJOIN(",",TRUE,IF(LEFT(Regions!$C$3,1)&lt;&gt;"*",Regions!$C$3,""),IF(LEFT(Regions!$D$3,1)&lt;&gt;"*",Regions!$D$3,""))</f>
        <v>IE,National</v>
      </c>
      <c r="D17" s="24" t="str">
        <f>_xlfn.TEXTJOIN("-",TRUE,"I",B17,MID(Commodities!D39,2,3),"E0")</f>
        <v>I-\I: -E0</v>
      </c>
      <c r="E17" s="24" t="str">
        <f>_xlfn.CONCAT(Commodities!E39," process")</f>
        <v xml:space="preserve"> process</v>
      </c>
      <c r="F17" s="27" t="s">
        <v>166</v>
      </c>
      <c r="G17" s="28" t="s">
        <v>224</v>
      </c>
      <c r="H17" s="29"/>
      <c r="I17" s="29"/>
      <c r="J17" s="30"/>
    </row>
    <row r="18" spans="2:10">
      <c r="B18" s="24" t="s">
        <v>467</v>
      </c>
      <c r="C18" s="24" t="str">
        <f>_xlfn.TEXTJOIN(",",TRUE,IF(LEFT(Regions!$C$3,1)&lt;&gt;"*",Regions!$C$3,""),IF(LEFT(Regions!$D$3,1)&lt;&gt;"*",Regions!$D$3,""))</f>
        <v>IE,National</v>
      </c>
      <c r="D18" s="24" t="str">
        <f>_xlfn.TEXTJOIN("-",TRUE,"I",B18,MID(Commodities!D40,2,3),"E0")</f>
        <v>I-\I: -E0</v>
      </c>
      <c r="E18" s="24" t="str">
        <f>_xlfn.CONCAT(Commodities!E40," process")</f>
        <v xml:space="preserve"> process</v>
      </c>
      <c r="F18" s="27" t="s">
        <v>166</v>
      </c>
      <c r="G18" s="28" t="s">
        <v>224</v>
      </c>
      <c r="H18" s="29"/>
      <c r="I18" s="29"/>
      <c r="J18" s="30"/>
    </row>
    <row r="19" spans="2:10">
      <c r="B19" s="22" t="s">
        <v>223</v>
      </c>
      <c r="C19" s="22"/>
      <c r="D19" s="21"/>
      <c r="E19" s="22"/>
      <c r="F19" s="22"/>
      <c r="G19" s="22"/>
      <c r="H19" s="22"/>
      <c r="I19" s="22"/>
      <c r="J19" s="22"/>
    </row>
    <row r="20" spans="2:10">
      <c r="B20" s="24" t="s">
        <v>222</v>
      </c>
      <c r="C20" s="24" t="str">
        <f>_xlfn.TEXTJOIN(",",TRUE,IF(LEFT(Regions!$C$3,1)&lt;&gt;"*",Regions!$C$3,""),IF(LEFT(Regions!$D$3,1)&lt;&gt;"*",Regions!$D$3,""))</f>
        <v>IE,National</v>
      </c>
      <c r="D20" s="24" t="str">
        <f>_xlfn.TEXTJOIN("-",TRUE,"FT",Commodities!D5)</f>
        <v>FT-INDCOA</v>
      </c>
      <c r="E20" s="24" t="str">
        <f>_xlfn.TEXTJOIN(" - ",TRUE,"Fuel Tech",Commodities!E5)</f>
        <v>Fuel Tech - Coal (IND)</v>
      </c>
      <c r="F20" s="32" t="s">
        <v>166</v>
      </c>
      <c r="G20" s="28" t="s">
        <v>224</v>
      </c>
      <c r="H20" s="30"/>
      <c r="I20" s="31"/>
      <c r="J20" s="30"/>
    </row>
    <row r="21" spans="2:10">
      <c r="B21" s="24" t="s">
        <v>488</v>
      </c>
      <c r="C21" s="24" t="str">
        <f>_xlfn.TEXTJOIN(",",TRUE,IF(LEFT(Regions!$C$3,1)&lt;&gt;"*",Regions!$C$3,""),IF(LEFT(Regions!$D$3,1)&lt;&gt;"*",Regions!$D$3,""))</f>
        <v>IE,National</v>
      </c>
      <c r="D21" s="24" t="str">
        <f>_xlfn.TEXTJOIN("-",TRUE,"FT",Commodities!D6)</f>
        <v>FT-INDPEA</v>
      </c>
      <c r="E21" s="24" t="str">
        <f>_xlfn.TEXTJOIN(" - ",TRUE,"Fuel Tech",Commodities!E6)</f>
        <v xml:space="preserve">Fuel Tech - Peat (IND) </v>
      </c>
      <c r="F21" s="33" t="s">
        <v>166</v>
      </c>
      <c r="G21" s="28" t="s">
        <v>224</v>
      </c>
      <c r="H21" s="30"/>
      <c r="I21" s="34"/>
      <c r="J21" s="34"/>
    </row>
    <row r="22" spans="2:10">
      <c r="B22" s="24" t="s">
        <v>222</v>
      </c>
      <c r="C22" s="24" t="str">
        <f>_xlfn.TEXTJOIN(",",TRUE,IF(LEFT(Regions!$C$3,1)&lt;&gt;"*",Regions!$C$3,""),IF(LEFT(Regions!$D$3,1)&lt;&gt;"*",Regions!$D$3,""))</f>
        <v>IE,National</v>
      </c>
      <c r="D22" s="24" t="str">
        <f>_xlfn.TEXTJOIN("-",TRUE,"FT",Commodities!D7)</f>
        <v>FT-INDOIL</v>
      </c>
      <c r="E22" s="24" t="str">
        <f>_xlfn.TEXTJOIN(" - ",TRUE,"Fuel Tech",Commodities!E7)</f>
        <v>Fuel Tech - Oil products (IND)</v>
      </c>
      <c r="F22" s="33" t="s">
        <v>166</v>
      </c>
      <c r="G22" s="28" t="s">
        <v>224</v>
      </c>
      <c r="H22" s="30"/>
      <c r="I22" s="34"/>
      <c r="J22" s="34"/>
    </row>
    <row r="23" spans="2:10">
      <c r="B23" s="51" t="s">
        <v>488</v>
      </c>
      <c r="C23" s="51" t="str">
        <f>_xlfn.TEXTJOIN(",",TRUE,IF(LEFT(Regions!$C$3,1)&lt;&gt;"*",Regions!$C$3,""),IF(LEFT(Regions!$D$3,1)&lt;&gt;"*",Regions!$D$3,""))</f>
        <v>IE,National</v>
      </c>
      <c r="D23" s="51" t="str">
        <f>_xlfn.TEXTJOIN("-",TRUE,"FT",Commodities!D8)</f>
        <v>FT-INDBKE</v>
      </c>
      <c r="E23" s="51" t="str">
        <f>_xlfn.TEXTJOIN(" - ",TRUE,"Fuel Tech",Commodities!E8)</f>
        <v>Fuel Tech - BioKerosene (IND)</v>
      </c>
      <c r="F23" s="52" t="s">
        <v>166</v>
      </c>
      <c r="G23" s="51" t="s">
        <v>224</v>
      </c>
      <c r="H23" s="30"/>
      <c r="I23" s="34"/>
      <c r="J23" s="34"/>
    </row>
    <row r="24" spans="2:10">
      <c r="B24" s="24" t="s">
        <v>488</v>
      </c>
      <c r="C24" s="24" t="str">
        <f>_xlfn.TEXTJOIN(",",TRUE,IF(LEFT(Regions!$C$3,1)&lt;&gt;"*",Regions!$C$3,""),IF(LEFT(Regions!$D$3,1)&lt;&gt;"*",Regions!$D$3,""))</f>
        <v>IE,National</v>
      </c>
      <c r="D24" s="24" t="str">
        <f>_xlfn.TEXTJOIN("-",TRUE,"FT",Commodities!D9)</f>
        <v>FT-INDHFO</v>
      </c>
      <c r="E24" s="24" t="str">
        <f>_xlfn.TEXTJOIN(" - ",TRUE,"Fuel Tech",Commodities!E9)</f>
        <v>Fuel Tech - Heavy Fuel Oil (IND)</v>
      </c>
      <c r="F24" s="33" t="s">
        <v>166</v>
      </c>
      <c r="G24" s="28" t="s">
        <v>224</v>
      </c>
      <c r="H24" s="30"/>
      <c r="I24" s="34"/>
      <c r="J24" s="34"/>
    </row>
    <row r="25" spans="2:10">
      <c r="B25" s="24" t="s">
        <v>488</v>
      </c>
      <c r="C25" s="24" t="str">
        <f>_xlfn.TEXTJOIN(",",TRUE,IF(LEFT(Regions!$C$3,1)&lt;&gt;"*",Regions!$C$3,""),IF(LEFT(Regions!$D$3,1)&lt;&gt;"*",Regions!$D$3,""))</f>
        <v>IE,National</v>
      </c>
      <c r="D25" s="24" t="str">
        <f>_xlfn.TEXTJOIN("-",TRUE,"FT",Commodities!D10)</f>
        <v>FT-INDLPG</v>
      </c>
      <c r="E25" s="24" t="str">
        <f>_xlfn.TEXTJOIN(" - ",TRUE,"Fuel Tech",Commodities!E10)</f>
        <v>Fuel Tech - Liquified Petroleum Gas (IND)</v>
      </c>
      <c r="F25" s="33" t="s">
        <v>166</v>
      </c>
      <c r="G25" s="28" t="s">
        <v>224</v>
      </c>
      <c r="H25" s="30"/>
      <c r="I25" s="34"/>
      <c r="J25" s="34"/>
    </row>
    <row r="26" spans="2:10">
      <c r="B26" s="24" t="s">
        <v>488</v>
      </c>
      <c r="C26" s="24" t="str">
        <f>_xlfn.TEXTJOIN(",",TRUE,IF(LEFT(Regions!$C$3,1)&lt;&gt;"*",Regions!$C$3,""),IF(LEFT(Regions!$D$3,1)&lt;&gt;"*",Regions!$D$3,""))</f>
        <v>IE,National</v>
      </c>
      <c r="D26" s="24" t="str">
        <f>_xlfn.TEXTJOIN("-",TRUE,"FT",Commodities!D11)</f>
        <v>FT-INDDST</v>
      </c>
      <c r="E26" s="24" t="str">
        <f>_xlfn.TEXTJOIN(" - ",TRUE,"Fuel Tech",Commodities!E11)</f>
        <v>Fuel Tech - Diesel (IND)</v>
      </c>
      <c r="F26" s="33" t="s">
        <v>166</v>
      </c>
      <c r="G26" s="28" t="s">
        <v>224</v>
      </c>
      <c r="H26" s="30"/>
      <c r="I26" s="34"/>
      <c r="J26" s="34"/>
    </row>
    <row r="27" spans="2:10">
      <c r="B27" s="24" t="s">
        <v>222</v>
      </c>
      <c r="C27" s="51" t="str">
        <f>_xlfn.TEXTJOIN(",",TRUE,IF(LEFT(Regions!$C$3,1)&lt;&gt;"*",Regions!$C$3,""),IF(LEFT(Regions!$D$3,1)&lt;&gt;"*",Regions!$D$3,""))</f>
        <v>IE,National</v>
      </c>
      <c r="D27" s="51" t="str">
        <f>_xlfn.TEXTJOIN("-",TRUE,"FT",Commodities!D12)</f>
        <v>FT-INDWOO</v>
      </c>
      <c r="E27" s="51" t="str">
        <f>_xlfn.TEXTJOIN(" - ",TRUE,"Fuel Tech",Commodities!E12)</f>
        <v>Fuel Tech - Solid biomass (IND)</v>
      </c>
      <c r="F27" s="52" t="s">
        <v>166</v>
      </c>
      <c r="G27" s="51" t="s">
        <v>224</v>
      </c>
      <c r="H27" s="53"/>
      <c r="I27" s="54"/>
      <c r="J27" s="54"/>
    </row>
    <row r="28" spans="2:10">
      <c r="B28" s="24" t="s">
        <v>222</v>
      </c>
      <c r="C28" s="24" t="str">
        <f>_xlfn.TEXTJOIN(",",TRUE,IF(LEFT(Regions!$C$3,1)&lt;&gt;"*",Regions!$C$3,""),IF(LEFT(Regions!$D$3,1)&lt;&gt;"*",Regions!$D$3,""))</f>
        <v>IE,National</v>
      </c>
      <c r="D28" s="24" t="str">
        <f>_xlfn.TEXTJOIN("-",TRUE,"FT",Commodities!D13)</f>
        <v>FT-INDCOK</v>
      </c>
      <c r="E28" s="24" t="str">
        <f>_xlfn.TEXTJOIN(" - ",TRUE,"Fuel Tech",Commodities!E13)</f>
        <v>Fuel Tech - Petroleum Coke (IND)</v>
      </c>
      <c r="F28" s="33" t="s">
        <v>166</v>
      </c>
      <c r="G28" s="28" t="s">
        <v>224</v>
      </c>
      <c r="H28" s="30"/>
      <c r="I28" s="34"/>
      <c r="J28" s="34"/>
    </row>
    <row r="29" spans="2:10">
      <c r="B29" s="24" t="s">
        <v>222</v>
      </c>
      <c r="C29" s="24" t="str">
        <f>_xlfn.TEXTJOIN(",",TRUE,IF(LEFT(Regions!$C$3,1)&lt;&gt;"*",Regions!$C$3,""),IF(LEFT(Regions!$D$3,1)&lt;&gt;"*",Regions!$D$3,""))</f>
        <v>IE,National</v>
      </c>
      <c r="D29" s="24" t="str">
        <f>_xlfn.TEXTJOIN("-",TRUE,"FT",Commodities!D14)</f>
        <v>FT-INDGAS</v>
      </c>
      <c r="E29" s="24" t="str">
        <f>_xlfn.TEXTJOIN(" - ",TRUE,"Fuel Tech",Commodities!E14)</f>
        <v>Fuel Tech - Natural Gas (IND)</v>
      </c>
      <c r="F29" s="33" t="s">
        <v>166</v>
      </c>
      <c r="G29" s="28" t="s">
        <v>224</v>
      </c>
      <c r="H29" s="30"/>
      <c r="I29" s="34"/>
      <c r="J29" s="34"/>
    </row>
    <row r="30" spans="2:10">
      <c r="B30" s="24" t="s">
        <v>222</v>
      </c>
      <c r="C30" s="24" t="str">
        <f>_xlfn.TEXTJOIN(",",TRUE,IF(LEFT(Regions!$C$3,1)&lt;&gt;"*",Regions!$C$3,""),IF(LEFT(Regions!$D$3,1)&lt;&gt;"*",Regions!$D$3,""))</f>
        <v>IE,National</v>
      </c>
      <c r="D30" s="24" t="str">
        <f>_xlfn.TEXTJOIN("-",TRUE,"FT",Commodities!D19)</f>
        <v>FT-INDELC</v>
      </c>
      <c r="E30" s="24" t="str">
        <f>_xlfn.TEXTJOIN(" - ",TRUE,"Fuel Tech",Commodities!E19)</f>
        <v>Fuel Tech - Electricity (IND)</v>
      </c>
      <c r="F30" s="33" t="s">
        <v>166</v>
      </c>
      <c r="G30" s="28" t="s">
        <v>224</v>
      </c>
      <c r="H30" s="34" t="s">
        <v>221</v>
      </c>
      <c r="I30" s="34"/>
      <c r="J30" s="34"/>
    </row>
    <row r="31" spans="2:10">
      <c r="B31" s="24" t="s">
        <v>222</v>
      </c>
      <c r="C31" s="24" t="str">
        <f>_xlfn.TEXTJOIN(",",TRUE,IF(LEFT(Regions!$C$3,1)&lt;&gt;"*",Regions!$C$3,""),IF(LEFT(Regions!$D$3,1)&lt;&gt;"*",Regions!$D$3,""))</f>
        <v>IE,National</v>
      </c>
      <c r="D31" s="24" t="str">
        <f>_xlfn.TEXTJOIN("-",TRUE,"FT",Commodities!D20)</f>
        <v>FT-INDBGS</v>
      </c>
      <c r="E31" s="24" t="str">
        <f>_xlfn.TEXTJOIN(" - ",TRUE,"Fuel Tech",Commodities!E20)</f>
        <v>Fuel Tech - Biogas (IND)</v>
      </c>
      <c r="F31" s="33" t="s">
        <v>166</v>
      </c>
      <c r="G31" s="28" t="s">
        <v>224</v>
      </c>
      <c r="H31" s="34"/>
      <c r="I31" s="34"/>
      <c r="J31" s="34"/>
    </row>
    <row r="32" spans="2:10">
      <c r="B32" s="24" t="s">
        <v>222</v>
      </c>
      <c r="C32" s="24" t="str">
        <f>_xlfn.TEXTJOIN(",",TRUE,IF(LEFT(Regions!$C$3,1)&lt;&gt;"*",Regions!$C$3,""),IF(LEFT(Regions!$D$3,1)&lt;&gt;"*",Regions!$D$3,""))</f>
        <v>IE,National</v>
      </c>
      <c r="D32" s="24" t="str">
        <f>_xlfn.TEXTJOIN("-",TRUE,"FT",Commodities!D21)</f>
        <v>FT-INDBIO</v>
      </c>
      <c r="E32" s="24" t="str">
        <f>_xlfn.TEXTJOIN(" - ",TRUE,"Fuel Tech",Commodities!E21)</f>
        <v>Fuel Tech - Biomass (IND)</v>
      </c>
      <c r="F32" s="33" t="s">
        <v>166</v>
      </c>
      <c r="G32" s="28" t="s">
        <v>224</v>
      </c>
      <c r="H32" s="34"/>
      <c r="I32" s="34"/>
      <c r="J32" s="34"/>
    </row>
    <row r="33" spans="2:10">
      <c r="B33" s="24" t="s">
        <v>222</v>
      </c>
      <c r="C33" s="24" t="str">
        <f>_xlfn.TEXTJOIN(",",TRUE,IF(LEFT(Regions!$C$3,1)&lt;&gt;"*",Regions!$C$3,""),IF(LEFT(Regions!$D$3,1)&lt;&gt;"*",Regions!$D$3,""))</f>
        <v>IE,National</v>
      </c>
      <c r="D33" s="24" t="str">
        <f>_xlfn.TEXTJOIN("-",TRUE,"FT",Commodities!D22)</f>
        <v>FT-INDRWS</v>
      </c>
      <c r="E33" s="24" t="str">
        <f>_xlfn.TEXTJOIN(" - ",TRUE,"Fuel Tech",Commodities!E22)</f>
        <v>Fuel Tech - Renewable waste (IND)</v>
      </c>
      <c r="F33" s="33" t="s">
        <v>166</v>
      </c>
      <c r="G33" s="28" t="s">
        <v>224</v>
      </c>
      <c r="H33" s="34"/>
      <c r="I33" s="34"/>
      <c r="J33" s="34"/>
    </row>
    <row r="34" spans="2:10">
      <c r="B34" s="24" t="s">
        <v>222</v>
      </c>
      <c r="C34" s="24" t="str">
        <f>_xlfn.TEXTJOIN(",",TRUE,IF(LEFT(Regions!$C$3,1)&lt;&gt;"*",Regions!$C$3,""),IF(LEFT(Regions!$D$3,1)&lt;&gt;"*",Regions!$D$3,""))</f>
        <v>IE,National</v>
      </c>
      <c r="D34" s="24" t="str">
        <f>_xlfn.TEXTJOIN("-",TRUE,"FT",Commodities!D23)</f>
        <v>FT-INDNWS</v>
      </c>
      <c r="E34" s="24" t="str">
        <f>_xlfn.TEXTJOIN(" - ",TRUE,"Fuel Tech",Commodities!E23)</f>
        <v>Fuel Tech - Non-renewable waste (IND)</v>
      </c>
      <c r="F34" s="33" t="s">
        <v>166</v>
      </c>
      <c r="G34" s="28" t="s">
        <v>224</v>
      </c>
      <c r="H34" s="34"/>
      <c r="I34" s="34"/>
      <c r="J34" s="34"/>
    </row>
    <row r="35" spans="2:10">
      <c r="B35" s="24" t="s">
        <v>222</v>
      </c>
      <c r="C35" s="24" t="str">
        <f>_xlfn.TEXTJOIN(",",TRUE,IF(LEFT(Regions!$C$3,1)&lt;&gt;"*",Regions!$C$3,""),IF(LEFT(Regions!$D$3,1)&lt;&gt;"*",Regions!$D$3,""))</f>
        <v>IE,National</v>
      </c>
      <c r="D35" s="24" t="str">
        <f>_xlfn.TEXTJOIN("-",TRUE,"FT",Commodities!D24)</f>
        <v>FT-INDH2G</v>
      </c>
      <c r="E35" s="24" t="str">
        <f>_xlfn.TEXTJOIN(" - ",TRUE,"Fuel Tech",Commodities!E24)</f>
        <v>Fuel Tech - Hydrogen gaseous (IND)</v>
      </c>
      <c r="F35" s="33" t="s">
        <v>166</v>
      </c>
      <c r="G35" s="28" t="s">
        <v>224</v>
      </c>
      <c r="H35" s="34"/>
      <c r="I35" s="34"/>
      <c r="J35" s="34"/>
    </row>
    <row r="36" spans="2:10">
      <c r="B36" s="24" t="s">
        <v>222</v>
      </c>
      <c r="C36" s="24" t="str">
        <f>_xlfn.TEXTJOIN(",",TRUE,IF(LEFT(Regions!$C$3,1)&lt;&gt;"*",Regions!$C$3,""),IF(LEFT(Regions!$D$3,1)&lt;&gt;"*",Regions!$D$3,""))</f>
        <v>IE,National</v>
      </c>
      <c r="D36" s="24" t="str">
        <f>_xlfn.TEXTJOIN("-",TRUE,"FT",Commodities!D25)</f>
        <v>FT-INDH2L</v>
      </c>
      <c r="E36" s="24" t="str">
        <f>_xlfn.TEXTJOIN(" - ",TRUE,"Fuel Tech",Commodities!E25)</f>
        <v>Fuel Tech - Hydrogen liquid (IND)</v>
      </c>
      <c r="F36" s="33" t="s">
        <v>166</v>
      </c>
      <c r="G36" s="28" t="s">
        <v>224</v>
      </c>
      <c r="H36" s="34"/>
      <c r="I36" s="34"/>
      <c r="J36" s="34"/>
    </row>
    <row r="37" spans="2:10">
      <c r="B37" s="476" t="s">
        <v>222</v>
      </c>
      <c r="C37" s="476" t="str">
        <f>_xlfn.TEXTJOIN(",",TRUE,IF(LEFT(Regions!$C$3,1)&lt;&gt;"*",Regions!$C$3,""),IF(LEFT(Regions!$D$3,1)&lt;&gt;"*",Regions!$D$3,""))</f>
        <v>IE,National</v>
      </c>
      <c r="D37" s="476" t="str">
        <f>+Techs!B6</f>
        <v>I-CEM-KLN-NWS-ETS_E0</v>
      </c>
      <c r="E37" s="476" t="str">
        <f>+Techs!C6</f>
        <v>Industry - Cement - Cement/Lime Kiln - Non-bio waste - ETS</v>
      </c>
      <c r="F37" s="477" t="s">
        <v>480</v>
      </c>
      <c r="G37" s="478" t="s">
        <v>224</v>
      </c>
      <c r="H37" s="479"/>
      <c r="I37" s="479"/>
      <c r="J37" s="479"/>
    </row>
    <row r="38" spans="2:10">
      <c r="B38" s="476" t="s">
        <v>222</v>
      </c>
      <c r="C38" s="476" t="str">
        <f>_xlfn.TEXTJOIN(",",TRUE,IF(LEFT(Regions!$C$3,1)&lt;&gt;"*",Regions!$C$3,""),IF(LEFT(Regions!$D$3,1)&lt;&gt;"*",Regions!$D$3,""))</f>
        <v>IE,National</v>
      </c>
      <c r="D38" s="476" t="str">
        <f>+Techs!B7</f>
        <v>I-CEM-DRR-NWS-ETS_E0</v>
      </c>
      <c r="E38" s="476" t="str">
        <f>+Techs!C7</f>
        <v>Industry - Cement - Dryer - Non-bio waste - ETS</v>
      </c>
      <c r="F38" s="477" t="s">
        <v>480</v>
      </c>
      <c r="G38" s="478" t="s">
        <v>224</v>
      </c>
      <c r="H38" s="479"/>
      <c r="I38" s="479"/>
      <c r="J38" s="479"/>
    </row>
    <row r="39" spans="2:10">
      <c r="B39" s="476" t="s">
        <v>222</v>
      </c>
      <c r="C39" s="476" t="str">
        <f>_xlfn.TEXTJOIN(",",TRUE,IF(LEFT(Regions!$C$3,1)&lt;&gt;"*",Regions!$C$3,""),IF(LEFT(Regions!$D$3,1)&lt;&gt;"*",Regions!$D$3,""))</f>
        <v>IE,National</v>
      </c>
      <c r="D39" s="476" t="str">
        <f>+Techs!B8</f>
        <v>I-CEM-KLN-RWS-ETS_E0</v>
      </c>
      <c r="E39" s="476" t="str">
        <f>+Techs!C8</f>
        <v>Industry - Cement - Cement/Lime Kiln - Bio waste - ETS</v>
      </c>
      <c r="F39" s="477" t="s">
        <v>480</v>
      </c>
      <c r="G39" s="478" t="s">
        <v>224</v>
      </c>
      <c r="H39" s="479"/>
      <c r="I39" s="479"/>
      <c r="J39" s="479"/>
    </row>
    <row r="40" spans="2:10">
      <c r="B40" s="476" t="s">
        <v>222</v>
      </c>
      <c r="C40" s="476" t="str">
        <f>_xlfn.TEXTJOIN(",",TRUE,IF(LEFT(Regions!$C$3,1)&lt;&gt;"*",Regions!$C$3,""),IF(LEFT(Regions!$D$3,1)&lt;&gt;"*",Regions!$D$3,""))</f>
        <v>IE,National</v>
      </c>
      <c r="D40" s="476" t="str">
        <f>+Techs!B9</f>
        <v>I-CEM-DRR-RWS-ETS_E0</v>
      </c>
      <c r="E40" s="476" t="str">
        <f>+Techs!C9</f>
        <v>Industry - Cement - Dryer - Bio waste - ETS</v>
      </c>
      <c r="F40" s="477" t="s">
        <v>480</v>
      </c>
      <c r="G40" s="478" t="s">
        <v>224</v>
      </c>
      <c r="H40" s="479"/>
      <c r="I40" s="479"/>
      <c r="J40" s="479"/>
    </row>
    <row r="41" spans="2:10">
      <c r="B41" s="476" t="s">
        <v>222</v>
      </c>
      <c r="C41" s="476" t="str">
        <f>_xlfn.TEXTJOIN(",",TRUE,IF(LEFT(Regions!$C$3,1)&lt;&gt;"*",Regions!$C$3,""),IF(LEFT(Regions!$D$3,1)&lt;&gt;"*",Regions!$D$3,""))</f>
        <v>IE,National</v>
      </c>
      <c r="D41" s="476" t="str">
        <f>+Techs!B10</f>
        <v>I-CEM-KLN-COA-ETS_E0</v>
      </c>
      <c r="E41" s="476" t="str">
        <f>+Techs!C10</f>
        <v>Industry - Cement - Cement/Lime Kiln - Solid Fuels - ETS</v>
      </c>
      <c r="F41" s="477" t="s">
        <v>480</v>
      </c>
      <c r="G41" s="478" t="s">
        <v>224</v>
      </c>
      <c r="H41" s="479"/>
      <c r="I41" s="479"/>
      <c r="J41" s="479"/>
    </row>
    <row r="42" spans="2:10">
      <c r="B42" s="476" t="s">
        <v>222</v>
      </c>
      <c r="C42" s="476" t="str">
        <f>_xlfn.TEXTJOIN(",",TRUE,IF(LEFT(Regions!$C$3,1)&lt;&gt;"*",Regions!$C$3,""),IF(LEFT(Regions!$D$3,1)&lt;&gt;"*",Regions!$D$3,""))</f>
        <v>IE,National</v>
      </c>
      <c r="D42" s="476" t="str">
        <f>+Techs!B11</f>
        <v>I-CEM-DRR-COA-ETS_E0</v>
      </c>
      <c r="E42" s="476" t="str">
        <f>+Techs!C11</f>
        <v>Industry - Cement - Dryer - Solid Fuels - ETS</v>
      </c>
      <c r="F42" s="477" t="s">
        <v>480</v>
      </c>
      <c r="G42" s="478" t="s">
        <v>224</v>
      </c>
      <c r="H42" s="479"/>
      <c r="I42" s="479"/>
      <c r="J42" s="479"/>
    </row>
    <row r="43" spans="2:10">
      <c r="B43" s="476" t="s">
        <v>222</v>
      </c>
      <c r="C43" s="476" t="str">
        <f>_xlfn.TEXTJOIN(",",TRUE,IF(LEFT(Regions!$C$3,1)&lt;&gt;"*",Regions!$C$3,""),IF(LEFT(Regions!$D$3,1)&lt;&gt;"*",Regions!$D$3,""))</f>
        <v>IE,National</v>
      </c>
      <c r="D43" s="476" t="str">
        <f>+Techs!B12</f>
        <v>I-CEM-KLN-OIL-ETS_E0</v>
      </c>
      <c r="E43" s="476" t="str">
        <f>+Techs!C12</f>
        <v>Industry - Cement - Cement/Lime Kiln - Oil - ETS</v>
      </c>
      <c r="F43" s="477" t="s">
        <v>480</v>
      </c>
      <c r="G43" s="478" t="s">
        <v>224</v>
      </c>
      <c r="H43" s="479"/>
      <c r="I43" s="479"/>
      <c r="J43" s="479"/>
    </row>
    <row r="44" spans="2:10">
      <c r="B44" s="476" t="s">
        <v>222</v>
      </c>
      <c r="C44" s="476" t="str">
        <f>_xlfn.TEXTJOIN(",",TRUE,IF(LEFT(Regions!$C$3,1)&lt;&gt;"*",Regions!$C$3,""),IF(LEFT(Regions!$D$3,1)&lt;&gt;"*",Regions!$D$3,""))</f>
        <v>IE,National</v>
      </c>
      <c r="D44" s="476" t="str">
        <f>+Techs!B13</f>
        <v>I-CEM-DRR-OIL-ETS_E0</v>
      </c>
      <c r="E44" s="476" t="str">
        <f>+Techs!C13</f>
        <v>Industry - Cement - Dryer - Oil - ETS</v>
      </c>
      <c r="F44" s="477" t="s">
        <v>480</v>
      </c>
      <c r="G44" s="478" t="s">
        <v>224</v>
      </c>
      <c r="H44" s="479"/>
      <c r="I44" s="479"/>
      <c r="J44" s="479"/>
    </row>
    <row r="45" spans="2:10">
      <c r="B45" s="476" t="s">
        <v>222</v>
      </c>
      <c r="C45" s="476" t="str">
        <f>_xlfn.TEXTJOIN(",",TRUE,IF(LEFT(Regions!$C$3,1)&lt;&gt;"*",Regions!$C$3,""),IF(LEFT(Regions!$D$3,1)&lt;&gt;"*",Regions!$D$3,""))</f>
        <v>IE,National</v>
      </c>
      <c r="D45" s="476" t="str">
        <f>+Techs!B14</f>
        <v>I-CEM-KLN-GAS-ETS_E0</v>
      </c>
      <c r="E45" s="476" t="str">
        <f>+Techs!C14</f>
        <v>Industry - Cement - Cement/Lime Kiln - Gas - ETS</v>
      </c>
      <c r="F45" s="477" t="s">
        <v>480</v>
      </c>
      <c r="G45" s="478" t="s">
        <v>224</v>
      </c>
      <c r="H45" s="479"/>
      <c r="I45" s="479"/>
      <c r="J45" s="479"/>
    </row>
    <row r="46" spans="2:10">
      <c r="B46" s="476" t="s">
        <v>222</v>
      </c>
      <c r="C46" s="476" t="str">
        <f>_xlfn.TEXTJOIN(",",TRUE,IF(LEFT(Regions!$C$3,1)&lt;&gt;"*",Regions!$C$3,""),IF(LEFT(Regions!$D$3,1)&lt;&gt;"*",Regions!$D$3,""))</f>
        <v>IE,National</v>
      </c>
      <c r="D46" s="476" t="str">
        <f>+Techs!B15</f>
        <v>I-CEM-DRR-GAS-ETS_E0</v>
      </c>
      <c r="E46" s="476" t="str">
        <f>+Techs!C15</f>
        <v>Industry - Cement - Dryer - Gas - ETS</v>
      </c>
      <c r="F46" s="477" t="s">
        <v>480</v>
      </c>
      <c r="G46" s="478" t="s">
        <v>224</v>
      </c>
      <c r="H46" s="479"/>
      <c r="I46" s="479"/>
      <c r="J46" s="479"/>
    </row>
    <row r="47" spans="2:10">
      <c r="B47" s="476" t="s">
        <v>222</v>
      </c>
      <c r="C47" s="476" t="str">
        <f>_xlfn.TEXTJOIN(",",TRUE,IF(LEFT(Regions!$C$3,1)&lt;&gt;"*",Regions!$C$3,""),IF(LEFT(Regions!$D$3,1)&lt;&gt;"*",Regions!$D$3,""))</f>
        <v>IE,National</v>
      </c>
      <c r="D47" s="476" t="str">
        <f>+Techs!B16</f>
        <v>I-CAF-BLR-OIL-ETS_E0</v>
      </c>
      <c r="E47" s="476" t="str">
        <f>+Techs!C16</f>
        <v>Industry - Chemicals - Boiler - Oil - ETS</v>
      </c>
      <c r="F47" s="477" t="s">
        <v>480</v>
      </c>
      <c r="G47" s="478" t="s">
        <v>224</v>
      </c>
      <c r="H47" s="479"/>
      <c r="I47" s="479"/>
      <c r="J47" s="479"/>
    </row>
    <row r="48" spans="2:10">
      <c r="B48" s="476" t="s">
        <v>222</v>
      </c>
      <c r="C48" s="476" t="str">
        <f>_xlfn.TEXTJOIN(",",TRUE,IF(LEFT(Regions!$C$3,1)&lt;&gt;"*",Regions!$C$3,""),IF(LEFT(Regions!$D$3,1)&lt;&gt;"*",Regions!$D$3,""))</f>
        <v>IE,National</v>
      </c>
      <c r="D48" s="476" t="str">
        <f>+Techs!B17</f>
        <v>I-CAF-CHP-OIL-ETS_E0</v>
      </c>
      <c r="E48" s="476" t="str">
        <f>+Techs!C17</f>
        <v>Industry - Chemicals - CHP - Oil - ETS</v>
      </c>
      <c r="F48" s="477" t="s">
        <v>480</v>
      </c>
      <c r="G48" s="478" t="s">
        <v>224</v>
      </c>
      <c r="H48" s="479"/>
      <c r="I48" s="479"/>
      <c r="J48" s="479"/>
    </row>
    <row r="49" spans="2:10">
      <c r="B49" s="476" t="s">
        <v>222</v>
      </c>
      <c r="C49" s="476" t="str">
        <f>_xlfn.TEXTJOIN(",",TRUE,IF(LEFT(Regions!$C$3,1)&lt;&gt;"*",Regions!$C$3,""),IF(LEFT(Regions!$D$3,1)&lt;&gt;"*",Regions!$D$3,""))</f>
        <v>IE,National</v>
      </c>
      <c r="D49" s="476" t="str">
        <f>+Techs!B18</f>
        <v>I-CAF-OVN-OIL-ETS_E0</v>
      </c>
      <c r="E49" s="476" t="str">
        <f>+Techs!C18</f>
        <v>Industry - Chemicals - Oven - Oil - ETS</v>
      </c>
      <c r="F49" s="477" t="s">
        <v>480</v>
      </c>
      <c r="G49" s="478" t="s">
        <v>224</v>
      </c>
      <c r="H49" s="479"/>
      <c r="I49" s="479"/>
      <c r="J49" s="479"/>
    </row>
    <row r="50" spans="2:10">
      <c r="B50" s="476" t="s">
        <v>222</v>
      </c>
      <c r="C50" s="476" t="str">
        <f>_xlfn.TEXTJOIN(",",TRUE,IF(LEFT(Regions!$C$3,1)&lt;&gt;"*",Regions!$C$3,""),IF(LEFT(Regions!$D$3,1)&lt;&gt;"*",Regions!$D$3,""))</f>
        <v>IE,National</v>
      </c>
      <c r="D50" s="476" t="str">
        <f>+Techs!B19</f>
        <v>I-CAF-BLR-GAS-ETS_E0</v>
      </c>
      <c r="E50" s="476" t="str">
        <f>+Techs!C19</f>
        <v>Industry - Chemicals - Boiler - Gas - ETS</v>
      </c>
      <c r="F50" s="477" t="s">
        <v>480</v>
      </c>
      <c r="G50" s="478" t="s">
        <v>224</v>
      </c>
      <c r="H50" s="479"/>
      <c r="I50" s="479"/>
      <c r="J50" s="479"/>
    </row>
    <row r="51" spans="2:10">
      <c r="B51" s="476" t="s">
        <v>222</v>
      </c>
      <c r="C51" s="476" t="str">
        <f>_xlfn.TEXTJOIN(",",TRUE,IF(LEFT(Regions!$C$3,1)&lt;&gt;"*",Regions!$C$3,""),IF(LEFT(Regions!$D$3,1)&lt;&gt;"*",Regions!$D$3,""))</f>
        <v>IE,National</v>
      </c>
      <c r="D51" s="476" t="str">
        <f>+Techs!B20</f>
        <v>I-CAF-CHP-GAS-ETS_E0</v>
      </c>
      <c r="E51" s="476" t="str">
        <f>+Techs!C20</f>
        <v>Industry - Chemicals - CHP - Gas - ETS</v>
      </c>
      <c r="F51" s="477" t="s">
        <v>480</v>
      </c>
      <c r="G51" s="478" t="s">
        <v>224</v>
      </c>
      <c r="H51" s="479"/>
      <c r="I51" s="479"/>
      <c r="J51" s="479"/>
    </row>
    <row r="52" spans="2:10">
      <c r="B52" s="476" t="s">
        <v>222</v>
      </c>
      <c r="C52" s="476" t="str">
        <f>_xlfn.TEXTJOIN(",",TRUE,IF(LEFT(Regions!$C$3,1)&lt;&gt;"*",Regions!$C$3,""),IF(LEFT(Regions!$D$3,1)&lt;&gt;"*",Regions!$D$3,""))</f>
        <v>IE,National</v>
      </c>
      <c r="D52" s="476" t="str">
        <f>+Techs!B21</f>
        <v>I-CAF-OVN-GAS-ETS_E0</v>
      </c>
      <c r="E52" s="476" t="str">
        <f>+Techs!C21</f>
        <v>Industry - Chemicals - Oven - Gas - ETS</v>
      </c>
      <c r="F52" s="477" t="s">
        <v>480</v>
      </c>
      <c r="G52" s="478" t="s">
        <v>224</v>
      </c>
      <c r="H52" s="479"/>
      <c r="I52" s="479"/>
      <c r="J52" s="479"/>
    </row>
    <row r="53" spans="2:10">
      <c r="B53" s="476" t="s">
        <v>222</v>
      </c>
      <c r="C53" s="476" t="str">
        <f>_xlfn.TEXTJOIN(",",TRUE,IF(LEFT(Regions!$C$3,1)&lt;&gt;"*",Regions!$C$3,""),IF(LEFT(Regions!$D$3,1)&lt;&gt;"*",Regions!$D$3,""))</f>
        <v>IE,National</v>
      </c>
      <c r="D53" s="476" t="str">
        <f>+Techs!B22</f>
        <v>I-CAF-BLR-COA-NETS_E0</v>
      </c>
      <c r="E53" s="476" t="str">
        <f>+Techs!C22</f>
        <v>Industry - Chemicals - Boiler - Solid Fuels - Non-ETS</v>
      </c>
      <c r="F53" s="477" t="s">
        <v>480</v>
      </c>
      <c r="G53" s="478" t="s">
        <v>224</v>
      </c>
      <c r="H53" s="479"/>
      <c r="I53" s="479"/>
      <c r="J53" s="479"/>
    </row>
    <row r="54" spans="2:10">
      <c r="B54" s="476" t="s">
        <v>222</v>
      </c>
      <c r="C54" s="476" t="str">
        <f>_xlfn.TEXTJOIN(",",TRUE,IF(LEFT(Regions!$C$3,1)&lt;&gt;"*",Regions!$C$3,""),IF(LEFT(Regions!$D$3,1)&lt;&gt;"*",Regions!$D$3,""))</f>
        <v>IE,National</v>
      </c>
      <c r="D54" s="476" t="str">
        <f>+Techs!B23</f>
        <v>I-CAF-CHP-COA-NETS_E0</v>
      </c>
      <c r="E54" s="476" t="str">
        <f>+Techs!C23</f>
        <v>Industry - Chemicals - CHP - Solid Fuels - Non-ETS</v>
      </c>
      <c r="F54" s="477" t="s">
        <v>480</v>
      </c>
      <c r="G54" s="478" t="s">
        <v>224</v>
      </c>
      <c r="H54" s="479"/>
      <c r="I54" s="479"/>
      <c r="J54" s="479"/>
    </row>
    <row r="55" spans="2:10">
      <c r="B55" s="476" t="s">
        <v>222</v>
      </c>
      <c r="C55" s="476" t="str">
        <f>_xlfn.TEXTJOIN(",",TRUE,IF(LEFT(Regions!$C$3,1)&lt;&gt;"*",Regions!$C$3,""),IF(LEFT(Regions!$D$3,1)&lt;&gt;"*",Regions!$D$3,""))</f>
        <v>IE,National</v>
      </c>
      <c r="D55" s="476" t="str">
        <f>+Techs!B24</f>
        <v>I-CAF-OVN-COA-NETS_E0</v>
      </c>
      <c r="E55" s="476" t="str">
        <f>+Techs!C24</f>
        <v>Industry - Chemicals - Oven - Solid Fuels - Non-ETS</v>
      </c>
      <c r="F55" s="477" t="s">
        <v>480</v>
      </c>
      <c r="G55" s="478" t="s">
        <v>224</v>
      </c>
      <c r="H55" s="479"/>
      <c r="I55" s="479"/>
      <c r="J55" s="479"/>
    </row>
    <row r="56" spans="2:10">
      <c r="B56" s="476" t="s">
        <v>222</v>
      </c>
      <c r="C56" s="476" t="str">
        <f>_xlfn.TEXTJOIN(",",TRUE,IF(LEFT(Regions!$C$3,1)&lt;&gt;"*",Regions!$C$3,""),IF(LEFT(Regions!$D$3,1)&lt;&gt;"*",Regions!$D$3,""))</f>
        <v>IE,National</v>
      </c>
      <c r="D56" s="476" t="str">
        <f>+Techs!B25</f>
        <v>I-CAF-DRR-COA-NETS_E0</v>
      </c>
      <c r="E56" s="476" t="str">
        <f>+Techs!C25</f>
        <v>Industry - Chemicals - Dryer - Solid Fuels - Non-ETS</v>
      </c>
      <c r="F56" s="477" t="s">
        <v>480</v>
      </c>
      <c r="G56" s="478" t="s">
        <v>224</v>
      </c>
      <c r="H56" s="479"/>
      <c r="I56" s="479"/>
      <c r="J56" s="479"/>
    </row>
    <row r="57" spans="2:10">
      <c r="B57" s="476" t="s">
        <v>222</v>
      </c>
      <c r="C57" s="476" t="str">
        <f>_xlfn.TEXTJOIN(",",TRUE,IF(LEFT(Regions!$C$3,1)&lt;&gt;"*",Regions!$C$3,""),IF(LEFT(Regions!$D$3,1)&lt;&gt;"*",Regions!$D$3,""))</f>
        <v>IE,National</v>
      </c>
      <c r="D57" s="476" t="str">
        <f>+Techs!B26</f>
        <v>I-CAF-BLR-OIL-NETS_E0</v>
      </c>
      <c r="E57" s="476" t="str">
        <f>+Techs!C26</f>
        <v>Industry - Chemicals - Boiler - Oil - Non-ETS</v>
      </c>
      <c r="F57" s="477" t="s">
        <v>480</v>
      </c>
      <c r="G57" s="478" t="s">
        <v>224</v>
      </c>
      <c r="H57" s="479"/>
      <c r="I57" s="479"/>
      <c r="J57" s="479"/>
    </row>
    <row r="58" spans="2:10">
      <c r="B58" s="476" t="s">
        <v>222</v>
      </c>
      <c r="C58" s="476" t="str">
        <f>_xlfn.TEXTJOIN(",",TRUE,IF(LEFT(Regions!$C$3,1)&lt;&gt;"*",Regions!$C$3,""),IF(LEFT(Regions!$D$3,1)&lt;&gt;"*",Regions!$D$3,""))</f>
        <v>IE,National</v>
      </c>
      <c r="D58" s="476" t="str">
        <f>+Techs!B27</f>
        <v>I-CAF-CHP-OIL-NETS_E0</v>
      </c>
      <c r="E58" s="476" t="str">
        <f>+Techs!C27</f>
        <v>Industry - Chemicals - CHP - Oil - Non-ETS</v>
      </c>
      <c r="F58" s="477" t="s">
        <v>480</v>
      </c>
      <c r="G58" s="478" t="s">
        <v>224</v>
      </c>
      <c r="H58" s="479"/>
      <c r="I58" s="479"/>
      <c r="J58" s="479"/>
    </row>
    <row r="59" spans="2:10">
      <c r="B59" s="476" t="s">
        <v>222</v>
      </c>
      <c r="C59" s="476" t="str">
        <f>_xlfn.TEXTJOIN(",",TRUE,IF(LEFT(Regions!$C$3,1)&lt;&gt;"*",Regions!$C$3,""),IF(LEFT(Regions!$D$3,1)&lt;&gt;"*",Regions!$D$3,""))</f>
        <v>IE,National</v>
      </c>
      <c r="D59" s="476" t="str">
        <f>+Techs!B28</f>
        <v>I-CAF-OVN-OIL-NETS_E0</v>
      </c>
      <c r="E59" s="476" t="str">
        <f>+Techs!C28</f>
        <v>Industry - Chemicals - Oven - Oil - Non-ETS</v>
      </c>
      <c r="F59" s="477" t="s">
        <v>480</v>
      </c>
      <c r="G59" s="478" t="s">
        <v>224</v>
      </c>
      <c r="H59" s="479"/>
      <c r="I59" s="479"/>
      <c r="J59" s="479"/>
    </row>
    <row r="60" spans="2:10">
      <c r="B60" s="476" t="s">
        <v>222</v>
      </c>
      <c r="C60" s="476" t="str">
        <f>_xlfn.TEXTJOIN(",",TRUE,IF(LEFT(Regions!$C$3,1)&lt;&gt;"*",Regions!$C$3,""),IF(LEFT(Regions!$D$3,1)&lt;&gt;"*",Regions!$D$3,""))</f>
        <v>IE,National</v>
      </c>
      <c r="D60" s="476" t="str">
        <f>+Techs!B29</f>
        <v>I-CAF-DRR-OIL-NETS_E0</v>
      </c>
      <c r="E60" s="476" t="str">
        <f>+Techs!C29</f>
        <v>Industry - Chemicals - Dryer - Oil - Non-ETS</v>
      </c>
      <c r="F60" s="477" t="s">
        <v>480</v>
      </c>
      <c r="G60" s="478" t="s">
        <v>224</v>
      </c>
      <c r="H60" s="479"/>
      <c r="I60" s="479"/>
      <c r="J60" s="479"/>
    </row>
    <row r="61" spans="2:10">
      <c r="B61" s="476" t="s">
        <v>222</v>
      </c>
      <c r="C61" s="476" t="str">
        <f>_xlfn.TEXTJOIN(",",TRUE,IF(LEFT(Regions!$C$3,1)&lt;&gt;"*",Regions!$C$3,""),IF(LEFT(Regions!$D$3,1)&lt;&gt;"*",Regions!$D$3,""))</f>
        <v>IE,National</v>
      </c>
      <c r="D61" s="476" t="str">
        <f>+Techs!B30</f>
        <v>I-CAF-BLR-GAS-NETS_E0</v>
      </c>
      <c r="E61" s="476" t="str">
        <f>+Techs!C30</f>
        <v>Industry - Chemicals - Boiler - Gas - Non-ETS</v>
      </c>
      <c r="F61" s="477" t="s">
        <v>480</v>
      </c>
      <c r="G61" s="478" t="s">
        <v>224</v>
      </c>
      <c r="H61" s="479"/>
      <c r="I61" s="479"/>
      <c r="J61" s="479"/>
    </row>
    <row r="62" spans="2:10">
      <c r="B62" s="476" t="s">
        <v>222</v>
      </c>
      <c r="C62" s="476" t="str">
        <f>_xlfn.TEXTJOIN(",",TRUE,IF(LEFT(Regions!$C$3,1)&lt;&gt;"*",Regions!$C$3,""),IF(LEFT(Regions!$D$3,1)&lt;&gt;"*",Regions!$D$3,""))</f>
        <v>IE,National</v>
      </c>
      <c r="D62" s="476" t="str">
        <f>+Techs!B31</f>
        <v>I-CAF-CHP-GAS-NETS_E0</v>
      </c>
      <c r="E62" s="476" t="str">
        <f>+Techs!C31</f>
        <v>Industry - Chemicals - CHP - Gas - Non-ETS</v>
      </c>
      <c r="F62" s="477" t="s">
        <v>480</v>
      </c>
      <c r="G62" s="478" t="s">
        <v>224</v>
      </c>
      <c r="H62" s="479"/>
      <c r="I62" s="479"/>
      <c r="J62" s="479"/>
    </row>
    <row r="63" spans="2:10">
      <c r="B63" s="476" t="s">
        <v>222</v>
      </c>
      <c r="C63" s="476" t="str">
        <f>_xlfn.TEXTJOIN(",",TRUE,IF(LEFT(Regions!$C$3,1)&lt;&gt;"*",Regions!$C$3,""),IF(LEFT(Regions!$D$3,1)&lt;&gt;"*",Regions!$D$3,""))</f>
        <v>IE,National</v>
      </c>
      <c r="D63" s="476" t="str">
        <f>+Techs!B32</f>
        <v>I-CAF-OVN-GAS-NETS_E0</v>
      </c>
      <c r="E63" s="476" t="str">
        <f>+Techs!C32</f>
        <v>Industry - Chemicals - Oven - Gas - Non-ETS</v>
      </c>
      <c r="F63" s="477" t="s">
        <v>480</v>
      </c>
      <c r="G63" s="478" t="s">
        <v>224</v>
      </c>
      <c r="H63" s="479"/>
      <c r="I63" s="479"/>
      <c r="J63" s="479"/>
    </row>
    <row r="64" spans="2:10">
      <c r="B64" s="476" t="s">
        <v>222</v>
      </c>
      <c r="C64" s="476" t="str">
        <f>_xlfn.TEXTJOIN(",",TRUE,IF(LEFT(Regions!$C$3,1)&lt;&gt;"*",Regions!$C$3,""),IF(LEFT(Regions!$D$3,1)&lt;&gt;"*",Regions!$D$3,""))</f>
        <v>IE,National</v>
      </c>
      <c r="D64" s="476" t="str">
        <f>+Techs!B33</f>
        <v>I-CAF-DRR-GAS-NETS_E0</v>
      </c>
      <c r="E64" s="476" t="str">
        <f>+Techs!C33</f>
        <v>Industry - Chemicals - Dryer - Gas - Non-ETS</v>
      </c>
      <c r="F64" s="477" t="s">
        <v>480</v>
      </c>
      <c r="G64" s="478" t="s">
        <v>224</v>
      </c>
      <c r="H64" s="479"/>
      <c r="I64" s="479"/>
      <c r="J64" s="479"/>
    </row>
    <row r="65" spans="2:10">
      <c r="B65" s="476" t="s">
        <v>222</v>
      </c>
      <c r="C65" s="476" t="str">
        <f>_xlfn.TEXTJOIN(",",TRUE,IF(LEFT(Regions!$C$3,1)&lt;&gt;"*",Regions!$C$3,""),IF(LEFT(Regions!$D$3,1)&lt;&gt;"*",Regions!$D$3,""))</f>
        <v>IE,National</v>
      </c>
      <c r="D65" s="476" t="str">
        <f>+Techs!B34</f>
        <v>I-FAP-BLR-BIO-ETS_E0</v>
      </c>
      <c r="E65" s="476" t="str">
        <f>+Techs!C34</f>
        <v>Industry - Food and Drink - Boiler - Bio fuel - ETS</v>
      </c>
      <c r="F65" s="477" t="s">
        <v>480</v>
      </c>
      <c r="G65" s="478" t="s">
        <v>224</v>
      </c>
      <c r="H65" s="479"/>
      <c r="I65" s="479"/>
      <c r="J65" s="479"/>
    </row>
    <row r="66" spans="2:10">
      <c r="B66" s="476" t="s">
        <v>222</v>
      </c>
      <c r="C66" s="476" t="str">
        <f>_xlfn.TEXTJOIN(",",TRUE,IF(LEFT(Regions!$C$3,1)&lt;&gt;"*",Regions!$C$3,""),IF(LEFT(Regions!$D$3,1)&lt;&gt;"*",Regions!$D$3,""))</f>
        <v>IE,National</v>
      </c>
      <c r="D66" s="476" t="str">
        <f>+Techs!B35</f>
        <v>I-FAP-CHP-BIO-ETS_E0</v>
      </c>
      <c r="E66" s="476" t="str">
        <f>+Techs!C35</f>
        <v>Industry - Food and Drink - CHP - Bio fuel - ETS</v>
      </c>
      <c r="F66" s="477" t="s">
        <v>480</v>
      </c>
      <c r="G66" s="478" t="s">
        <v>224</v>
      </c>
      <c r="H66" s="479"/>
      <c r="I66" s="479"/>
      <c r="J66" s="479"/>
    </row>
    <row r="67" spans="2:10">
      <c r="B67" s="476" t="s">
        <v>222</v>
      </c>
      <c r="C67" s="476" t="str">
        <f>_xlfn.TEXTJOIN(",",TRUE,IF(LEFT(Regions!$C$3,1)&lt;&gt;"*",Regions!$C$3,""),IF(LEFT(Regions!$D$3,1)&lt;&gt;"*",Regions!$D$3,""))</f>
        <v>IE,National</v>
      </c>
      <c r="D67" s="476" t="str">
        <f>+Techs!B36</f>
        <v>I-FAP-OVN-BIO-ETS_E0</v>
      </c>
      <c r="E67" s="476" t="str">
        <f>+Techs!C36</f>
        <v>Industry - Food and Drink - Oven - Bio fuel - ETS</v>
      </c>
      <c r="F67" s="477" t="s">
        <v>480</v>
      </c>
      <c r="G67" s="478" t="s">
        <v>224</v>
      </c>
      <c r="H67" s="479"/>
      <c r="I67" s="479"/>
      <c r="J67" s="479"/>
    </row>
    <row r="68" spans="2:10">
      <c r="B68" s="476" t="s">
        <v>222</v>
      </c>
      <c r="C68" s="476" t="str">
        <f>_xlfn.TEXTJOIN(",",TRUE,IF(LEFT(Regions!$C$3,1)&lt;&gt;"*",Regions!$C$3,""),IF(LEFT(Regions!$D$3,1)&lt;&gt;"*",Regions!$D$3,""))</f>
        <v>IE,National</v>
      </c>
      <c r="D68" s="476" t="str">
        <f>+Techs!B37</f>
        <v>I-FAP-DRR-BIO-ETS_E0</v>
      </c>
      <c r="E68" s="476" t="str">
        <f>+Techs!C37</f>
        <v>Industry - Food and Drink - Dryer - Bio fuel - ETS</v>
      </c>
      <c r="F68" s="477" t="s">
        <v>480</v>
      </c>
      <c r="G68" s="478" t="s">
        <v>224</v>
      </c>
      <c r="H68" s="479"/>
      <c r="I68" s="479"/>
      <c r="J68" s="479"/>
    </row>
    <row r="69" spans="2:10">
      <c r="B69" s="476" t="s">
        <v>222</v>
      </c>
      <c r="C69" s="476" t="str">
        <f>_xlfn.TEXTJOIN(",",TRUE,IF(LEFT(Regions!$C$3,1)&lt;&gt;"*",Regions!$C$3,""),IF(LEFT(Regions!$D$3,1)&lt;&gt;"*",Regions!$D$3,""))</f>
        <v>IE,National</v>
      </c>
      <c r="D69" s="476" t="str">
        <f>+Techs!B38</f>
        <v>I-FAP-BLR-OIL-ETS_E0</v>
      </c>
      <c r="E69" s="476" t="str">
        <f>+Techs!C38</f>
        <v>Industry - Food and Drink - Boiler - Oil - ETS</v>
      </c>
      <c r="F69" s="477" t="s">
        <v>480</v>
      </c>
      <c r="G69" s="478" t="s">
        <v>224</v>
      </c>
      <c r="H69" s="479"/>
      <c r="I69" s="479"/>
      <c r="J69" s="479"/>
    </row>
    <row r="70" spans="2:10">
      <c r="B70" s="476" t="s">
        <v>222</v>
      </c>
      <c r="C70" s="476" t="str">
        <f>_xlfn.TEXTJOIN(",",TRUE,IF(LEFT(Regions!$C$3,1)&lt;&gt;"*",Regions!$C$3,""),IF(LEFT(Regions!$D$3,1)&lt;&gt;"*",Regions!$D$3,""))</f>
        <v>IE,National</v>
      </c>
      <c r="D70" s="476" t="str">
        <f>+Techs!B39</f>
        <v>I-FAP-CHP-OIL-ETS_E0</v>
      </c>
      <c r="E70" s="476" t="str">
        <f>+Techs!C39</f>
        <v>Industry - Food and Drink - CHP - Oil - ETS</v>
      </c>
      <c r="F70" s="477" t="s">
        <v>480</v>
      </c>
      <c r="G70" s="478" t="s">
        <v>224</v>
      </c>
      <c r="H70" s="479"/>
      <c r="I70" s="479"/>
      <c r="J70" s="479"/>
    </row>
    <row r="71" spans="2:10">
      <c r="B71" s="476" t="s">
        <v>222</v>
      </c>
      <c r="C71" s="476" t="str">
        <f>_xlfn.TEXTJOIN(",",TRUE,IF(LEFT(Regions!$C$3,1)&lt;&gt;"*",Regions!$C$3,""),IF(LEFT(Regions!$D$3,1)&lt;&gt;"*",Regions!$D$3,""))</f>
        <v>IE,National</v>
      </c>
      <c r="D71" s="476" t="str">
        <f>+Techs!B40</f>
        <v>I-FAP-OVN-OIL-ETS_E0</v>
      </c>
      <c r="E71" s="476" t="str">
        <f>+Techs!C40</f>
        <v>Industry - Food and Drink - Oven - Oil - ETS</v>
      </c>
      <c r="F71" s="477" t="s">
        <v>480</v>
      </c>
      <c r="G71" s="478" t="s">
        <v>224</v>
      </c>
      <c r="H71" s="479"/>
      <c r="I71" s="479"/>
      <c r="J71" s="479"/>
    </row>
    <row r="72" spans="2:10">
      <c r="B72" s="476" t="s">
        <v>222</v>
      </c>
      <c r="C72" s="476" t="str">
        <f>_xlfn.TEXTJOIN(",",TRUE,IF(LEFT(Regions!$C$3,1)&lt;&gt;"*",Regions!$C$3,""),IF(LEFT(Regions!$D$3,1)&lt;&gt;"*",Regions!$D$3,""))</f>
        <v>IE,National</v>
      </c>
      <c r="D72" s="476" t="str">
        <f>+Techs!B41</f>
        <v>I-FAP-DRR-OIL-ETS_E0</v>
      </c>
      <c r="E72" s="476" t="str">
        <f>+Techs!C41</f>
        <v>Industry - Food and Drink - Dryer - Oil - ETS</v>
      </c>
      <c r="F72" s="477" t="s">
        <v>480</v>
      </c>
      <c r="G72" s="478" t="s">
        <v>224</v>
      </c>
      <c r="H72" s="479"/>
      <c r="I72" s="479"/>
      <c r="J72" s="479"/>
    </row>
    <row r="73" spans="2:10">
      <c r="B73" s="476" t="s">
        <v>222</v>
      </c>
      <c r="C73" s="476" t="str">
        <f>_xlfn.TEXTJOIN(",",TRUE,IF(LEFT(Regions!$C$3,1)&lt;&gt;"*",Regions!$C$3,""),IF(LEFT(Regions!$D$3,1)&lt;&gt;"*",Regions!$D$3,""))</f>
        <v>IE,National</v>
      </c>
      <c r="D73" s="476" t="str">
        <f>+Techs!B42</f>
        <v>I-FAP-BLR-GAS-ETS_E0</v>
      </c>
      <c r="E73" s="476" t="str">
        <f>+Techs!C42</f>
        <v>Industry - Food and Drink - Boiler - Gas - ETS</v>
      </c>
      <c r="F73" s="477" t="s">
        <v>480</v>
      </c>
      <c r="G73" s="478" t="s">
        <v>224</v>
      </c>
      <c r="H73" s="479"/>
      <c r="I73" s="479"/>
      <c r="J73" s="479"/>
    </row>
    <row r="74" spans="2:10">
      <c r="B74" s="476" t="s">
        <v>222</v>
      </c>
      <c r="C74" s="476" t="str">
        <f>_xlfn.TEXTJOIN(",",TRUE,IF(LEFT(Regions!$C$3,1)&lt;&gt;"*",Regions!$C$3,""),IF(LEFT(Regions!$D$3,1)&lt;&gt;"*",Regions!$D$3,""))</f>
        <v>IE,National</v>
      </c>
      <c r="D74" s="476" t="str">
        <f>+Techs!B43</f>
        <v>I-FAP-CHP-GAS-ETS_E0</v>
      </c>
      <c r="E74" s="476" t="str">
        <f>+Techs!C43</f>
        <v>Industry - Food and Drink - CHP - Gas - ETS</v>
      </c>
      <c r="F74" s="477" t="s">
        <v>480</v>
      </c>
      <c r="G74" s="478" t="s">
        <v>224</v>
      </c>
      <c r="H74" s="479"/>
      <c r="I74" s="479"/>
      <c r="J74" s="479"/>
    </row>
    <row r="75" spans="2:10">
      <c r="B75" s="476" t="s">
        <v>222</v>
      </c>
      <c r="C75" s="476" t="str">
        <f>_xlfn.TEXTJOIN(",",TRUE,IF(LEFT(Regions!$C$3,1)&lt;&gt;"*",Regions!$C$3,""),IF(LEFT(Regions!$D$3,1)&lt;&gt;"*",Regions!$D$3,""))</f>
        <v>IE,National</v>
      </c>
      <c r="D75" s="476" t="str">
        <f>+Techs!B44</f>
        <v>I-FAP-OVN-GAS-ETS_E0</v>
      </c>
      <c r="E75" s="476" t="str">
        <f>+Techs!C44</f>
        <v>Industry - Food and Drink - Oven - Gas - ETS</v>
      </c>
      <c r="F75" s="477" t="s">
        <v>480</v>
      </c>
      <c r="G75" s="478" t="s">
        <v>224</v>
      </c>
      <c r="H75" s="479"/>
      <c r="I75" s="479"/>
      <c r="J75" s="479"/>
    </row>
    <row r="76" spans="2:10">
      <c r="B76" s="476" t="s">
        <v>222</v>
      </c>
      <c r="C76" s="476" t="str">
        <f>_xlfn.TEXTJOIN(",",TRUE,IF(LEFT(Regions!$C$3,1)&lt;&gt;"*",Regions!$C$3,""),IF(LEFT(Regions!$D$3,1)&lt;&gt;"*",Regions!$D$3,""))</f>
        <v>IE,National</v>
      </c>
      <c r="D76" s="476" t="str">
        <f>+Techs!B45</f>
        <v>I-FAP-DRR-GAS-ETS_E0</v>
      </c>
      <c r="E76" s="476" t="str">
        <f>+Techs!C45</f>
        <v>Industry - Food and Drink - Dryer - Gas - ETS</v>
      </c>
      <c r="F76" s="477" t="s">
        <v>480</v>
      </c>
      <c r="G76" s="478" t="s">
        <v>224</v>
      </c>
      <c r="H76" s="479"/>
      <c r="I76" s="479"/>
      <c r="J76" s="479"/>
    </row>
    <row r="77" spans="2:10">
      <c r="B77" s="476" t="s">
        <v>222</v>
      </c>
      <c r="C77" s="476" t="str">
        <f>_xlfn.TEXTJOIN(",",TRUE,IF(LEFT(Regions!$C$3,1)&lt;&gt;"*",Regions!$C$3,""),IF(LEFT(Regions!$D$3,1)&lt;&gt;"*",Regions!$D$3,""))</f>
        <v>IE,National</v>
      </c>
      <c r="D77" s="476" t="str">
        <f>+Techs!B46</f>
        <v>I-FAP-BLR-BIO-NETS_E0</v>
      </c>
      <c r="E77" s="476" t="str">
        <f>+Techs!C46</f>
        <v>Industry - Food and Drink - Boiler - Bio fuel - Non-ETS</v>
      </c>
      <c r="F77" s="477" t="s">
        <v>480</v>
      </c>
      <c r="G77" s="478" t="s">
        <v>224</v>
      </c>
      <c r="H77" s="479"/>
      <c r="I77" s="479"/>
      <c r="J77" s="479"/>
    </row>
    <row r="78" spans="2:10">
      <c r="B78" s="476" t="s">
        <v>222</v>
      </c>
      <c r="C78" s="476" t="str">
        <f>_xlfn.TEXTJOIN(",",TRUE,IF(LEFT(Regions!$C$3,1)&lt;&gt;"*",Regions!$C$3,""),IF(LEFT(Regions!$D$3,1)&lt;&gt;"*",Regions!$D$3,""))</f>
        <v>IE,National</v>
      </c>
      <c r="D78" s="476" t="str">
        <f>+Techs!B47</f>
        <v>I-FAP-CHP-BIO-NETS_E0</v>
      </c>
      <c r="E78" s="476" t="str">
        <f>+Techs!C47</f>
        <v>Industry - Food and Drink - CHP - Bio fuel - Non-ETS</v>
      </c>
      <c r="F78" s="477" t="s">
        <v>480</v>
      </c>
      <c r="G78" s="478" t="s">
        <v>224</v>
      </c>
      <c r="H78" s="479"/>
      <c r="I78" s="479"/>
      <c r="J78" s="479"/>
    </row>
    <row r="79" spans="2:10">
      <c r="B79" s="476" t="s">
        <v>222</v>
      </c>
      <c r="C79" s="476" t="str">
        <f>_xlfn.TEXTJOIN(",",TRUE,IF(LEFT(Regions!$C$3,1)&lt;&gt;"*",Regions!$C$3,""),IF(LEFT(Regions!$D$3,1)&lt;&gt;"*",Regions!$D$3,""))</f>
        <v>IE,National</v>
      </c>
      <c r="D79" s="476" t="str">
        <f>+Techs!B48</f>
        <v>I-FAP-OVN-BIO-NETS_E0</v>
      </c>
      <c r="E79" s="476" t="str">
        <f>+Techs!C48</f>
        <v>Industry - Food and Drink - Oven - Bio fuel - Non-ETS</v>
      </c>
      <c r="F79" s="477" t="s">
        <v>480</v>
      </c>
      <c r="G79" s="478" t="s">
        <v>224</v>
      </c>
      <c r="H79" s="479"/>
      <c r="I79" s="479"/>
      <c r="J79" s="479"/>
    </row>
    <row r="80" spans="2:10">
      <c r="B80" s="476" t="s">
        <v>222</v>
      </c>
      <c r="C80" s="476" t="str">
        <f>_xlfn.TEXTJOIN(",",TRUE,IF(LEFT(Regions!$C$3,1)&lt;&gt;"*",Regions!$C$3,""),IF(LEFT(Regions!$D$3,1)&lt;&gt;"*",Regions!$D$3,""))</f>
        <v>IE,National</v>
      </c>
      <c r="D80" s="476" t="str">
        <f>+Techs!B49</f>
        <v>I-FAP-DRR-BIO-NETS_E0</v>
      </c>
      <c r="E80" s="476" t="str">
        <f>+Techs!C49</f>
        <v>Industry - Food and Drink - Dryer - Bio fuel - Non-ETS</v>
      </c>
      <c r="F80" s="477" t="s">
        <v>480</v>
      </c>
      <c r="G80" s="478" t="s">
        <v>224</v>
      </c>
      <c r="H80" s="479"/>
      <c r="I80" s="479"/>
      <c r="J80" s="479"/>
    </row>
    <row r="81" spans="2:10">
      <c r="B81" s="476" t="s">
        <v>222</v>
      </c>
      <c r="C81" s="476" t="str">
        <f>_xlfn.TEXTJOIN(",",TRUE,IF(LEFT(Regions!$C$3,1)&lt;&gt;"*",Regions!$C$3,""),IF(LEFT(Regions!$D$3,1)&lt;&gt;"*",Regions!$D$3,""))</f>
        <v>IE,National</v>
      </c>
      <c r="D81" s="476" t="str">
        <f>+Techs!B50</f>
        <v>I-FAP-BLR-OIL-NETS_E0</v>
      </c>
      <c r="E81" s="476" t="str">
        <f>+Techs!C50</f>
        <v>Industry - Food and Drink - Boiler - Oil - Non-ETS</v>
      </c>
      <c r="F81" s="477" t="s">
        <v>480</v>
      </c>
      <c r="G81" s="478" t="s">
        <v>224</v>
      </c>
      <c r="H81" s="479"/>
      <c r="I81" s="479"/>
      <c r="J81" s="479"/>
    </row>
    <row r="82" spans="2:10">
      <c r="B82" s="476" t="s">
        <v>222</v>
      </c>
      <c r="C82" s="476" t="str">
        <f>_xlfn.TEXTJOIN(",",TRUE,IF(LEFT(Regions!$C$3,1)&lt;&gt;"*",Regions!$C$3,""),IF(LEFT(Regions!$D$3,1)&lt;&gt;"*",Regions!$D$3,""))</f>
        <v>IE,National</v>
      </c>
      <c r="D82" s="476" t="str">
        <f>+Techs!B51</f>
        <v>I-FAP-CHP-OIL-NETS_E0</v>
      </c>
      <c r="E82" s="476" t="str">
        <f>+Techs!C51</f>
        <v>Industry - Food and Drink - CHP - Oil - Non-ETS</v>
      </c>
      <c r="F82" s="477" t="s">
        <v>480</v>
      </c>
      <c r="G82" s="478" t="s">
        <v>224</v>
      </c>
      <c r="H82" s="479"/>
      <c r="I82" s="479"/>
      <c r="J82" s="479"/>
    </row>
    <row r="83" spans="2:10">
      <c r="B83" s="476" t="s">
        <v>222</v>
      </c>
      <c r="C83" s="476" t="str">
        <f>_xlfn.TEXTJOIN(",",TRUE,IF(LEFT(Regions!$C$3,1)&lt;&gt;"*",Regions!$C$3,""),IF(LEFT(Regions!$D$3,1)&lt;&gt;"*",Regions!$D$3,""))</f>
        <v>IE,National</v>
      </c>
      <c r="D83" s="476" t="str">
        <f>+Techs!B52</f>
        <v>I-FAP-OVN-OIL-NETS_E0</v>
      </c>
      <c r="E83" s="476" t="str">
        <f>+Techs!C52</f>
        <v>Industry - Food and Drink - Oven - Oil - Non-ETS</v>
      </c>
      <c r="F83" s="477" t="s">
        <v>480</v>
      </c>
      <c r="G83" s="478" t="s">
        <v>224</v>
      </c>
      <c r="H83" s="479"/>
      <c r="I83" s="479"/>
      <c r="J83" s="479"/>
    </row>
    <row r="84" spans="2:10">
      <c r="B84" s="476" t="s">
        <v>222</v>
      </c>
      <c r="C84" s="476" t="str">
        <f>_xlfn.TEXTJOIN(",",TRUE,IF(LEFT(Regions!$C$3,1)&lt;&gt;"*",Regions!$C$3,""),IF(LEFT(Regions!$D$3,1)&lt;&gt;"*",Regions!$D$3,""))</f>
        <v>IE,National</v>
      </c>
      <c r="D84" s="476" t="str">
        <f>+Techs!B53</f>
        <v>I-FAP-DRR-OIL-NETS_E0</v>
      </c>
      <c r="E84" s="476" t="str">
        <f>+Techs!C53</f>
        <v>Industry - Food and Drink - Dryer - Oil - Non-ETS</v>
      </c>
      <c r="F84" s="477" t="s">
        <v>480</v>
      </c>
      <c r="G84" s="478" t="s">
        <v>224</v>
      </c>
      <c r="H84" s="479"/>
      <c r="I84" s="479"/>
      <c r="J84" s="479"/>
    </row>
    <row r="85" spans="2:10">
      <c r="B85" s="476" t="s">
        <v>222</v>
      </c>
      <c r="C85" s="476" t="str">
        <f>_xlfn.TEXTJOIN(",",TRUE,IF(LEFT(Regions!$C$3,1)&lt;&gt;"*",Regions!$C$3,""),IF(LEFT(Regions!$D$3,1)&lt;&gt;"*",Regions!$D$3,""))</f>
        <v>IE,National</v>
      </c>
      <c r="D85" s="476" t="str">
        <f>+Techs!B54</f>
        <v>I-FAP-BLR-GAS-NETS_E0</v>
      </c>
      <c r="E85" s="476" t="str">
        <f>+Techs!C54</f>
        <v>Industry - Food and Drink - Boiler - Gas - Non-ETS</v>
      </c>
      <c r="F85" s="477" t="s">
        <v>480</v>
      </c>
      <c r="G85" s="478" t="s">
        <v>224</v>
      </c>
      <c r="H85" s="479"/>
      <c r="I85" s="479"/>
      <c r="J85" s="479"/>
    </row>
    <row r="86" spans="2:10">
      <c r="B86" s="476" t="s">
        <v>222</v>
      </c>
      <c r="C86" s="476" t="str">
        <f>_xlfn.TEXTJOIN(",",TRUE,IF(LEFT(Regions!$C$3,1)&lt;&gt;"*",Regions!$C$3,""),IF(LEFT(Regions!$D$3,1)&lt;&gt;"*",Regions!$D$3,""))</f>
        <v>IE,National</v>
      </c>
      <c r="D86" s="476" t="str">
        <f>+Techs!B55</f>
        <v>I-FAP-CHP-GAS-NETS_E0</v>
      </c>
      <c r="E86" s="476" t="str">
        <f>+Techs!C55</f>
        <v>Industry - Food and Drink - CHP - Gas - Non-ETS</v>
      </c>
      <c r="F86" s="477" t="s">
        <v>480</v>
      </c>
      <c r="G86" s="478" t="s">
        <v>224</v>
      </c>
      <c r="H86" s="479"/>
      <c r="I86" s="479"/>
      <c r="J86" s="479"/>
    </row>
    <row r="87" spans="2:10">
      <c r="B87" s="476" t="s">
        <v>222</v>
      </c>
      <c r="C87" s="476" t="str">
        <f>_xlfn.TEXTJOIN(",",TRUE,IF(LEFT(Regions!$C$3,1)&lt;&gt;"*",Regions!$C$3,""),IF(LEFT(Regions!$D$3,1)&lt;&gt;"*",Regions!$D$3,""))</f>
        <v>IE,National</v>
      </c>
      <c r="D87" s="476" t="str">
        <f>+Techs!B56</f>
        <v>I-FAP-OVN-GAS-NETS_E0</v>
      </c>
      <c r="E87" s="476" t="str">
        <f>+Techs!C56</f>
        <v>Industry - Food and Drink - Oven - Gas - Non-ETS</v>
      </c>
      <c r="F87" s="477" t="s">
        <v>480</v>
      </c>
      <c r="G87" s="478" t="s">
        <v>224</v>
      </c>
      <c r="H87" s="479"/>
      <c r="I87" s="479"/>
      <c r="J87" s="479"/>
    </row>
    <row r="88" spans="2:10">
      <c r="B88" s="476" t="s">
        <v>222</v>
      </c>
      <c r="C88" s="476" t="str">
        <f>_xlfn.TEXTJOIN(",",TRUE,IF(LEFT(Regions!$C$3,1)&lt;&gt;"*",Regions!$C$3,""),IF(LEFT(Regions!$D$3,1)&lt;&gt;"*",Regions!$D$3,""))</f>
        <v>IE,National</v>
      </c>
      <c r="D88" s="476" t="str">
        <f>+Techs!B57</f>
        <v>I-FAP-DRR-GAS-NETS_E0</v>
      </c>
      <c r="E88" s="476" t="str">
        <f>+Techs!C57</f>
        <v>Industry - Food and Drink - Dryer - Gas - Non-ETS</v>
      </c>
      <c r="F88" s="477" t="s">
        <v>480</v>
      </c>
      <c r="G88" s="478" t="s">
        <v>224</v>
      </c>
      <c r="H88" s="479"/>
      <c r="I88" s="479"/>
      <c r="J88" s="479"/>
    </row>
    <row r="89" spans="2:10">
      <c r="B89" s="476" t="s">
        <v>222</v>
      </c>
      <c r="C89" s="476" t="str">
        <f>_xlfn.TEXTJOIN(",",TRUE,IF(LEFT(Regions!$C$3,1)&lt;&gt;"*",Regions!$C$3,""),IF(LEFT(Regions!$D$3,1)&lt;&gt;"*",Regions!$D$3,""))</f>
        <v>IE,National</v>
      </c>
      <c r="D89" s="476" t="str">
        <f>+Techs!B58</f>
        <v>I-LIM-KLN-COA-ETS_E0</v>
      </c>
      <c r="E89" s="476" t="str">
        <f>+Techs!C58</f>
        <v>Industry - Lime - Cement/Lime Kiln - Solid Fuels - ETS</v>
      </c>
      <c r="F89" s="477" t="s">
        <v>480</v>
      </c>
      <c r="G89" s="478" t="s">
        <v>224</v>
      </c>
      <c r="H89" s="479"/>
      <c r="I89" s="479"/>
      <c r="J89" s="479"/>
    </row>
    <row r="90" spans="2:10">
      <c r="B90" s="476" t="s">
        <v>222</v>
      </c>
      <c r="C90" s="476" t="str">
        <f>_xlfn.TEXTJOIN(",",TRUE,IF(LEFT(Regions!$C$3,1)&lt;&gt;"*",Regions!$C$3,""),IF(LEFT(Regions!$D$3,1)&lt;&gt;"*",Regions!$D$3,""))</f>
        <v>IE,National</v>
      </c>
      <c r="D90" s="476" t="str">
        <f>+Techs!B59</f>
        <v>I-LIM-OKL-COA-ETS_E0</v>
      </c>
      <c r="E90" s="476" t="str">
        <f>+Techs!C59</f>
        <v>Industry - Lime - Other Kiln - Solid Fuels - ETS</v>
      </c>
      <c r="F90" s="477" t="s">
        <v>480</v>
      </c>
      <c r="G90" s="478" t="s">
        <v>224</v>
      </c>
      <c r="H90" s="479"/>
      <c r="I90" s="479"/>
      <c r="J90" s="479"/>
    </row>
    <row r="91" spans="2:10">
      <c r="B91" s="476" t="s">
        <v>222</v>
      </c>
      <c r="C91" s="476" t="str">
        <f>_xlfn.TEXTJOIN(",",TRUE,IF(LEFT(Regions!$C$3,1)&lt;&gt;"*",Regions!$C$3,""),IF(LEFT(Regions!$D$3,1)&lt;&gt;"*",Regions!$D$3,""))</f>
        <v>IE,National</v>
      </c>
      <c r="D91" s="476" t="str">
        <f>+Techs!B60</f>
        <v>I-LIM-FRN-COA-ETS_E0</v>
      </c>
      <c r="E91" s="476" t="str">
        <f>+Techs!C60</f>
        <v>Industry - Lime - Furnace - Solid Fuels - ETS</v>
      </c>
      <c r="F91" s="477" t="s">
        <v>480</v>
      </c>
      <c r="G91" s="478" t="s">
        <v>224</v>
      </c>
      <c r="H91" s="479"/>
      <c r="I91" s="479"/>
      <c r="J91" s="479"/>
    </row>
    <row r="92" spans="2:10">
      <c r="B92" s="476" t="s">
        <v>222</v>
      </c>
      <c r="C92" s="476" t="str">
        <f>_xlfn.TEXTJOIN(",",TRUE,IF(LEFT(Regions!$C$3,1)&lt;&gt;"*",Regions!$C$3,""),IF(LEFT(Regions!$D$3,1)&lt;&gt;"*",Regions!$D$3,""))</f>
        <v>IE,National</v>
      </c>
      <c r="D92" s="476" t="str">
        <f>+Techs!B61</f>
        <v>I-LIM-KLN-GAS-ETS_E0</v>
      </c>
      <c r="E92" s="476" t="str">
        <f>+Techs!C61</f>
        <v>Industry - Lime - Cement/Lime Kiln - Gas - ETS</v>
      </c>
      <c r="F92" s="477" t="s">
        <v>480</v>
      </c>
      <c r="G92" s="478" t="s">
        <v>224</v>
      </c>
      <c r="H92" s="479"/>
      <c r="I92" s="479"/>
      <c r="J92" s="479"/>
    </row>
    <row r="93" spans="2:10">
      <c r="B93" s="476" t="s">
        <v>222</v>
      </c>
      <c r="C93" s="476" t="str">
        <f>_xlfn.TEXTJOIN(",",TRUE,IF(LEFT(Regions!$C$3,1)&lt;&gt;"*",Regions!$C$3,""),IF(LEFT(Regions!$D$3,1)&lt;&gt;"*",Regions!$D$3,""))</f>
        <v>IE,National</v>
      </c>
      <c r="D93" s="476" t="str">
        <f>+Techs!B62</f>
        <v>I-LIM-OKL-GAS-ETS_E0</v>
      </c>
      <c r="E93" s="476" t="str">
        <f>+Techs!C62</f>
        <v>Industry - Lime - Other Kiln - Gas - ETS</v>
      </c>
      <c r="F93" s="477" t="s">
        <v>480</v>
      </c>
      <c r="G93" s="478" t="s">
        <v>224</v>
      </c>
      <c r="H93" s="479"/>
      <c r="I93" s="479"/>
      <c r="J93" s="479"/>
    </row>
    <row r="94" spans="2:10">
      <c r="B94" s="476" t="s">
        <v>222</v>
      </c>
      <c r="C94" s="476" t="str">
        <f>_xlfn.TEXTJOIN(",",TRUE,IF(LEFT(Regions!$C$3,1)&lt;&gt;"*",Regions!$C$3,""),IF(LEFT(Regions!$D$3,1)&lt;&gt;"*",Regions!$D$3,""))</f>
        <v>IE,National</v>
      </c>
      <c r="D94" s="476" t="str">
        <f>+Techs!B63</f>
        <v>I-LIM-FRN-GAS-ETS_E0</v>
      </c>
      <c r="E94" s="476" t="str">
        <f>+Techs!C63</f>
        <v>Industry - Lime - Furnace - Gas - ETS</v>
      </c>
      <c r="F94" s="477" t="s">
        <v>480</v>
      </c>
      <c r="G94" s="478" t="s">
        <v>224</v>
      </c>
      <c r="H94" s="479"/>
      <c r="I94" s="479"/>
      <c r="J94" s="479"/>
    </row>
    <row r="95" spans="2:10">
      <c r="B95" s="476" t="s">
        <v>222</v>
      </c>
      <c r="C95" s="476" t="str">
        <f>_xlfn.TEXTJOIN(",",TRUE,IF(LEFT(Regions!$C$3,1)&lt;&gt;"*",Regions!$C$3,""),IF(LEFT(Regions!$D$3,1)&lt;&gt;"*",Regions!$D$3,""))</f>
        <v>IE,National</v>
      </c>
      <c r="D95" s="476" t="str">
        <f>+Techs!B64</f>
        <v>I-MAP-CHP-OIL-ETS_E0</v>
      </c>
      <c r="E95" s="476" t="str">
        <f>+Techs!C64</f>
        <v>Industry - Metals - CHP - Oil - ETS</v>
      </c>
      <c r="F95" s="477" t="s">
        <v>480</v>
      </c>
      <c r="G95" s="478" t="s">
        <v>224</v>
      </c>
      <c r="H95" s="479"/>
      <c r="I95" s="479"/>
      <c r="J95" s="479"/>
    </row>
    <row r="96" spans="2:10">
      <c r="B96" s="476" t="s">
        <v>222</v>
      </c>
      <c r="C96" s="476" t="str">
        <f>_xlfn.TEXTJOIN(",",TRUE,IF(LEFT(Regions!$C$3,1)&lt;&gt;"*",Regions!$C$3,""),IF(LEFT(Regions!$D$3,1)&lt;&gt;"*",Regions!$D$3,""))</f>
        <v>IE,National</v>
      </c>
      <c r="D96" s="476" t="str">
        <f>+Techs!B65</f>
        <v>I-MAP-FRN-OIL-ETS_E0</v>
      </c>
      <c r="E96" s="476" t="str">
        <f>+Techs!C65</f>
        <v>Industry - Metals - Furnace - Oil - ETS</v>
      </c>
      <c r="F96" s="477" t="s">
        <v>480</v>
      </c>
      <c r="G96" s="478" t="s">
        <v>224</v>
      </c>
      <c r="H96" s="479"/>
      <c r="I96" s="479"/>
      <c r="J96" s="479"/>
    </row>
    <row r="97" spans="2:10">
      <c r="B97" s="476" t="s">
        <v>222</v>
      </c>
      <c r="C97" s="476" t="str">
        <f>_xlfn.TEXTJOIN(",",TRUE,IF(LEFT(Regions!$C$3,1)&lt;&gt;"*",Regions!$C$3,""),IF(LEFT(Regions!$D$3,1)&lt;&gt;"*",Regions!$D$3,""))</f>
        <v>IE,National</v>
      </c>
      <c r="D97" s="476" t="str">
        <f>+Techs!B66</f>
        <v>I-MAP-BLR-GAS-ETS_E0</v>
      </c>
      <c r="E97" s="476" t="str">
        <f>+Techs!C66</f>
        <v>Industry - Metals - Boiler - Gas - ETS</v>
      </c>
      <c r="F97" s="477" t="s">
        <v>480</v>
      </c>
      <c r="G97" s="478" t="s">
        <v>224</v>
      </c>
      <c r="H97" s="479"/>
      <c r="I97" s="479"/>
      <c r="J97" s="479"/>
    </row>
    <row r="98" spans="2:10">
      <c r="B98" s="476" t="s">
        <v>222</v>
      </c>
      <c r="C98" s="476" t="str">
        <f>_xlfn.TEXTJOIN(",",TRUE,IF(LEFT(Regions!$C$3,1)&lt;&gt;"*",Regions!$C$3,""),IF(LEFT(Regions!$D$3,1)&lt;&gt;"*",Regions!$D$3,""))</f>
        <v>IE,National</v>
      </c>
      <c r="D98" s="476" t="str">
        <f>+Techs!B67</f>
        <v xml:space="preserve"> I-MAP-CHP-GAS-ETS_E0</v>
      </c>
      <c r="E98" s="476" t="str">
        <f>+Techs!C67</f>
        <v>Industry - Metals - CHP - Gas - ETS</v>
      </c>
      <c r="F98" s="477" t="s">
        <v>480</v>
      </c>
      <c r="G98" s="478" t="s">
        <v>224</v>
      </c>
      <c r="H98" s="479"/>
      <c r="I98" s="479"/>
      <c r="J98" s="479"/>
    </row>
    <row r="99" spans="2:10">
      <c r="B99" s="476" t="s">
        <v>222</v>
      </c>
      <c r="C99" s="476" t="str">
        <f>_xlfn.TEXTJOIN(",",TRUE,IF(LEFT(Regions!$C$3,1)&lt;&gt;"*",Regions!$C$3,""),IF(LEFT(Regions!$D$3,1)&lt;&gt;"*",Regions!$D$3,""))</f>
        <v>IE,National</v>
      </c>
      <c r="D99" s="476" t="str">
        <f>+Techs!B68</f>
        <v>I-MAP-FRN-GAS-ETS_E0</v>
      </c>
      <c r="E99" s="476" t="str">
        <f>+Techs!C68</f>
        <v>Industry - Metals - Furnace - Gas - ETS</v>
      </c>
      <c r="F99" s="477" t="s">
        <v>480</v>
      </c>
      <c r="G99" s="478" t="s">
        <v>224</v>
      </c>
      <c r="H99" s="479"/>
      <c r="I99" s="479"/>
      <c r="J99" s="479"/>
    </row>
    <row r="100" spans="2:10">
      <c r="B100" s="476" t="s">
        <v>222</v>
      </c>
      <c r="C100" s="476" t="str">
        <f>_xlfn.TEXTJOIN(",",TRUE,IF(LEFT(Regions!$C$3,1)&lt;&gt;"*",Regions!$C$3,""),IF(LEFT(Regions!$D$3,1)&lt;&gt;"*",Regions!$D$3,""))</f>
        <v>IE,National</v>
      </c>
      <c r="D100" s="476" t="str">
        <f>+Techs!B69</f>
        <v>I-MAP-BLR-COA-NETS_E0</v>
      </c>
      <c r="E100" s="476" t="str">
        <f>+Techs!C69</f>
        <v>Industry - Metals - Boiler - Solid Fuels - Non-ETS</v>
      </c>
      <c r="F100" s="477" t="s">
        <v>480</v>
      </c>
      <c r="G100" s="478" t="s">
        <v>224</v>
      </c>
      <c r="H100" s="479"/>
      <c r="I100" s="479"/>
      <c r="J100" s="479"/>
    </row>
    <row r="101" spans="2:10">
      <c r="B101" s="476" t="s">
        <v>222</v>
      </c>
      <c r="C101" s="476" t="str">
        <f>_xlfn.TEXTJOIN(",",TRUE,IF(LEFT(Regions!$C$3,1)&lt;&gt;"*",Regions!$C$3,""),IF(LEFT(Regions!$D$3,1)&lt;&gt;"*",Regions!$D$3,""))</f>
        <v>IE,National</v>
      </c>
      <c r="D101" s="476" t="str">
        <f>+Techs!B70</f>
        <v>I-MAP-FRN-COA-NETS_E0</v>
      </c>
      <c r="E101" s="476" t="str">
        <f>+Techs!C70</f>
        <v>Industry - Metals - Furnace - Solid Fuels - Non-ETS</v>
      </c>
      <c r="F101" s="477" t="s">
        <v>480</v>
      </c>
      <c r="G101" s="478" t="s">
        <v>224</v>
      </c>
      <c r="H101" s="479"/>
      <c r="I101" s="479"/>
      <c r="J101" s="479"/>
    </row>
    <row r="102" spans="2:10">
      <c r="B102" s="476" t="s">
        <v>222</v>
      </c>
      <c r="C102" s="476" t="str">
        <f>_xlfn.TEXTJOIN(",",TRUE,IF(LEFT(Regions!$C$3,1)&lt;&gt;"*",Regions!$C$3,""),IF(LEFT(Regions!$D$3,1)&lt;&gt;"*",Regions!$D$3,""))</f>
        <v>IE,National</v>
      </c>
      <c r="D102" s="476" t="str">
        <f>+Techs!B71</f>
        <v>I-MAP-BLR-OIL-NETS_E0</v>
      </c>
      <c r="E102" s="476" t="str">
        <f>+Techs!C71</f>
        <v>Industry - Metals - Boiler - Oil - Non-ETS</v>
      </c>
      <c r="F102" s="477" t="s">
        <v>480</v>
      </c>
      <c r="G102" s="478" t="s">
        <v>224</v>
      </c>
      <c r="H102" s="479"/>
      <c r="I102" s="479"/>
      <c r="J102" s="479"/>
    </row>
    <row r="103" spans="2:10">
      <c r="B103" s="476" t="s">
        <v>222</v>
      </c>
      <c r="C103" s="476" t="str">
        <f>_xlfn.TEXTJOIN(",",TRUE,IF(LEFT(Regions!$C$3,1)&lt;&gt;"*",Regions!$C$3,""),IF(LEFT(Regions!$D$3,1)&lt;&gt;"*",Regions!$D$3,""))</f>
        <v>IE,National</v>
      </c>
      <c r="D103" s="476" t="str">
        <f>+Techs!B72</f>
        <v>I-MAP-FRN-OIL-NETS_E0</v>
      </c>
      <c r="E103" s="476" t="str">
        <f>+Techs!C72</f>
        <v>Industry - Metals - Furnace - Oil - Non-ETS</v>
      </c>
      <c r="F103" s="477" t="s">
        <v>480</v>
      </c>
      <c r="G103" s="478" t="s">
        <v>224</v>
      </c>
      <c r="H103" s="479"/>
      <c r="I103" s="479"/>
      <c r="J103" s="479"/>
    </row>
    <row r="104" spans="2:10">
      <c r="B104" s="476" t="s">
        <v>222</v>
      </c>
      <c r="C104" s="476" t="str">
        <f>_xlfn.TEXTJOIN(",",TRUE,IF(LEFT(Regions!$C$3,1)&lt;&gt;"*",Regions!$C$3,""),IF(LEFT(Regions!$D$3,1)&lt;&gt;"*",Regions!$D$3,""))</f>
        <v>IE,National</v>
      </c>
      <c r="D104" s="476" t="str">
        <f>+Techs!B73</f>
        <v>I-MAP-BLR-GAS-NETS_E0</v>
      </c>
      <c r="E104" s="476" t="str">
        <f>+Techs!C73</f>
        <v>Industry - Metals - Boiler - Gas - Non-ETS</v>
      </c>
      <c r="F104" s="477" t="s">
        <v>480</v>
      </c>
      <c r="G104" s="478" t="s">
        <v>224</v>
      </c>
      <c r="H104" s="479"/>
      <c r="I104" s="479"/>
      <c r="J104" s="479"/>
    </row>
    <row r="105" spans="2:10">
      <c r="B105" s="476" t="s">
        <v>222</v>
      </c>
      <c r="C105" s="476" t="str">
        <f>_xlfn.TEXTJOIN(",",TRUE,IF(LEFT(Regions!$C$3,1)&lt;&gt;"*",Regions!$C$3,""),IF(LEFT(Regions!$D$3,1)&lt;&gt;"*",Regions!$D$3,""))</f>
        <v>IE,National</v>
      </c>
      <c r="D105" s="476" t="str">
        <f>+Techs!B74</f>
        <v>I-MAP-FRN-GAS-NETS_E0</v>
      </c>
      <c r="E105" s="476" t="str">
        <f>+Techs!C74</f>
        <v>Industry - Metals - Furnace - Gas - Non-ETS</v>
      </c>
      <c r="F105" s="477" t="s">
        <v>480</v>
      </c>
      <c r="G105" s="478" t="s">
        <v>224</v>
      </c>
      <c r="H105" s="479"/>
      <c r="I105" s="479"/>
      <c r="J105" s="479"/>
    </row>
    <row r="106" spans="2:10">
      <c r="B106" s="476" t="s">
        <v>222</v>
      </c>
      <c r="C106" s="476" t="str">
        <f>_xlfn.TEXTJOIN(",",TRUE,IF(LEFT(Regions!$C$3,1)&lt;&gt;"*",Regions!$C$3,""),IF(LEFT(Regions!$D$3,1)&lt;&gt;"*",Regions!$D$3,""))</f>
        <v>IE,National</v>
      </c>
      <c r="D106" s="476" t="str">
        <f>+Techs!B75</f>
        <v>I-OMA-BLR-GAS-ETS_E0</v>
      </c>
      <c r="E106" s="476" t="str">
        <f>+Techs!C75</f>
        <v>Industry - Other Industry - Boiler - Gas - ETS</v>
      </c>
      <c r="F106" s="477" t="s">
        <v>480</v>
      </c>
      <c r="G106" s="478" t="s">
        <v>224</v>
      </c>
      <c r="H106" s="479"/>
      <c r="I106" s="479"/>
      <c r="J106" s="479"/>
    </row>
    <row r="107" spans="2:10">
      <c r="B107" s="476" t="s">
        <v>222</v>
      </c>
      <c r="C107" s="476" t="str">
        <f>_xlfn.TEXTJOIN(",",TRUE,IF(LEFT(Regions!$C$3,1)&lt;&gt;"*",Regions!$C$3,""),IF(LEFT(Regions!$D$3,1)&lt;&gt;"*",Regions!$D$3,""))</f>
        <v>IE,National</v>
      </c>
      <c r="D107" s="476" t="str">
        <f>+Techs!B76</f>
        <v>I-OMA-CHP-GAS-ETS_E0</v>
      </c>
      <c r="E107" s="476" t="str">
        <f>+Techs!C76</f>
        <v>Industry - Other Industry - CHP - Gas - ETS</v>
      </c>
      <c r="F107" s="477" t="s">
        <v>480</v>
      </c>
      <c r="G107" s="478" t="s">
        <v>224</v>
      </c>
      <c r="H107" s="479"/>
      <c r="I107" s="479"/>
      <c r="J107" s="479"/>
    </row>
    <row r="108" spans="2:10">
      <c r="B108" s="476" t="s">
        <v>222</v>
      </c>
      <c r="C108" s="476" t="str">
        <f>_xlfn.TEXTJOIN(",",TRUE,IF(LEFT(Regions!$C$3,1)&lt;&gt;"*",Regions!$C$3,""),IF(LEFT(Regions!$D$3,1)&lt;&gt;"*",Regions!$D$3,""))</f>
        <v>IE,National</v>
      </c>
      <c r="D108" s="476" t="str">
        <f>+Techs!B77</f>
        <v>I-OMA-DRR-GAS-ETS_E0</v>
      </c>
      <c r="E108" s="476" t="str">
        <f>+Techs!C77</f>
        <v>Industry - Other Industry - Dryer - Gas - ETS</v>
      </c>
      <c r="F108" s="477" t="s">
        <v>480</v>
      </c>
      <c r="G108" s="478" t="s">
        <v>224</v>
      </c>
      <c r="H108" s="479"/>
      <c r="I108" s="479"/>
      <c r="J108" s="479"/>
    </row>
    <row r="109" spans="2:10">
      <c r="B109" s="476" t="s">
        <v>222</v>
      </c>
      <c r="C109" s="476" t="str">
        <f>_xlfn.TEXTJOIN(",",TRUE,IF(LEFT(Regions!$C$3,1)&lt;&gt;"*",Regions!$C$3,""),IF(LEFT(Regions!$D$3,1)&lt;&gt;"*",Regions!$D$3,""))</f>
        <v>IE,National</v>
      </c>
      <c r="D109" s="476" t="str">
        <f>+Techs!B78</f>
        <v>I-OMA-BLR-OIL-NETS_E0</v>
      </c>
      <c r="E109" s="476" t="str">
        <f>+Techs!C78</f>
        <v>Industry - Other Industry - Boiler - Oil - Non-ETS</v>
      </c>
      <c r="F109" s="477" t="s">
        <v>480</v>
      </c>
      <c r="G109" s="478" t="s">
        <v>224</v>
      </c>
      <c r="H109" s="479"/>
      <c r="I109" s="479"/>
      <c r="J109" s="479"/>
    </row>
    <row r="110" spans="2:10">
      <c r="B110" s="476" t="s">
        <v>222</v>
      </c>
      <c r="C110" s="476" t="str">
        <f>_xlfn.TEXTJOIN(",",TRUE,IF(LEFT(Regions!$C$3,1)&lt;&gt;"*",Regions!$C$3,""),IF(LEFT(Regions!$D$3,1)&lt;&gt;"*",Regions!$D$3,""))</f>
        <v>IE,National</v>
      </c>
      <c r="D110" s="476" t="str">
        <f>+Techs!B79</f>
        <v>I-OMA-CHP-OIL-NETS_E0</v>
      </c>
      <c r="E110" s="476" t="str">
        <f>+Techs!C79</f>
        <v>Industry - Other Industry - CHP - Oil - Non-ETS</v>
      </c>
      <c r="F110" s="477" t="s">
        <v>480</v>
      </c>
      <c r="G110" s="478" t="s">
        <v>224</v>
      </c>
      <c r="H110" s="479"/>
      <c r="I110" s="479"/>
      <c r="J110" s="479"/>
    </row>
    <row r="111" spans="2:10">
      <c r="B111" s="476" t="s">
        <v>222</v>
      </c>
      <c r="C111" s="476" t="str">
        <f>_xlfn.TEXTJOIN(",",TRUE,IF(LEFT(Regions!$C$3,1)&lt;&gt;"*",Regions!$C$3,""),IF(LEFT(Regions!$D$3,1)&lt;&gt;"*",Regions!$D$3,""))</f>
        <v>IE,National</v>
      </c>
      <c r="D111" s="476" t="str">
        <f>+Techs!B80</f>
        <v>I-OMA-OVN-OIL-NETS_E0</v>
      </c>
      <c r="E111" s="476" t="str">
        <f>+Techs!C80</f>
        <v>Industry - Other Industry - Oven - Oil - Non-ETS</v>
      </c>
      <c r="F111" s="477" t="s">
        <v>480</v>
      </c>
      <c r="G111" s="478" t="s">
        <v>224</v>
      </c>
      <c r="H111" s="479"/>
      <c r="I111" s="479"/>
      <c r="J111" s="479"/>
    </row>
    <row r="112" spans="2:10">
      <c r="B112" s="476" t="s">
        <v>222</v>
      </c>
      <c r="C112" s="476" t="str">
        <f>_xlfn.TEXTJOIN(",",TRUE,IF(LEFT(Regions!$C$3,1)&lt;&gt;"*",Regions!$C$3,""),IF(LEFT(Regions!$D$3,1)&lt;&gt;"*",Regions!$D$3,""))</f>
        <v>IE,National</v>
      </c>
      <c r="D112" s="476" t="str">
        <f>+Techs!B81</f>
        <v>I-OMA-FRN-OIL-NETS_E0</v>
      </c>
      <c r="E112" s="476" t="str">
        <f>+Techs!C81</f>
        <v>Industry - Other Industry - Furnace - Oil - Non-ETS</v>
      </c>
      <c r="F112" s="477" t="s">
        <v>480</v>
      </c>
      <c r="G112" s="478" t="s">
        <v>224</v>
      </c>
      <c r="H112" s="479"/>
      <c r="I112" s="479"/>
      <c r="J112" s="479"/>
    </row>
    <row r="113" spans="2:10">
      <c r="B113" s="476" t="s">
        <v>222</v>
      </c>
      <c r="C113" s="476" t="str">
        <f>_xlfn.TEXTJOIN(",",TRUE,IF(LEFT(Regions!$C$3,1)&lt;&gt;"*",Regions!$C$3,""),IF(LEFT(Regions!$D$3,1)&lt;&gt;"*",Regions!$D$3,""))</f>
        <v>IE,National</v>
      </c>
      <c r="D113" s="476" t="str">
        <f>+Techs!B82</f>
        <v>I-OMA-DRR-OIL-NETS_E0</v>
      </c>
      <c r="E113" s="476" t="str">
        <f>+Techs!C82</f>
        <v>Industry - Other Industry - Dryer - Oil - Non-ETS</v>
      </c>
      <c r="F113" s="477" t="s">
        <v>480</v>
      </c>
      <c r="G113" s="478" t="s">
        <v>224</v>
      </c>
      <c r="H113" s="479"/>
      <c r="I113" s="479"/>
      <c r="J113" s="479"/>
    </row>
    <row r="114" spans="2:10">
      <c r="B114" s="476" t="s">
        <v>222</v>
      </c>
      <c r="C114" s="476" t="str">
        <f>_xlfn.TEXTJOIN(",",TRUE,IF(LEFT(Regions!$C$3,1)&lt;&gt;"*",Regions!$C$3,""),IF(LEFT(Regions!$D$3,1)&lt;&gt;"*",Regions!$D$3,""))</f>
        <v>IE,National</v>
      </c>
      <c r="D114" s="476" t="str">
        <f>+Techs!B83</f>
        <v>I-OMA-BLR-GAS-NETS_E0</v>
      </c>
      <c r="E114" s="476" t="str">
        <f>+Techs!C83</f>
        <v>Industry - Other Industry - Boiler - Gas - Non-ETS</v>
      </c>
      <c r="F114" s="477" t="s">
        <v>480</v>
      </c>
      <c r="G114" s="478" t="s">
        <v>224</v>
      </c>
      <c r="H114" s="479"/>
      <c r="I114" s="479"/>
      <c r="J114" s="479"/>
    </row>
    <row r="115" spans="2:10">
      <c r="B115" s="476" t="s">
        <v>222</v>
      </c>
      <c r="C115" s="476" t="str">
        <f>_xlfn.TEXTJOIN(",",TRUE,IF(LEFT(Regions!$C$3,1)&lt;&gt;"*",Regions!$C$3,""),IF(LEFT(Regions!$D$3,1)&lt;&gt;"*",Regions!$D$3,""))</f>
        <v>IE,National</v>
      </c>
      <c r="D115" s="476" t="str">
        <f>+Techs!B84</f>
        <v>I-OMA-CHP-GAS-NETS_E0</v>
      </c>
      <c r="E115" s="476" t="str">
        <f>+Techs!C84</f>
        <v>Industry - Other Industry - CHP - Gas - Non-ETS</v>
      </c>
      <c r="F115" s="477" t="s">
        <v>480</v>
      </c>
      <c r="G115" s="478" t="s">
        <v>224</v>
      </c>
      <c r="H115" s="479"/>
      <c r="I115" s="479"/>
      <c r="J115" s="479"/>
    </row>
    <row r="116" spans="2:10">
      <c r="B116" s="476" t="s">
        <v>222</v>
      </c>
      <c r="C116" s="476" t="str">
        <f>_xlfn.TEXTJOIN(",",TRUE,IF(LEFT(Regions!$C$3,1)&lt;&gt;"*",Regions!$C$3,""),IF(LEFT(Regions!$D$3,1)&lt;&gt;"*",Regions!$D$3,""))</f>
        <v>IE,National</v>
      </c>
      <c r="D116" s="476" t="str">
        <f>+Techs!B85</f>
        <v>I-OMA-OVN-GAS-NETS_E0</v>
      </c>
      <c r="E116" s="476" t="str">
        <f>+Techs!C85</f>
        <v>Industry - Other Industry - Oven - Gas - Non-ETS</v>
      </c>
      <c r="F116" s="477" t="s">
        <v>480</v>
      </c>
      <c r="G116" s="478" t="s">
        <v>224</v>
      </c>
      <c r="H116" s="479"/>
      <c r="I116" s="479"/>
      <c r="J116" s="479"/>
    </row>
    <row r="117" spans="2:10">
      <c r="B117" s="476" t="s">
        <v>222</v>
      </c>
      <c r="C117" s="476" t="str">
        <f>_xlfn.TEXTJOIN(",",TRUE,IF(LEFT(Regions!$C$3,1)&lt;&gt;"*",Regions!$C$3,""),IF(LEFT(Regions!$D$3,1)&lt;&gt;"*",Regions!$D$3,""))</f>
        <v>IE,National</v>
      </c>
      <c r="D117" s="476" t="str">
        <f>+Techs!B86</f>
        <v>I-OMA-FRN-GAS-NETS_E0</v>
      </c>
      <c r="E117" s="476" t="str">
        <f>+Techs!C86</f>
        <v>Industry - Other Industry - Furnace - Gas - Non-ETS</v>
      </c>
      <c r="F117" s="477" t="s">
        <v>480</v>
      </c>
      <c r="G117" s="478" t="s">
        <v>224</v>
      </c>
      <c r="H117" s="479"/>
      <c r="I117" s="479"/>
      <c r="J117" s="479"/>
    </row>
    <row r="118" spans="2:10">
      <c r="B118" s="476" t="s">
        <v>222</v>
      </c>
      <c r="C118" s="476" t="str">
        <f>_xlfn.TEXTJOIN(",",TRUE,IF(LEFT(Regions!$C$3,1)&lt;&gt;"*",Regions!$C$3,""),IF(LEFT(Regions!$D$3,1)&lt;&gt;"*",Regions!$D$3,""))</f>
        <v>IE,National</v>
      </c>
      <c r="D118" s="476" t="str">
        <f>+Techs!B87</f>
        <v>I-OMA-DRR-GAS-NETS_E0</v>
      </c>
      <c r="E118" s="476" t="str">
        <f>+Techs!C87</f>
        <v>Industry - Other Industry - Dryer - Gas - Non-ETS</v>
      </c>
      <c r="F118" s="477" t="s">
        <v>480</v>
      </c>
      <c r="G118" s="478" t="s">
        <v>224</v>
      </c>
      <c r="H118" s="479"/>
      <c r="I118" s="479"/>
      <c r="J118" s="479"/>
    </row>
    <row r="119" spans="2:10">
      <c r="B119" s="476" t="s">
        <v>222</v>
      </c>
      <c r="C119" s="476" t="str">
        <f>_xlfn.TEXTJOIN(",",TRUE,IF(LEFT(Regions!$C$3,1)&lt;&gt;"*",Regions!$C$3,""),IF(LEFT(Regions!$D$3,1)&lt;&gt;"*",Regions!$D$3,""))</f>
        <v>IE,National</v>
      </c>
      <c r="D119" s="476" t="str">
        <f>+Techs!B88</f>
        <v>I-ONM-BLR-COA-ETS_E0</v>
      </c>
      <c r="E119" s="476" t="str">
        <f>+Techs!C88</f>
        <v>Industry - Other Minerals - Boiler - Solid Fuels - ETS</v>
      </c>
      <c r="F119" s="477" t="s">
        <v>480</v>
      </c>
      <c r="G119" s="478" t="s">
        <v>224</v>
      </c>
      <c r="H119" s="479"/>
      <c r="I119" s="479"/>
      <c r="J119" s="479"/>
    </row>
    <row r="120" spans="2:10">
      <c r="B120" s="476" t="s">
        <v>222</v>
      </c>
      <c r="C120" s="476" t="str">
        <f>_xlfn.TEXTJOIN(",",TRUE,IF(LEFT(Regions!$C$3,1)&lt;&gt;"*",Regions!$C$3,""),IF(LEFT(Regions!$D$3,1)&lt;&gt;"*",Regions!$D$3,""))</f>
        <v>IE,National</v>
      </c>
      <c r="D120" s="476" t="str">
        <f>+Techs!B89</f>
        <v>I-ONM-DRR-COA-ETS_E0</v>
      </c>
      <c r="E120" s="476" t="str">
        <f>+Techs!C89</f>
        <v>Industry - Other Minerals - Dryer - Solid Fuels - ETS</v>
      </c>
      <c r="F120" s="477" t="s">
        <v>480</v>
      </c>
      <c r="G120" s="478" t="s">
        <v>224</v>
      </c>
      <c r="H120" s="479"/>
      <c r="I120" s="479"/>
      <c r="J120" s="479"/>
    </row>
    <row r="121" spans="2:10">
      <c r="B121" s="476" t="s">
        <v>222</v>
      </c>
      <c r="C121" s="476" t="str">
        <f>_xlfn.TEXTJOIN(",",TRUE,IF(LEFT(Regions!$C$3,1)&lt;&gt;"*",Regions!$C$3,""),IF(LEFT(Regions!$D$3,1)&lt;&gt;"*",Regions!$D$3,""))</f>
        <v>IE,National</v>
      </c>
      <c r="D121" s="476" t="str">
        <f>+Techs!B90</f>
        <v>I-ONM-OKL-GAS-ETS_E0</v>
      </c>
      <c r="E121" s="476" t="str">
        <f>+Techs!C90</f>
        <v>Industry - Other Minerals - Other Kiln - Gas - ETS</v>
      </c>
      <c r="F121" s="477" t="s">
        <v>480</v>
      </c>
      <c r="G121" s="478" t="s">
        <v>224</v>
      </c>
      <c r="H121" s="479"/>
      <c r="I121" s="479"/>
      <c r="J121" s="479"/>
    </row>
    <row r="122" spans="2:10">
      <c r="B122" s="476" t="s">
        <v>222</v>
      </c>
      <c r="C122" s="476" t="str">
        <f>_xlfn.TEXTJOIN(",",TRUE,IF(LEFT(Regions!$C$3,1)&lt;&gt;"*",Regions!$C$3,""),IF(LEFT(Regions!$D$3,1)&lt;&gt;"*",Regions!$D$3,""))</f>
        <v>IE,National</v>
      </c>
      <c r="D122" s="476" t="str">
        <f>+Techs!B91</f>
        <v>I-ONM-BLR-GAS-ETS_E0</v>
      </c>
      <c r="E122" s="476" t="str">
        <f>+Techs!C91</f>
        <v>Industry - Other Minerals - Boiler - Gas - ETS</v>
      </c>
      <c r="F122" s="477" t="s">
        <v>480</v>
      </c>
      <c r="G122" s="478" t="s">
        <v>224</v>
      </c>
      <c r="H122" s="479"/>
      <c r="I122" s="479"/>
      <c r="J122" s="479"/>
    </row>
    <row r="123" spans="2:10">
      <c r="B123" s="476" t="s">
        <v>222</v>
      </c>
      <c r="C123" s="476" t="str">
        <f>_xlfn.TEXTJOIN(",",TRUE,IF(LEFT(Regions!$C$3,1)&lt;&gt;"*",Regions!$C$3,""),IF(LEFT(Regions!$D$3,1)&lt;&gt;"*",Regions!$D$3,""))</f>
        <v>IE,National</v>
      </c>
      <c r="D123" s="476" t="str">
        <f>+Techs!B92</f>
        <v>I-ONM-DRR-GAS-ETS_E0</v>
      </c>
      <c r="E123" s="476" t="str">
        <f>+Techs!C92</f>
        <v>Industry - Other Minerals - Dryer - Gas - ETS</v>
      </c>
      <c r="F123" s="477" t="s">
        <v>480</v>
      </c>
      <c r="G123" s="478" t="s">
        <v>224</v>
      </c>
      <c r="H123" s="479"/>
      <c r="I123" s="479"/>
      <c r="J123" s="479"/>
    </row>
    <row r="124" spans="2:10">
      <c r="B124" s="476" t="s">
        <v>222</v>
      </c>
      <c r="C124" s="476" t="str">
        <f>_xlfn.TEXTJOIN(",",TRUE,IF(LEFT(Regions!$C$3,1)&lt;&gt;"*",Regions!$C$3,""),IF(LEFT(Regions!$D$3,1)&lt;&gt;"*",Regions!$D$3,""))</f>
        <v>IE,National</v>
      </c>
      <c r="D124" s="476" t="str">
        <f>+Techs!B93</f>
        <v>I-ONM-OKL-BIO-NETS_E0</v>
      </c>
      <c r="E124" s="476" t="str">
        <f>+Techs!C93</f>
        <v>Industry - Other Minerals - Other Kiln - Bio fuel - Non-ETS</v>
      </c>
      <c r="F124" s="477" t="s">
        <v>480</v>
      </c>
      <c r="G124" s="478" t="s">
        <v>224</v>
      </c>
      <c r="H124" s="479"/>
      <c r="I124" s="479"/>
      <c r="J124" s="479"/>
    </row>
    <row r="125" spans="2:10">
      <c r="B125" s="476" t="s">
        <v>222</v>
      </c>
      <c r="C125" s="476" t="str">
        <f>_xlfn.TEXTJOIN(",",TRUE,IF(LEFT(Regions!$C$3,1)&lt;&gt;"*",Regions!$C$3,""),IF(LEFT(Regions!$D$3,1)&lt;&gt;"*",Regions!$D$3,""))</f>
        <v>IE,National</v>
      </c>
      <c r="D125" s="476" t="str">
        <f>+Techs!B94</f>
        <v>I-ONM-BLR-BIO-NETS_E0</v>
      </c>
      <c r="E125" s="476" t="str">
        <f>+Techs!C94</f>
        <v>Industry - Other Minerals - Boiler - Bio fuel - Non-ETS</v>
      </c>
      <c r="F125" s="477" t="s">
        <v>480</v>
      </c>
      <c r="G125" s="478" t="s">
        <v>224</v>
      </c>
      <c r="H125" s="479"/>
      <c r="I125" s="479"/>
      <c r="J125" s="479"/>
    </row>
    <row r="126" spans="2:10">
      <c r="B126" s="476" t="s">
        <v>222</v>
      </c>
      <c r="C126" s="476" t="str">
        <f>_xlfn.TEXTJOIN(",",TRUE,IF(LEFT(Regions!$C$3,1)&lt;&gt;"*",Regions!$C$3,""),IF(LEFT(Regions!$D$3,1)&lt;&gt;"*",Regions!$D$3,""))</f>
        <v>IE,National</v>
      </c>
      <c r="D126" s="476" t="str">
        <f>+Techs!B95</f>
        <v>I-ONM-DRR-BIO-NETS_E0</v>
      </c>
      <c r="E126" s="476" t="str">
        <f>+Techs!C95</f>
        <v>Industry - Other Minerals - Dryer - Bio fuel - Non-ETS</v>
      </c>
      <c r="F126" s="477" t="s">
        <v>480</v>
      </c>
      <c r="G126" s="478" t="s">
        <v>224</v>
      </c>
      <c r="H126" s="479"/>
      <c r="I126" s="479"/>
      <c r="J126" s="479"/>
    </row>
    <row r="127" spans="2:10">
      <c r="B127" s="476" t="s">
        <v>222</v>
      </c>
      <c r="C127" s="476" t="str">
        <f>_xlfn.TEXTJOIN(",",TRUE,IF(LEFT(Regions!$C$3,1)&lt;&gt;"*",Regions!$C$3,""),IF(LEFT(Regions!$D$3,1)&lt;&gt;"*",Regions!$D$3,""))</f>
        <v>IE,National</v>
      </c>
      <c r="D127" s="476" t="str">
        <f>+Techs!B96</f>
        <v>I-ONM-OKL-OIL-NETS_E0</v>
      </c>
      <c r="E127" s="476" t="str">
        <f>+Techs!C96</f>
        <v>Industry - Other Minerals - Other Kiln - Oil - Non-ETS</v>
      </c>
      <c r="F127" s="477" t="s">
        <v>480</v>
      </c>
      <c r="G127" s="478" t="s">
        <v>224</v>
      </c>
      <c r="H127" s="479"/>
      <c r="I127" s="479"/>
      <c r="J127" s="479"/>
    </row>
    <row r="128" spans="2:10">
      <c r="B128" s="476" t="s">
        <v>222</v>
      </c>
      <c r="C128" s="476" t="str">
        <f>_xlfn.TEXTJOIN(",",TRUE,IF(LEFT(Regions!$C$3,1)&lt;&gt;"*",Regions!$C$3,""),IF(LEFT(Regions!$D$3,1)&lt;&gt;"*",Regions!$D$3,""))</f>
        <v>IE,National</v>
      </c>
      <c r="D128" s="476" t="str">
        <f>+Techs!B97</f>
        <v>I-ONM-BLR-OIL-NETS_E0</v>
      </c>
      <c r="E128" s="476" t="str">
        <f>+Techs!C97</f>
        <v>Industry - Other Minerals - Boiler - Oil - Non-ETS</v>
      </c>
      <c r="F128" s="477" t="s">
        <v>480</v>
      </c>
      <c r="G128" s="478" t="s">
        <v>224</v>
      </c>
      <c r="H128" s="479"/>
      <c r="I128" s="479"/>
      <c r="J128" s="479"/>
    </row>
    <row r="129" spans="2:10">
      <c r="B129" s="476" t="s">
        <v>222</v>
      </c>
      <c r="C129" s="476" t="str">
        <f>_xlfn.TEXTJOIN(",",TRUE,IF(LEFT(Regions!$C$3,1)&lt;&gt;"*",Regions!$C$3,""),IF(LEFT(Regions!$D$3,1)&lt;&gt;"*",Regions!$D$3,""))</f>
        <v>IE,National</v>
      </c>
      <c r="D129" s="476" t="str">
        <f>+Techs!B98</f>
        <v>I-ONM-DRR-OIL-NETS_E0</v>
      </c>
      <c r="E129" s="476" t="str">
        <f>+Techs!C98</f>
        <v>Industry - Other Minerals - Dryer - Oil - Non-ETS</v>
      </c>
      <c r="F129" s="477" t="s">
        <v>480</v>
      </c>
      <c r="G129" s="478" t="s">
        <v>224</v>
      </c>
      <c r="H129" s="479"/>
      <c r="I129" s="479"/>
      <c r="J129" s="479"/>
    </row>
    <row r="130" spans="2:10">
      <c r="B130" s="482" t="s">
        <v>488</v>
      </c>
      <c r="C130" s="476" t="str">
        <f>_xlfn.TEXTJOIN(",",TRUE,IF(LEFT(Regions!$C$3,1)&lt;&gt;"*",Regions!$C$3,""),IF(LEFT(Regions!$D$3,1)&lt;&gt;"*",Regions!$D$3,""))</f>
        <v>IE,National</v>
      </c>
      <c r="D130" s="476" t="str">
        <f>+Techs!B99</f>
        <v>\I:  I-REF-BLR-GAS-ETS_E0</v>
      </c>
      <c r="E130" s="476" t="str">
        <f>+Techs!C99</f>
        <v>Industry - Refining - Boiler - Gas - ETS</v>
      </c>
      <c r="F130" s="477" t="s">
        <v>480</v>
      </c>
      <c r="G130" s="478" t="s">
        <v>224</v>
      </c>
      <c r="H130" s="479"/>
      <c r="I130" s="479"/>
      <c r="J130" s="479"/>
    </row>
    <row r="131" spans="2:10">
      <c r="B131" s="482" t="s">
        <v>488</v>
      </c>
      <c r="C131" s="476" t="str">
        <f>_xlfn.TEXTJOIN(",",TRUE,IF(LEFT(Regions!$C$3,1)&lt;&gt;"*",Regions!$C$3,""),IF(LEFT(Regions!$D$3,1)&lt;&gt;"*",Regions!$D$3,""))</f>
        <v>IE,National</v>
      </c>
      <c r="D131" s="476" t="str">
        <f>+Techs!B100</f>
        <v>\I:  I-REF-CHP-GAS-ETS_E0</v>
      </c>
      <c r="E131" s="476" t="str">
        <f>+Techs!C100</f>
        <v>Industry - Refining - CHP - Gas - ETS</v>
      </c>
      <c r="F131" s="477" t="s">
        <v>480</v>
      </c>
      <c r="G131" s="478" t="s">
        <v>224</v>
      </c>
      <c r="H131" s="479"/>
      <c r="I131" s="479"/>
      <c r="J131" s="479"/>
    </row>
    <row r="132" spans="2:10">
      <c r="B132" s="482" t="s">
        <v>488</v>
      </c>
      <c r="C132" s="476" t="str">
        <f>_xlfn.TEXTJOIN(",",TRUE,IF(LEFT(Regions!$C$3,1)&lt;&gt;"*",Regions!$C$3,""),IF(LEFT(Regions!$D$3,1)&lt;&gt;"*",Regions!$D$3,""))</f>
        <v>IE,National</v>
      </c>
      <c r="D132" s="476" t="str">
        <f>+Techs!B101</f>
        <v>\I:  I-REF-FRN-GAS-ETS_E0</v>
      </c>
      <c r="E132" s="476" t="str">
        <f>+Techs!C101</f>
        <v>Industry - Refining - Furnace - Gas - ETS</v>
      </c>
      <c r="F132" s="477" t="s">
        <v>480</v>
      </c>
      <c r="G132" s="478" t="s">
        <v>224</v>
      </c>
      <c r="H132" s="479"/>
      <c r="I132" s="479"/>
      <c r="J132" s="479"/>
    </row>
    <row r="133" spans="2:10">
      <c r="B133" s="476" t="s">
        <v>222</v>
      </c>
      <c r="C133" s="476" t="str">
        <f>_xlfn.TEXTJOIN(",",TRUE,IF(LEFT(Regions!$C$3,1)&lt;&gt;"*",Regions!$C$3,""),IF(LEFT(Regions!$D$3,1)&lt;&gt;"*",Regions!$D$3,""))</f>
        <v>IE,National</v>
      </c>
      <c r="D133" s="476" t="str">
        <f>+Techs!B102</f>
        <v>I-WAP-BLR-BIO-ETS_E0</v>
      </c>
      <c r="E133" s="476" t="str">
        <f>+Techs!C102</f>
        <v>Industry - Wood Products - Boiler - Bio fuel - ETS</v>
      </c>
      <c r="F133" s="477" t="s">
        <v>480</v>
      </c>
      <c r="G133" s="478" t="s">
        <v>224</v>
      </c>
      <c r="H133" s="479"/>
      <c r="I133" s="479"/>
      <c r="J133" s="479"/>
    </row>
    <row r="134" spans="2:10">
      <c r="B134" s="476" t="s">
        <v>222</v>
      </c>
      <c r="C134" s="476" t="str">
        <f>_xlfn.TEXTJOIN(",",TRUE,IF(LEFT(Regions!$C$3,1)&lt;&gt;"*",Regions!$C$3,""),IF(LEFT(Regions!$D$3,1)&lt;&gt;"*",Regions!$D$3,""))</f>
        <v>IE,National</v>
      </c>
      <c r="D134" s="476" t="str">
        <f>+Techs!B103</f>
        <v>I-WAP-DRR-BIO-ETS_E0</v>
      </c>
      <c r="E134" s="476" t="str">
        <f>+Techs!C103</f>
        <v>Industry - Wood Products - Dryer - Bio fuel - ETS</v>
      </c>
      <c r="F134" s="477" t="s">
        <v>480</v>
      </c>
      <c r="G134" s="478" t="s">
        <v>224</v>
      </c>
      <c r="H134" s="479"/>
      <c r="I134" s="479"/>
      <c r="J134" s="479"/>
    </row>
    <row r="135" spans="2:10">
      <c r="B135" s="476" t="s">
        <v>222</v>
      </c>
      <c r="C135" s="476" t="str">
        <f>_xlfn.TEXTJOIN(",",TRUE,IF(LEFT(Regions!$C$3,1)&lt;&gt;"*",Regions!$C$3,""),IF(LEFT(Regions!$D$3,1)&lt;&gt;"*",Regions!$D$3,""))</f>
        <v>IE,National</v>
      </c>
      <c r="D135" s="476" t="str">
        <f>+Techs!B104</f>
        <v>I-WAP-BLR-BIO-NETS_E0</v>
      </c>
      <c r="E135" s="476" t="str">
        <f>+Techs!C104</f>
        <v>Industry - Wood Products - Boiler - Bio fuel - Non-ETS</v>
      </c>
      <c r="F135" s="477" t="s">
        <v>480</v>
      </c>
      <c r="G135" s="478" t="s">
        <v>224</v>
      </c>
      <c r="H135" s="479"/>
      <c r="I135" s="479"/>
      <c r="J135" s="479"/>
    </row>
    <row r="136" spans="2:10">
      <c r="B136" s="476" t="s">
        <v>222</v>
      </c>
      <c r="C136" s="476" t="str">
        <f>_xlfn.TEXTJOIN(",",TRUE,IF(LEFT(Regions!$C$3,1)&lt;&gt;"*",Regions!$C$3,""),IF(LEFT(Regions!$D$3,1)&lt;&gt;"*",Regions!$D$3,""))</f>
        <v>IE,National</v>
      </c>
      <c r="D136" s="476" t="str">
        <f>+Techs!B105</f>
        <v>I-WAP-DRR-BIO-NETS_E0</v>
      </c>
      <c r="E136" s="476" t="str">
        <f>+Techs!C105</f>
        <v>Industry - Wood Products - Dryer - Bio fuel - Non-ETS</v>
      </c>
      <c r="F136" s="477" t="s">
        <v>480</v>
      </c>
      <c r="G136" s="478" t="s">
        <v>224</v>
      </c>
      <c r="H136" s="479"/>
      <c r="I136" s="479"/>
      <c r="J136" s="479"/>
    </row>
    <row r="137" spans="2:10">
      <c r="B137" s="476" t="s">
        <v>222</v>
      </c>
      <c r="C137" s="476" t="str">
        <f>_xlfn.TEXTJOIN(",",TRUE,IF(LEFT(Regions!$C$3,1)&lt;&gt;"*",Regions!$C$3,""),IF(LEFT(Regions!$D$3,1)&lt;&gt;"*",Regions!$D$3,""))</f>
        <v>IE,National</v>
      </c>
      <c r="D137" s="476" t="str">
        <f>+Techs!B106</f>
        <v>I-WAP-BLR-OIL-NETS_E0</v>
      </c>
      <c r="E137" s="476" t="str">
        <f>+Techs!C106</f>
        <v>Industry - Wood Products - Boiler - Oil - Non-ETS</v>
      </c>
      <c r="F137" s="477" t="s">
        <v>480</v>
      </c>
      <c r="G137" s="478" t="s">
        <v>224</v>
      </c>
      <c r="H137" s="479"/>
      <c r="I137" s="479"/>
      <c r="J137" s="479"/>
    </row>
    <row r="138" spans="2:10">
      <c r="B138" s="476" t="s">
        <v>222</v>
      </c>
      <c r="C138" s="476" t="str">
        <f>_xlfn.TEXTJOIN(",",TRUE,IF(LEFT(Regions!$C$3,1)&lt;&gt;"*",Regions!$C$3,""),IF(LEFT(Regions!$D$3,1)&lt;&gt;"*",Regions!$D$3,""))</f>
        <v>IE,National</v>
      </c>
      <c r="D138" s="476" t="str">
        <f>+Techs!B107</f>
        <v>I-WAP-DRR-OIL-NETS_E0</v>
      </c>
      <c r="E138" s="476" t="str">
        <f>+Techs!C107</f>
        <v>Industry - Wood Products - Dryer - Oil - Non-ETS</v>
      </c>
      <c r="F138" s="477" t="s">
        <v>480</v>
      </c>
      <c r="G138" s="478" t="s">
        <v>224</v>
      </c>
      <c r="H138" s="479"/>
      <c r="I138" s="479"/>
      <c r="J138" s="479"/>
    </row>
    <row r="139" spans="2:10">
      <c r="B139" s="476" t="s">
        <v>222</v>
      </c>
      <c r="C139" s="476" t="str">
        <f>_xlfn.TEXTJOIN(",",TRUE,IF(LEFT(Regions!$C$3,1)&lt;&gt;"*",Regions!$C$3,""),IF(LEFT(Regions!$D$3,1)&lt;&gt;"*",Regions!$D$3,""))</f>
        <v>IE,National</v>
      </c>
      <c r="D139" s="476" t="str">
        <f>+Techs!B108</f>
        <v>I-WAP-BLR-GAS-NETS_E0</v>
      </c>
      <c r="E139" s="476" t="str">
        <f>+Techs!C108</f>
        <v>Industry - Wood Products - Boiler - Gas - Non-ETS</v>
      </c>
      <c r="F139" s="477" t="s">
        <v>480</v>
      </c>
      <c r="G139" s="478" t="s">
        <v>224</v>
      </c>
      <c r="H139" s="479"/>
      <c r="I139" s="479"/>
      <c r="J139" s="479"/>
    </row>
    <row r="140" spans="2:10">
      <c r="B140" s="476" t="s">
        <v>222</v>
      </c>
      <c r="C140" s="476" t="str">
        <f>_xlfn.TEXTJOIN(",",TRUE,IF(LEFT(Regions!$C$3,1)&lt;&gt;"*",Regions!$C$3,""),IF(LEFT(Regions!$D$3,1)&lt;&gt;"*",Regions!$D$3,""))</f>
        <v>IE,National</v>
      </c>
      <c r="D140" s="476" t="str">
        <f>+Techs!B109</f>
        <v>I-WAP-DRR-GAS-NETS_E0</v>
      </c>
      <c r="E140" s="476" t="str">
        <f>+Techs!C109</f>
        <v>Industry - Wood Products - Dryer - Gas - Non-ETS</v>
      </c>
      <c r="F140" s="477" t="s">
        <v>480</v>
      </c>
      <c r="G140" s="478" t="s">
        <v>224</v>
      </c>
      <c r="H140" s="479"/>
      <c r="I140" s="479"/>
      <c r="J140" s="479"/>
    </row>
    <row r="141" spans="2:10">
      <c r="B141" s="476" t="s">
        <v>594</v>
      </c>
      <c r="C141" s="476" t="str">
        <f>_xlfn.TEXTJOIN(",",TRUE,IF(LEFT(Regions!$C$3,1)&lt;&gt;"*",Regions!$C$3,""),IF(LEFT(Regions!$D$3,1)&lt;&gt;"*",Regions!$D$3,""))</f>
        <v>IE,National</v>
      </c>
      <c r="D141" t="s">
        <v>592</v>
      </c>
      <c r="E141" t="s">
        <v>593</v>
      </c>
      <c r="F141" s="477" t="s">
        <v>166</v>
      </c>
      <c r="G141" s="47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FA8-D735-48AC-B928-6081B29FCD3B}">
  <sheetPr codeName="Sheet6"/>
  <dimension ref="B2:Q24"/>
  <sheetViews>
    <sheetView workbookViewId="0">
      <selection activeCell="I3" sqref="I3"/>
    </sheetView>
  </sheetViews>
  <sheetFormatPr defaultRowHeight="14.5"/>
  <cols>
    <col min="2" max="2" width="12.26953125" bestFit="1" customWidth="1"/>
    <col min="3" max="3" width="14.81640625" bestFit="1" customWidth="1"/>
    <col min="4" max="4" width="43.26953125" bestFit="1" customWidth="1"/>
    <col min="5" max="5" width="39.26953125" bestFit="1" customWidth="1"/>
    <col min="6" max="6" width="16" bestFit="1" customWidth="1"/>
    <col min="7" max="7" width="8.54296875" bestFit="1" customWidth="1"/>
    <col min="8" max="8" width="13" bestFit="1" customWidth="1"/>
  </cols>
  <sheetData>
    <row r="2" spans="2:17">
      <c r="C2" s="42"/>
      <c r="D2" s="42"/>
      <c r="E2" s="42"/>
      <c r="F2" s="18" t="s">
        <v>230</v>
      </c>
      <c r="G2" s="42"/>
      <c r="H2" s="42"/>
    </row>
    <row r="3" spans="2:17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473" t="s">
        <v>490</v>
      </c>
      <c r="J3" s="473" t="s">
        <v>493</v>
      </c>
      <c r="K3" s="473" t="s">
        <v>595</v>
      </c>
    </row>
    <row r="4" spans="2:17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474" t="s">
        <v>491</v>
      </c>
      <c r="J4" s="474" t="s">
        <v>494</v>
      </c>
    </row>
    <row r="5" spans="2:17">
      <c r="B5" s="22" t="s">
        <v>238</v>
      </c>
      <c r="C5" s="22"/>
      <c r="D5" s="22"/>
      <c r="E5" s="22"/>
      <c r="F5" s="22"/>
      <c r="G5" s="22"/>
      <c r="H5" s="22" t="s">
        <v>239</v>
      </c>
      <c r="I5" t="s">
        <v>492</v>
      </c>
    </row>
    <row r="6" spans="2:17">
      <c r="B6" t="str">
        <f>_xlfn.TEXTJOIN(",",TRUE,IF(LEFT(Regions!$C$3,1)&lt;&gt;"*",Regions!$C$3,""),IF(LEFT(Regions!$D$3,1)&lt;&gt;"*",Regions!$D$3,""))</f>
        <v>IE,National</v>
      </c>
      <c r="C6" s="38" t="str">
        <f>Processes!D20</f>
        <v>FT-INDCOA</v>
      </c>
      <c r="D6" s="38" t="str">
        <f>Processes!E20</f>
        <v>Fuel Tech - Coal (IND)</v>
      </c>
      <c r="E6" s="39" t="s">
        <v>165</v>
      </c>
      <c r="F6" s="38" t="str">
        <f>Commodities!D5</f>
        <v>INDCOA</v>
      </c>
      <c r="G6" s="43">
        <v>1</v>
      </c>
      <c r="H6" s="43">
        <v>50</v>
      </c>
    </row>
    <row r="7" spans="2:17">
      <c r="B7" t="str">
        <f>_xlfn.TEXTJOIN(",",TRUE,IF(LEFT(Regions!$C$3,1)&lt;&gt;"*",Regions!$C$3,""),IF(LEFT(Regions!$D$3,1)&lt;&gt;"*",Regions!$D$3,""))</f>
        <v>IE,National</v>
      </c>
      <c r="C7" s="38" t="str">
        <f>Processes!D21</f>
        <v>FT-INDPEA</v>
      </c>
      <c r="D7" s="38" t="str">
        <f>Processes!E21</f>
        <v xml:space="preserve">Fuel Tech - Peat (IND) </v>
      </c>
      <c r="E7" s="39" t="s">
        <v>167</v>
      </c>
      <c r="F7" s="38" t="str">
        <f>Commodities!D6</f>
        <v>INDPEA</v>
      </c>
      <c r="G7" s="43">
        <v>1</v>
      </c>
      <c r="H7" s="43">
        <v>50</v>
      </c>
    </row>
    <row r="8" spans="2:17">
      <c r="B8" t="str">
        <f>_xlfn.TEXTJOIN(",",TRUE,IF(LEFT(Regions!$C$3,1)&lt;&gt;"*",Regions!$C$3,""),IF(LEFT(Regions!$D$3,1)&lt;&gt;"*",Regions!$D$3,""))</f>
        <v>IE,National</v>
      </c>
      <c r="C8" s="38" t="str">
        <f>Processes!D22</f>
        <v>FT-INDOIL</v>
      </c>
      <c r="D8" s="38" t="str">
        <f>Processes!E22</f>
        <v>Fuel Tech - Oil products (IND)</v>
      </c>
      <c r="E8" s="39" t="s">
        <v>168</v>
      </c>
      <c r="F8" s="38" t="str">
        <f>Commodities!D7</f>
        <v>INDOIL</v>
      </c>
      <c r="G8" s="43">
        <v>1</v>
      </c>
      <c r="H8" s="43">
        <v>50</v>
      </c>
      <c r="I8" s="386">
        <v>0.04</v>
      </c>
      <c r="J8">
        <v>5</v>
      </c>
    </row>
    <row r="9" spans="2:17">
      <c r="B9" s="55"/>
      <c r="C9" s="56"/>
      <c r="D9" s="56"/>
      <c r="E9" s="57" t="s">
        <v>299</v>
      </c>
      <c r="F9" s="56"/>
      <c r="G9" s="57"/>
      <c r="H9" s="57"/>
      <c r="I9" s="386">
        <v>0</v>
      </c>
      <c r="J9">
        <v>5</v>
      </c>
    </row>
    <row r="10" spans="2:17">
      <c r="C10" s="38"/>
      <c r="D10" s="38"/>
      <c r="E10" s="39" t="s">
        <v>169</v>
      </c>
      <c r="F10" s="38"/>
      <c r="G10" s="43"/>
      <c r="H10" s="43"/>
      <c r="I10" s="386">
        <v>0.18</v>
      </c>
      <c r="J10">
        <v>5</v>
      </c>
      <c r="M10" s="480"/>
      <c r="N10" s="480"/>
      <c r="O10" s="480"/>
      <c r="P10" s="480"/>
      <c r="Q10" s="480"/>
    </row>
    <row r="11" spans="2:17">
      <c r="C11" s="38"/>
      <c r="D11" s="38"/>
      <c r="E11" s="39" t="s">
        <v>171</v>
      </c>
      <c r="F11" s="38"/>
      <c r="G11" s="43"/>
      <c r="H11" s="43"/>
      <c r="I11" s="386">
        <f>1-SUM(I8:I10,I12:I13)</f>
        <v>0.22999999999999998</v>
      </c>
      <c r="J11">
        <v>5</v>
      </c>
    </row>
    <row r="12" spans="2:17">
      <c r="C12" s="38"/>
      <c r="D12" s="38"/>
      <c r="E12" s="39" t="s">
        <v>170</v>
      </c>
      <c r="F12" s="38"/>
      <c r="G12" s="43"/>
      <c r="H12" s="43"/>
      <c r="I12" s="386">
        <v>0.55000000000000004</v>
      </c>
      <c r="J12">
        <v>5</v>
      </c>
    </row>
    <row r="13" spans="2:17">
      <c r="B13" s="55"/>
      <c r="C13" s="56"/>
      <c r="D13" s="56"/>
      <c r="E13" s="57" t="s">
        <v>296</v>
      </c>
      <c r="F13" s="56"/>
      <c r="G13" s="57"/>
      <c r="H13" s="57"/>
      <c r="I13" s="386">
        <v>0</v>
      </c>
      <c r="J13">
        <v>5</v>
      </c>
    </row>
    <row r="14" spans="2:17">
      <c r="B14" t="str">
        <f>_xlfn.TEXTJOIN(",",TRUE,IF(LEFT(Regions!$C$3,1)&lt;&gt;"*",Regions!$C$3,""),IF(LEFT(Regions!$D$3,1)&lt;&gt;"*",Regions!$D$3,""))</f>
        <v>IE,National</v>
      </c>
      <c r="C14" s="38" t="str">
        <f>Processes!D28</f>
        <v>FT-INDCOK</v>
      </c>
      <c r="D14" s="38" t="str">
        <f>Processes!E28</f>
        <v>Fuel Tech - Petroleum Coke (IND)</v>
      </c>
      <c r="E14" s="39" t="s">
        <v>172</v>
      </c>
      <c r="F14" s="38" t="str">
        <f>Commodities!D13</f>
        <v>INDCOK</v>
      </c>
      <c r="G14" s="43">
        <v>1</v>
      </c>
      <c r="H14" s="43">
        <v>50</v>
      </c>
    </row>
    <row r="15" spans="2:17">
      <c r="B15" t="str">
        <f>_xlfn.TEXTJOIN(",",TRUE,IF(LEFT(Regions!$C$3,1)&lt;&gt;"*",Regions!$C$3,""),IF(LEFT(Regions!$D$3,1)&lt;&gt;"*",Regions!$D$3,""))</f>
        <v>IE,National</v>
      </c>
      <c r="C15" s="38" t="str">
        <f>Processes!D29</f>
        <v>FT-INDGAS</v>
      </c>
      <c r="D15" s="38" t="str">
        <f>Processes!E29</f>
        <v>Fuel Tech - Natural Gas (IND)</v>
      </c>
      <c r="E15" s="39" t="s">
        <v>173</v>
      </c>
      <c r="F15" s="38" t="str">
        <f>Commodities!D14</f>
        <v>INDGAS</v>
      </c>
      <c r="G15" s="43">
        <v>1</v>
      </c>
      <c r="H15" s="43">
        <v>50</v>
      </c>
    </row>
    <row r="16" spans="2:17">
      <c r="B16" t="str">
        <f>_xlfn.TEXTJOIN(",",TRUE,IF(LEFT(Regions!$C$3,1)&lt;&gt;"*",Regions!$C$3,""),IF(LEFT(Regions!$D$3,1)&lt;&gt;"*",Regions!$D$3,""))</f>
        <v>IE,National</v>
      </c>
      <c r="C16" s="38" t="str">
        <f>Processes!D30</f>
        <v>FT-INDELC</v>
      </c>
      <c r="D16" s="38" t="str">
        <f>Processes!E30</f>
        <v>Fuel Tech - Electricity (IND)</v>
      </c>
      <c r="E16" s="39" t="s">
        <v>243</v>
      </c>
      <c r="F16" s="38" t="str">
        <f>Commodities!D19</f>
        <v>INDELC</v>
      </c>
      <c r="G16" s="43">
        <v>1</v>
      </c>
      <c r="H16" s="43">
        <v>50</v>
      </c>
    </row>
    <row r="17" spans="2:11">
      <c r="B17" t="str">
        <f>_xlfn.TEXTJOIN(",",TRUE,IF(LEFT(Regions!$C$3,1)&lt;&gt;"*",Regions!$C$3,""),IF(LEFT(Regions!$D$3,1)&lt;&gt;"*",Regions!$D$3,""))</f>
        <v>IE,National</v>
      </c>
      <c r="C17" s="38" t="str">
        <f>Processes!D31</f>
        <v>FT-INDBGS</v>
      </c>
      <c r="D17" s="38" t="str">
        <f>Processes!E31</f>
        <v>Fuel Tech - Biogas (IND)</v>
      </c>
      <c r="E17" s="39" t="s">
        <v>240</v>
      </c>
      <c r="F17" s="38" t="str">
        <f>Commodities!D20</f>
        <v>INDBGS</v>
      </c>
      <c r="G17" s="43">
        <v>1</v>
      </c>
      <c r="H17" s="43">
        <v>50</v>
      </c>
    </row>
    <row r="18" spans="2:11">
      <c r="B18" t="str">
        <f>_xlfn.TEXTJOIN(",",TRUE,IF(LEFT(Regions!$C$3,1)&lt;&gt;"*",Regions!$C$3,""),IF(LEFT(Regions!$D$3,1)&lt;&gt;"*",Regions!$D$3,""))</f>
        <v>IE,National</v>
      </c>
      <c r="C18" s="38" t="str">
        <f>Processes!D32</f>
        <v>FT-INDBIO</v>
      </c>
      <c r="D18" s="38" t="str">
        <f>Processes!E32</f>
        <v>Fuel Tech - Biomass (IND)</v>
      </c>
      <c r="E18" s="39" t="s">
        <v>558</v>
      </c>
      <c r="F18" s="38" t="str">
        <f>Commodities!D21</f>
        <v>INDBIO</v>
      </c>
      <c r="G18" s="43">
        <v>1</v>
      </c>
      <c r="H18" s="43">
        <v>50</v>
      </c>
    </row>
    <row r="19" spans="2:11">
      <c r="B19" t="str">
        <f>_xlfn.TEXTJOIN(",",TRUE,IF(LEFT(Regions!$C$3,1)&lt;&gt;"*",Regions!$C$3,""),IF(LEFT(Regions!$D$3,1)&lt;&gt;"*",Regions!$D$3,""))</f>
        <v>IE,National</v>
      </c>
      <c r="C19" s="38" t="str">
        <f>Processes!D33</f>
        <v>FT-INDRWS</v>
      </c>
      <c r="D19" s="38" t="str">
        <f>Processes!E33</f>
        <v>Fuel Tech - Renewable waste (IND)</v>
      </c>
      <c r="E19" s="39" t="s">
        <v>596</v>
      </c>
      <c r="F19" s="38" t="str">
        <f>Commodities!D22</f>
        <v>INDRWS</v>
      </c>
      <c r="G19" s="43">
        <v>1</v>
      </c>
      <c r="H19" s="43">
        <v>50</v>
      </c>
    </row>
    <row r="20" spans="2:11">
      <c r="B20" t="str">
        <f>_xlfn.TEXTJOIN(",",TRUE,IF(LEFT(Regions!$C$3,1)&lt;&gt;"*",Regions!$C$3,""),IF(LEFT(Regions!$D$3,1)&lt;&gt;"*",Regions!$D$3,""))</f>
        <v>IE,National</v>
      </c>
      <c r="C20" s="38" t="str">
        <f>Processes!D34</f>
        <v>FT-INDNWS</v>
      </c>
      <c r="D20" s="38" t="str">
        <f>Processes!E34</f>
        <v>Fuel Tech - Non-renewable waste (IND)</v>
      </c>
      <c r="E20" s="39" t="s">
        <v>590</v>
      </c>
      <c r="F20" s="38" t="str">
        <f>Commodities!D23</f>
        <v>INDNWS</v>
      </c>
      <c r="G20" s="43">
        <v>1</v>
      </c>
      <c r="H20" s="43">
        <v>50</v>
      </c>
    </row>
    <row r="21" spans="2:11">
      <c r="B21" t="str">
        <f>_xlfn.TEXTJOIN(",",TRUE,IF(LEFT(Regions!$C$3,1)&lt;&gt;"*",Regions!$C$3,""),IF(LEFT(Regions!$D$3,1)&lt;&gt;"*",Regions!$D$3,""))</f>
        <v>IE,National</v>
      </c>
      <c r="C21" s="38" t="str">
        <f>Processes!D35</f>
        <v>FT-INDH2G</v>
      </c>
      <c r="D21" s="38" t="str">
        <f>Processes!E35</f>
        <v>Fuel Tech - Hydrogen gaseous (IND)</v>
      </c>
      <c r="E21" s="39" t="s">
        <v>304</v>
      </c>
      <c r="F21" s="38" t="str">
        <f>Commodities!D24</f>
        <v>INDH2G</v>
      </c>
      <c r="G21" s="43">
        <v>1</v>
      </c>
      <c r="H21" s="43">
        <v>50</v>
      </c>
    </row>
    <row r="22" spans="2:11">
      <c r="B22" t="str">
        <f>_xlfn.TEXTJOIN(",",TRUE,IF(LEFT(Regions!$C$3,1)&lt;&gt;"*",Regions!$C$3,""),IF(LEFT(Regions!$D$3,1)&lt;&gt;"*",Regions!$D$3,""))</f>
        <v>IE,National</v>
      </c>
      <c r="C22" s="38" t="str">
        <f>Processes!D36</f>
        <v>FT-INDH2L</v>
      </c>
      <c r="D22" s="38" t="str">
        <f>Processes!E36</f>
        <v>Fuel Tech - Hydrogen liquid (IND)</v>
      </c>
      <c r="E22" s="39" t="s">
        <v>305</v>
      </c>
      <c r="F22" s="38" t="str">
        <f>Commodities!D25</f>
        <v>INDH2L</v>
      </c>
      <c r="G22" s="43">
        <v>1</v>
      </c>
      <c r="H22" s="43">
        <v>50</v>
      </c>
    </row>
    <row r="23" spans="2:11">
      <c r="B23" t="str">
        <f>_xlfn.TEXTJOIN(",",TRUE,IF(LEFT(Regions!$C$3,1)&lt;&gt;"*",Regions!$C$3,""),IF(LEFT(Regions!$D$3,1)&lt;&gt;"*",Regions!$D$3,""))</f>
        <v>IE,National</v>
      </c>
      <c r="C23" s="38" t="str">
        <f>+Processes!D27</f>
        <v>FT-INDWOO</v>
      </c>
      <c r="D23" s="38" t="str">
        <f>+Processes!E27</f>
        <v>Fuel Tech - Solid biomass (IND)</v>
      </c>
      <c r="E23" s="39" t="s">
        <v>561</v>
      </c>
      <c r="F23" s="38" t="str">
        <f>+Commodities!D12</f>
        <v>INDWOO</v>
      </c>
      <c r="G23" s="43">
        <v>1</v>
      </c>
      <c r="H23" s="43">
        <v>50</v>
      </c>
    </row>
    <row r="24" spans="2:11">
      <c r="B24" t="str">
        <f>_xlfn.TEXTJOIN(",",TRUE,IF(LEFT(Regions!$C$3,1)&lt;&gt;"*",Regions!$C$3,""),IF(LEFT(Regions!$D$3,1)&lt;&gt;"*",Regions!$D$3,""))</f>
        <v>IE,National</v>
      </c>
      <c r="C24" t="str">
        <f>Processes!D141</f>
        <v>MIN-WASTE</v>
      </c>
      <c r="F24" t="str">
        <f>+E20</f>
        <v>WASTE</v>
      </c>
      <c r="G24" s="43">
        <v>1</v>
      </c>
      <c r="K24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8194-EAB2-4AAC-9B35-F09487A4BBC8}">
  <sheetPr codeName="Sheet7"/>
  <dimension ref="B2:AB53"/>
  <sheetViews>
    <sheetView zoomScale="53" zoomScaleNormal="100" workbookViewId="0">
      <selection activeCell="L8" sqref="L8"/>
    </sheetView>
  </sheetViews>
  <sheetFormatPr defaultRowHeight="14.5"/>
  <cols>
    <col min="2" max="2" width="12.26953125" bestFit="1" customWidth="1"/>
    <col min="3" max="3" width="14.81640625" bestFit="1" customWidth="1"/>
    <col min="4" max="4" width="53.81640625" bestFit="1" customWidth="1"/>
    <col min="5" max="5" width="14.54296875" bestFit="1" customWidth="1"/>
    <col min="6" max="6" width="16" bestFit="1" customWidth="1"/>
    <col min="7" max="7" width="8.54296875" bestFit="1" customWidth="1"/>
    <col min="8" max="8" width="11.453125" bestFit="1" customWidth="1"/>
    <col min="9" max="9" width="17" bestFit="1" customWidth="1"/>
    <col min="10" max="11" width="17" customWidth="1"/>
    <col min="12" max="12" width="22.1796875" customWidth="1"/>
    <col min="13" max="13" width="14" bestFit="1" customWidth="1"/>
  </cols>
  <sheetData>
    <row r="2" spans="2:28">
      <c r="C2" s="42"/>
      <c r="D2" s="42"/>
      <c r="E2" s="42"/>
      <c r="F2" s="18" t="s">
        <v>230</v>
      </c>
      <c r="G2" s="42"/>
      <c r="H2" s="42"/>
    </row>
    <row r="3" spans="2:28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20" t="s">
        <v>257</v>
      </c>
      <c r="J3" s="20" t="s">
        <v>478</v>
      </c>
      <c r="K3" s="20" t="s">
        <v>479</v>
      </c>
      <c r="L3" s="20" t="s">
        <v>587</v>
      </c>
      <c r="M3" s="20" t="s">
        <v>258</v>
      </c>
    </row>
    <row r="4" spans="2:28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22" t="s">
        <v>255</v>
      </c>
      <c r="J4" s="22"/>
      <c r="K4" s="22"/>
      <c r="L4" s="22"/>
      <c r="M4" s="22" t="s">
        <v>255</v>
      </c>
    </row>
    <row r="5" spans="2:28">
      <c r="B5" s="22" t="s">
        <v>238</v>
      </c>
      <c r="C5" s="22"/>
      <c r="D5" s="22"/>
      <c r="E5" s="22"/>
      <c r="F5" s="22"/>
      <c r="G5" s="22"/>
      <c r="H5" s="22" t="s">
        <v>239</v>
      </c>
      <c r="I5" s="22"/>
      <c r="J5" s="22"/>
      <c r="K5" s="22"/>
      <c r="L5" s="22"/>
      <c r="M5" s="22" t="s">
        <v>256</v>
      </c>
    </row>
    <row r="6" spans="2:28">
      <c r="B6" t="str">
        <f>_xlfn.TEXTJOIN(",",TRUE,IF(LEFT(Regions!$C$3,1)&lt;&gt;"*",Regions!$C$3,""),IF(LEFT(Regions!$D$3,1)&lt;&gt;"*",Regions!$D$3,""))</f>
        <v>IE,National</v>
      </c>
      <c r="C6" s="38" t="str">
        <f>"I-DMD-"&amp;R6&amp;"-E0"</f>
        <v>I-DMD-CEM-E0</v>
      </c>
      <c r="D6" s="38" t="str">
        <f>Processes!E5</f>
        <v>Cement industry demand process</v>
      </c>
      <c r="E6" s="39"/>
      <c r="F6" s="38" t="str">
        <f>Commodities!D27</f>
        <v>ICEM</v>
      </c>
      <c r="G6" s="43">
        <v>1</v>
      </c>
      <c r="H6" s="43">
        <v>50</v>
      </c>
      <c r="L6" s="35">
        <f>+EMI!K28</f>
        <v>197.87211538461537</v>
      </c>
      <c r="M6" s="43"/>
      <c r="P6" s="45"/>
      <c r="Q6" t="s">
        <v>359</v>
      </c>
      <c r="R6" t="s">
        <v>435</v>
      </c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2:28">
      <c r="C7" s="38"/>
      <c r="D7" s="38"/>
      <c r="E7" s="39" t="str">
        <f>RIGHT(F6,3)&amp;"HTH"</f>
        <v>CEMHTH</v>
      </c>
      <c r="F7" s="38"/>
      <c r="G7" s="43"/>
      <c r="H7" s="43"/>
      <c r="I7" s="480">
        <f>VLOOKUP(O7,NRG_shares!$R$196:$W$204,DMD!P7,FALSE)</f>
        <v>0.96935376415722851</v>
      </c>
      <c r="M7" s="43">
        <v>5</v>
      </c>
      <c r="O7" t="s">
        <v>359</v>
      </c>
      <c r="P7" s="385">
        <v>3</v>
      </c>
      <c r="Q7" t="s">
        <v>387</v>
      </c>
      <c r="R7" t="s">
        <v>438</v>
      </c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2:28">
      <c r="C8" s="38"/>
      <c r="D8" s="38"/>
      <c r="E8" s="39" t="str">
        <f>RIGHT(F6,3)&amp;"MTH"</f>
        <v>CEMMTH</v>
      </c>
      <c r="F8" s="38"/>
      <c r="G8" s="43"/>
      <c r="H8" s="43"/>
      <c r="I8" s="480">
        <f>VLOOKUP(O8,NRG_shares!$R$196:$W$204,DMD!P8,FALSE)</f>
        <v>3.0646235842771489E-2</v>
      </c>
      <c r="M8" s="43">
        <v>5</v>
      </c>
      <c r="O8" t="s">
        <v>359</v>
      </c>
      <c r="P8" s="385">
        <v>4</v>
      </c>
      <c r="Q8" t="s">
        <v>377</v>
      </c>
      <c r="R8" t="s">
        <v>439</v>
      </c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2:28">
      <c r="B9" t="s">
        <v>488</v>
      </c>
      <c r="C9" s="38"/>
      <c r="D9" s="38"/>
      <c r="E9" s="39" t="str">
        <f>RIGHT(F6,3)&amp;"LTH"</f>
        <v>CEMLTH</v>
      </c>
      <c r="F9" s="38"/>
      <c r="G9" s="43"/>
      <c r="H9" s="43"/>
      <c r="I9" s="480">
        <f>VLOOKUP(O9,NRG_shares!$R$196:$W$204,DMD!P9,FALSE)</f>
        <v>0</v>
      </c>
      <c r="M9" s="43">
        <v>5</v>
      </c>
      <c r="O9" t="s">
        <v>359</v>
      </c>
      <c r="P9" s="385">
        <v>5</v>
      </c>
      <c r="Q9" t="s">
        <v>370</v>
      </c>
      <c r="R9" t="s">
        <v>436</v>
      </c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2:28">
      <c r="B10" s="46" t="s">
        <v>488</v>
      </c>
      <c r="C10" s="40"/>
      <c r="D10" s="40"/>
      <c r="E10" s="39" t="str">
        <f>RIGHT(F6,3)&amp;"HET"</f>
        <v>CEMHET</v>
      </c>
      <c r="F10" s="40"/>
      <c r="G10" s="44"/>
      <c r="H10" s="44"/>
      <c r="I10" s="488">
        <f>VLOOKUP(O10,NRG_shares!$R$196:$W$204,DMD!P10,FALSE)</f>
        <v>0</v>
      </c>
      <c r="J10" s="46"/>
      <c r="K10" s="46"/>
      <c r="L10" s="46"/>
      <c r="M10" s="44">
        <v>5</v>
      </c>
      <c r="O10" t="s">
        <v>359</v>
      </c>
      <c r="P10" s="385">
        <v>6</v>
      </c>
      <c r="Q10" t="s">
        <v>353</v>
      </c>
      <c r="R10" t="s">
        <v>440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2:28">
      <c r="B11" t="str">
        <f>_xlfn.TEXTJOIN(",",TRUE,IF(LEFT(Regions!$C$3,1)&lt;&gt;"*",Regions!$C$3,""),IF(LEFT(Regions!$D$3,1)&lt;&gt;"*",Regions!$D$3,""))</f>
        <v>IE,National</v>
      </c>
      <c r="C11" s="38" t="str">
        <f>"I-DMD-"&amp;R7&amp;"-E0"</f>
        <v>I-DMD-CAF-E0</v>
      </c>
      <c r="D11" s="38" t="str">
        <f>Processes!E6</f>
        <v>Chemicals industry demand process</v>
      </c>
      <c r="E11" s="39"/>
      <c r="F11" s="38" t="str">
        <f>Commodities!D28</f>
        <v>ICAF</v>
      </c>
      <c r="G11" s="43">
        <v>1</v>
      </c>
      <c r="H11" s="43">
        <v>50</v>
      </c>
      <c r="I11" s="489"/>
      <c r="J11" s="374"/>
      <c r="K11" s="374"/>
      <c r="L11" s="374"/>
      <c r="M11" s="43"/>
      <c r="P11" s="45"/>
      <c r="Q11" t="s">
        <v>375</v>
      </c>
      <c r="R11" t="s">
        <v>441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2:28">
      <c r="B12" t="s">
        <v>488</v>
      </c>
      <c r="C12" s="38"/>
      <c r="D12" s="38"/>
      <c r="E12" s="39" t="str">
        <f>RIGHT(F11,3)&amp;"HTH"</f>
        <v>CAFHTH</v>
      </c>
      <c r="F12" s="38"/>
      <c r="G12" s="43"/>
      <c r="H12" s="43"/>
      <c r="I12" s="480">
        <f>VLOOKUP(O12,NRG_shares!$R$196:$W$204,DMD!P12,FALSE)</f>
        <v>0</v>
      </c>
      <c r="J12" s="374"/>
      <c r="K12" s="374"/>
      <c r="L12" s="374"/>
      <c r="M12" s="43">
        <v>5</v>
      </c>
      <c r="O12" t="s">
        <v>387</v>
      </c>
      <c r="P12" s="385">
        <v>3</v>
      </c>
      <c r="Q12" t="s">
        <v>388</v>
      </c>
      <c r="R12" t="s">
        <v>442</v>
      </c>
    </row>
    <row r="13" spans="2:28">
      <c r="C13" s="38"/>
      <c r="D13" s="38"/>
      <c r="E13" s="39" t="str">
        <f>RIGHT(F11,3)&amp;"MTH"</f>
        <v>CAFMTH</v>
      </c>
      <c r="F13" s="38"/>
      <c r="G13" s="43"/>
      <c r="H13" s="43"/>
      <c r="I13" s="480">
        <f>VLOOKUP(O13,NRG_shares!$R$196:$W$204,DMD!P13,FALSE)</f>
        <v>0.29754119435827564</v>
      </c>
      <c r="M13" s="43">
        <v>5</v>
      </c>
      <c r="O13" t="s">
        <v>387</v>
      </c>
      <c r="P13" s="385">
        <v>4</v>
      </c>
      <c r="Q13" t="s">
        <v>369</v>
      </c>
      <c r="R13" t="s">
        <v>437</v>
      </c>
    </row>
    <row r="14" spans="2:28">
      <c r="C14" s="38"/>
      <c r="D14" s="38"/>
      <c r="E14" s="39" t="str">
        <f>RIGHT(F11,3)&amp;"LTH"</f>
        <v>CAFLTH</v>
      </c>
      <c r="F14" s="38"/>
      <c r="G14" s="43"/>
      <c r="H14" s="43"/>
      <c r="I14" s="480">
        <f>VLOOKUP(O14,NRG_shares!$R$196:$W$204,DMD!P14,FALSE)</f>
        <v>0.56606520975784935</v>
      </c>
      <c r="M14" s="43">
        <v>5</v>
      </c>
      <c r="O14" t="s">
        <v>387</v>
      </c>
      <c r="P14" s="385">
        <v>5</v>
      </c>
      <c r="Q14" t="s">
        <v>372</v>
      </c>
      <c r="R14" t="s">
        <v>443</v>
      </c>
    </row>
    <row r="15" spans="2:28">
      <c r="B15" s="46"/>
      <c r="C15" s="40"/>
      <c r="D15" s="40"/>
      <c r="E15" s="39" t="str">
        <f>RIGHT(F11,3)&amp;"HET"</f>
        <v>CAFHET</v>
      </c>
      <c r="F15" s="40"/>
      <c r="G15" s="44"/>
      <c r="H15" s="44"/>
      <c r="I15" s="488">
        <f>VLOOKUP(O15,NRG_shares!$R$196:$W$204,DMD!P15,FALSE)</f>
        <v>0.13639359588387517</v>
      </c>
      <c r="J15" s="46"/>
      <c r="K15" s="46"/>
      <c r="L15" s="46"/>
      <c r="M15" s="44">
        <v>5</v>
      </c>
      <c r="O15" t="s">
        <v>387</v>
      </c>
      <c r="P15" s="385">
        <v>6</v>
      </c>
    </row>
    <row r="16" spans="2:28">
      <c r="B16" t="str">
        <f>_xlfn.TEXTJOIN(",",TRUE,IF(LEFT(Regions!$C$3,1)&lt;&gt;"*",Regions!$C$3,""),IF(LEFT(Regions!$D$3,1)&lt;&gt;"*",Regions!$D$3,""))</f>
        <v>IE,National</v>
      </c>
      <c r="C16" s="38" t="str">
        <f>"I-DMD-"&amp;R8&amp;"-E0"</f>
        <v>I-DMD-FAP-E0</v>
      </c>
      <c r="D16" s="38" t="str">
        <f>Processes!E7</f>
        <v>Food and Drink demand process</v>
      </c>
      <c r="E16" s="39"/>
      <c r="F16" s="38" t="str">
        <f>Commodities!D29</f>
        <v>IFAP</v>
      </c>
      <c r="G16" s="43">
        <v>1</v>
      </c>
      <c r="H16" s="43">
        <v>50</v>
      </c>
      <c r="I16" s="489"/>
      <c r="M16" s="43"/>
    </row>
    <row r="17" spans="2:16">
      <c r="B17" t="s">
        <v>488</v>
      </c>
      <c r="C17" s="38"/>
      <c r="D17" s="38"/>
      <c r="E17" s="39" t="str">
        <f>RIGHT(F16,3)&amp;"HTH"</f>
        <v>FAPHTH</v>
      </c>
      <c r="F17" s="38"/>
      <c r="G17" s="43"/>
      <c r="H17" s="43"/>
      <c r="I17" s="480">
        <f>VLOOKUP(O17,NRG_shares!$R$196:$W$204,DMD!P17,FALSE)</f>
        <v>0</v>
      </c>
      <c r="M17" s="43">
        <v>5</v>
      </c>
      <c r="O17" t="s">
        <v>377</v>
      </c>
      <c r="P17" s="385">
        <v>3</v>
      </c>
    </row>
    <row r="18" spans="2:16">
      <c r="C18" s="38"/>
      <c r="D18" s="38"/>
      <c r="E18" s="39" t="str">
        <f>RIGHT(F16,3)&amp;"MTH"</f>
        <v>FAPMTH</v>
      </c>
      <c r="F18" s="38"/>
      <c r="G18" s="43"/>
      <c r="H18" s="43"/>
      <c r="I18" s="480">
        <f>VLOOKUP(O18,NRG_shares!$R$196:$W$204,DMD!P18,FALSE)</f>
        <v>0.17739818536602148</v>
      </c>
      <c r="M18" s="43">
        <v>5</v>
      </c>
      <c r="O18" t="s">
        <v>377</v>
      </c>
      <c r="P18" s="385">
        <v>4</v>
      </c>
    </row>
    <row r="19" spans="2:16">
      <c r="C19" s="38"/>
      <c r="D19" s="38"/>
      <c r="E19" s="39" t="str">
        <f>RIGHT(F16,3)&amp;"LTH"</f>
        <v>FAPLTH</v>
      </c>
      <c r="F19" s="38"/>
      <c r="G19" s="43"/>
      <c r="H19" s="43"/>
      <c r="I19" s="480">
        <f>VLOOKUP(O19,NRG_shares!$R$196:$W$204,DMD!P19,FALSE)</f>
        <v>0.59622477857561662</v>
      </c>
      <c r="M19" s="43">
        <v>5</v>
      </c>
      <c r="O19" t="s">
        <v>377</v>
      </c>
      <c r="P19" s="385">
        <v>5</v>
      </c>
    </row>
    <row r="20" spans="2:16">
      <c r="B20" s="46"/>
      <c r="C20" s="40"/>
      <c r="D20" s="40"/>
      <c r="E20" s="39" t="str">
        <f>RIGHT(F16,3)&amp;"HET"</f>
        <v>FAPHET</v>
      </c>
      <c r="F20" s="40"/>
      <c r="G20" s="44"/>
      <c r="H20" s="44"/>
      <c r="I20" s="488">
        <f>VLOOKUP(O20,NRG_shares!$R$196:$W$204,DMD!P20,FALSE)</f>
        <v>0.22637703605836187</v>
      </c>
      <c r="J20" s="46"/>
      <c r="K20" s="46"/>
      <c r="L20" s="46"/>
      <c r="M20" s="44">
        <v>5</v>
      </c>
      <c r="O20" t="s">
        <v>377</v>
      </c>
      <c r="P20" s="385">
        <v>6</v>
      </c>
    </row>
    <row r="21" spans="2:16">
      <c r="B21" t="str">
        <f>_xlfn.TEXTJOIN(",",TRUE,IF(LEFT(Regions!$C$3,1)&lt;&gt;"*",Regions!$C$3,""),IF(LEFT(Regions!$D$3,1)&lt;&gt;"*",Regions!$D$3,""))</f>
        <v>IE,National</v>
      </c>
      <c r="C21" s="38" t="str">
        <f>"I-DMD-"&amp;R9&amp;"-E0"</f>
        <v>I-DMD-LIM-E0</v>
      </c>
      <c r="D21" s="38" t="str">
        <f>Processes!E8</f>
        <v>Lime demand process</v>
      </c>
      <c r="E21" s="39"/>
      <c r="F21" s="38" t="str">
        <f>Commodities!D30</f>
        <v>ILIM</v>
      </c>
      <c r="G21" s="43">
        <v>1</v>
      </c>
      <c r="H21" s="43">
        <v>50</v>
      </c>
      <c r="I21" s="489"/>
      <c r="M21" s="43"/>
    </row>
    <row r="22" spans="2:16">
      <c r="C22" s="38"/>
      <c r="D22" s="38"/>
      <c r="E22" s="39" t="str">
        <f>RIGHT(F21,3)&amp;"HTH"</f>
        <v>LIMHTH</v>
      </c>
      <c r="F22" s="38"/>
      <c r="G22" s="43"/>
      <c r="H22" s="43"/>
      <c r="I22" s="480">
        <f>VLOOKUP(O22,NRG_shares!$R$196:$W$204,DMD!P22,FALSE)</f>
        <v>1</v>
      </c>
      <c r="M22" s="43">
        <v>5</v>
      </c>
      <c r="O22" t="s">
        <v>370</v>
      </c>
      <c r="P22" s="385">
        <v>3</v>
      </c>
    </row>
    <row r="23" spans="2:16">
      <c r="B23" t="s">
        <v>488</v>
      </c>
      <c r="C23" s="38"/>
      <c r="D23" s="38"/>
      <c r="E23" s="39" t="str">
        <f>RIGHT(F21,3)&amp;"MTH"</f>
        <v>LIMMTH</v>
      </c>
      <c r="F23" s="38"/>
      <c r="G23" s="43"/>
      <c r="H23" s="43"/>
      <c r="I23" s="480">
        <f>VLOOKUP(O23,NRG_shares!$R$196:$W$204,DMD!P23,FALSE)</f>
        <v>0</v>
      </c>
      <c r="M23" s="43">
        <v>5</v>
      </c>
      <c r="O23" t="s">
        <v>370</v>
      </c>
      <c r="P23" s="385">
        <v>4</v>
      </c>
    </row>
    <row r="24" spans="2:16">
      <c r="B24" t="s">
        <v>488</v>
      </c>
      <c r="C24" s="38"/>
      <c r="D24" s="38"/>
      <c r="E24" s="39" t="str">
        <f>RIGHT(F21,3)&amp;"LTH"</f>
        <v>LIMLTH</v>
      </c>
      <c r="F24" s="38"/>
      <c r="G24" s="43"/>
      <c r="H24" s="43"/>
      <c r="I24" s="480">
        <f>VLOOKUP(O24,NRG_shares!$R$196:$W$204,DMD!P24,FALSE)</f>
        <v>0</v>
      </c>
      <c r="M24" s="43">
        <v>5</v>
      </c>
      <c r="O24" t="s">
        <v>370</v>
      </c>
      <c r="P24" s="385">
        <v>5</v>
      </c>
    </row>
    <row r="25" spans="2:16">
      <c r="B25" s="46" t="s">
        <v>488</v>
      </c>
      <c r="C25" s="40"/>
      <c r="D25" s="40"/>
      <c r="E25" s="39" t="str">
        <f>RIGHT(F21,3)&amp;"HET"</f>
        <v>LIMHET</v>
      </c>
      <c r="F25" s="40"/>
      <c r="G25" s="44"/>
      <c r="H25" s="44"/>
      <c r="I25" s="488">
        <f>VLOOKUP(O25,NRG_shares!$R$196:$W$204,DMD!P25,FALSE)</f>
        <v>0</v>
      </c>
      <c r="J25" s="46"/>
      <c r="K25" s="46"/>
      <c r="L25" s="46"/>
      <c r="M25" s="44">
        <v>5</v>
      </c>
      <c r="O25" t="s">
        <v>370</v>
      </c>
      <c r="P25" s="385">
        <v>6</v>
      </c>
    </row>
    <row r="26" spans="2:16">
      <c r="B26" t="str">
        <f>_xlfn.TEXTJOIN(",",TRUE,IF(LEFT(Regions!$C$3,1)&lt;&gt;"*",Regions!$C$3,""),IF(LEFT(Regions!$D$3,1)&lt;&gt;"*",Regions!$D$3,""))</f>
        <v>IE,National</v>
      </c>
      <c r="C26" s="38" t="str">
        <f>"I-DMD-"&amp;R10&amp;"-E0"</f>
        <v>I-DMD-MAP-E0</v>
      </c>
      <c r="D26" s="38" t="str">
        <f>Processes!E9</f>
        <v>Metals demand process</v>
      </c>
      <c r="E26" s="39"/>
      <c r="F26" s="38" t="str">
        <f>Commodities!D31</f>
        <v>IMAP</v>
      </c>
      <c r="G26" s="43">
        <v>1</v>
      </c>
      <c r="H26" s="43">
        <v>50</v>
      </c>
      <c r="I26" s="489"/>
      <c r="M26" s="43"/>
    </row>
    <row r="27" spans="2:16">
      <c r="C27" s="38"/>
      <c r="D27" s="38"/>
      <c r="E27" s="39" t="str">
        <f>RIGHT(F26,3)&amp;"HTH"</f>
        <v>MAPHTH</v>
      </c>
      <c r="F27" s="38"/>
      <c r="G27" s="43"/>
      <c r="H27" s="43"/>
      <c r="I27" s="480">
        <f>VLOOKUP(O27,NRG_shares!$R$196:$W$204,DMD!P27,FALSE)</f>
        <v>0.25515792554766992</v>
      </c>
      <c r="M27" s="43">
        <v>5</v>
      </c>
      <c r="O27" t="s">
        <v>353</v>
      </c>
      <c r="P27" s="385">
        <v>3</v>
      </c>
    </row>
    <row r="28" spans="2:16">
      <c r="C28" s="38"/>
      <c r="D28" s="38"/>
      <c r="E28" s="39" t="str">
        <f>RIGHT(F26,3)&amp;"MTH"</f>
        <v>MAPMTH</v>
      </c>
      <c r="F28" s="38"/>
      <c r="G28" s="43"/>
      <c r="H28" s="43"/>
      <c r="I28" s="480">
        <f>VLOOKUP(O28,NRG_shares!$R$196:$W$204,DMD!P28,FALSE)</f>
        <v>0.74484207445233008</v>
      </c>
      <c r="M28" s="43">
        <v>5</v>
      </c>
      <c r="O28" t="s">
        <v>353</v>
      </c>
      <c r="P28" s="385">
        <v>4</v>
      </c>
    </row>
    <row r="29" spans="2:16">
      <c r="B29" t="s">
        <v>488</v>
      </c>
      <c r="C29" s="38"/>
      <c r="D29" s="38"/>
      <c r="E29" s="39" t="str">
        <f>RIGHT(F26,3)&amp;"LTH"</f>
        <v>MAPLTH</v>
      </c>
      <c r="F29" s="38"/>
      <c r="G29" s="43"/>
      <c r="H29" s="43"/>
      <c r="I29" s="480">
        <f>VLOOKUP(O29,NRG_shares!$R$196:$W$204,DMD!P29,FALSE)</f>
        <v>0</v>
      </c>
      <c r="M29" s="43">
        <v>5</v>
      </c>
      <c r="O29" t="s">
        <v>353</v>
      </c>
      <c r="P29" s="385">
        <v>5</v>
      </c>
    </row>
    <row r="30" spans="2:16">
      <c r="B30" s="46" t="s">
        <v>488</v>
      </c>
      <c r="C30" s="40"/>
      <c r="D30" s="40"/>
      <c r="E30" s="39" t="str">
        <f>RIGHT(F26,3)&amp;"HET"</f>
        <v>MAPHET</v>
      </c>
      <c r="F30" s="40"/>
      <c r="G30" s="44"/>
      <c r="H30" s="44"/>
      <c r="I30" s="488">
        <f>VLOOKUP(O30,NRG_shares!$R$196:$W$204,DMD!P30,FALSE)</f>
        <v>0</v>
      </c>
      <c r="J30" s="46"/>
      <c r="K30" s="46"/>
      <c r="L30" s="46"/>
      <c r="M30" s="44">
        <v>5</v>
      </c>
      <c r="O30" t="s">
        <v>353</v>
      </c>
      <c r="P30" s="385">
        <v>6</v>
      </c>
    </row>
    <row r="31" spans="2:16">
      <c r="B31" t="str">
        <f>_xlfn.TEXTJOIN(",",TRUE,IF(LEFT(Regions!$C$3,1)&lt;&gt;"*",Regions!$C$3,""),IF(LEFT(Regions!$D$3,1)&lt;&gt;"*",Regions!$D$3,""))</f>
        <v>IE,National</v>
      </c>
      <c r="C31" s="38" t="str">
        <f>"I-DMD-"&amp;R11&amp;"-E0"</f>
        <v>I-DMD-OMA-E0</v>
      </c>
      <c r="D31" s="38" t="str">
        <f>Processes!E10</f>
        <v>Other Industry demand process</v>
      </c>
      <c r="E31" s="39"/>
      <c r="F31" s="38" t="str">
        <f>Commodities!D32</f>
        <v>IOMA</v>
      </c>
      <c r="G31" s="43">
        <v>1</v>
      </c>
      <c r="H31" s="43">
        <v>50</v>
      </c>
      <c r="I31" s="489"/>
      <c r="M31" s="43"/>
    </row>
    <row r="32" spans="2:16">
      <c r="C32" s="38"/>
      <c r="D32" s="38"/>
      <c r="E32" s="39" t="str">
        <f>RIGHT(F31,3)&amp;"HTH"</f>
        <v>OMAHTH</v>
      </c>
      <c r="F32" s="38"/>
      <c r="G32" s="43"/>
      <c r="H32" s="43"/>
      <c r="I32" s="480">
        <f>VLOOKUP(O32,NRG_shares!$R$196:$W$204,DMD!P32,FALSE)</f>
        <v>3.476557936648858E-2</v>
      </c>
      <c r="M32" s="43">
        <v>5</v>
      </c>
      <c r="O32" t="s">
        <v>375</v>
      </c>
      <c r="P32" s="385">
        <v>3</v>
      </c>
    </row>
    <row r="33" spans="2:16">
      <c r="B33" t="s">
        <v>488</v>
      </c>
      <c r="C33" s="38"/>
      <c r="D33" s="38"/>
      <c r="E33" s="39" t="str">
        <f>RIGHT(F31,3)&amp;"MTH"</f>
        <v>OMAMTH</v>
      </c>
      <c r="F33" s="38"/>
      <c r="G33" s="43"/>
      <c r="H33" s="43"/>
      <c r="I33" s="480">
        <f>VLOOKUP(O33,NRG_shares!$R$196:$W$204,DMD!P33,FALSE)</f>
        <v>0</v>
      </c>
      <c r="M33" s="43">
        <v>5</v>
      </c>
      <c r="O33" t="s">
        <v>375</v>
      </c>
      <c r="P33" s="385">
        <v>4</v>
      </c>
    </row>
    <row r="34" spans="2:16">
      <c r="C34" s="38"/>
      <c r="D34" s="38"/>
      <c r="E34" s="39" t="str">
        <f>RIGHT(F31,3)&amp;"LTH"</f>
        <v>OMALTH</v>
      </c>
      <c r="F34" s="38"/>
      <c r="G34" s="43"/>
      <c r="H34" s="43"/>
      <c r="I34" s="480">
        <f>VLOOKUP(O34,NRG_shares!$R$196:$W$204,DMD!P34,FALSE)</f>
        <v>0.70864455216963829</v>
      </c>
      <c r="M34" s="43">
        <v>5</v>
      </c>
      <c r="O34" t="s">
        <v>375</v>
      </c>
      <c r="P34" s="385">
        <v>5</v>
      </c>
    </row>
    <row r="35" spans="2:16">
      <c r="B35" s="46"/>
      <c r="C35" s="40"/>
      <c r="D35" s="40"/>
      <c r="E35" s="39" t="str">
        <f>RIGHT(F31,3)&amp;"HET"</f>
        <v>OMAHET</v>
      </c>
      <c r="F35" s="40"/>
      <c r="G35" s="44"/>
      <c r="H35" s="44"/>
      <c r="I35" s="488">
        <f>VLOOKUP(O35,NRG_shares!$R$196:$W$204,DMD!P35,FALSE)</f>
        <v>0.25658986846387333</v>
      </c>
      <c r="J35" s="46"/>
      <c r="K35" s="46"/>
      <c r="L35" s="46"/>
      <c r="M35" s="44">
        <v>5</v>
      </c>
      <c r="O35" t="s">
        <v>375</v>
      </c>
      <c r="P35" s="385">
        <v>6</v>
      </c>
    </row>
    <row r="36" spans="2:16">
      <c r="B36" t="str">
        <f>_xlfn.TEXTJOIN(",",TRUE,IF(LEFT(Regions!$C$3,1)&lt;&gt;"*",Regions!$C$3,""),IF(LEFT(Regions!$D$3,1)&lt;&gt;"*",Regions!$D$3,""))</f>
        <v>IE,National</v>
      </c>
      <c r="C36" s="38" t="str">
        <f>"I-DMD-"&amp;R12&amp;"-E0"</f>
        <v>I-DMD-ONM-E0</v>
      </c>
      <c r="D36" s="38" t="str">
        <f>Processes!E11</f>
        <v>Other non-metallic minerals process</v>
      </c>
      <c r="E36" s="39"/>
      <c r="F36" s="38" t="str">
        <f>Commodities!D33</f>
        <v>IONM</v>
      </c>
      <c r="G36" s="43">
        <v>1</v>
      </c>
      <c r="H36" s="43">
        <v>50</v>
      </c>
      <c r="I36" s="489"/>
      <c r="M36" s="43"/>
    </row>
    <row r="37" spans="2:16">
      <c r="C37" s="38"/>
      <c r="D37" s="38"/>
      <c r="E37" s="39" t="str">
        <f>RIGHT(F36,3)&amp;"HTH"</f>
        <v>ONMHTH</v>
      </c>
      <c r="F37" s="38"/>
      <c r="G37" s="43"/>
      <c r="H37" s="43"/>
      <c r="I37" s="480">
        <f>VLOOKUP(O37,NRG_shares!$R$196:$W$204,DMD!P37,FALSE)</f>
        <v>0.16901133467336288</v>
      </c>
      <c r="M37" s="43">
        <v>5</v>
      </c>
      <c r="O37" t="s">
        <v>388</v>
      </c>
      <c r="P37" s="385">
        <v>3</v>
      </c>
    </row>
    <row r="38" spans="2:16">
      <c r="C38" s="38"/>
      <c r="D38" s="38"/>
      <c r="E38" s="39" t="str">
        <f>RIGHT(F36,3)&amp;"MTH"</f>
        <v>ONMMTH</v>
      </c>
      <c r="F38" s="38"/>
      <c r="G38" s="43"/>
      <c r="H38" s="43"/>
      <c r="I38" s="480">
        <f>VLOOKUP(O38,NRG_shares!$R$196:$W$204,DMD!P38,FALSE)</f>
        <v>0.42945529889866185</v>
      </c>
      <c r="M38" s="43">
        <v>5</v>
      </c>
      <c r="O38" t="s">
        <v>388</v>
      </c>
      <c r="P38" s="385">
        <v>4</v>
      </c>
    </row>
    <row r="39" spans="2:16">
      <c r="C39" s="38"/>
      <c r="D39" s="38"/>
      <c r="E39" s="39" t="str">
        <f>RIGHT(F36,3)&amp;"LTH"</f>
        <v>ONMLTH</v>
      </c>
      <c r="F39" s="38"/>
      <c r="G39" s="43"/>
      <c r="H39" s="43"/>
      <c r="I39" s="480">
        <f>VLOOKUP(O39,NRG_shares!$R$196:$W$204,DMD!P39,FALSE)</f>
        <v>0.40153336642797527</v>
      </c>
      <c r="M39" s="43">
        <v>5</v>
      </c>
      <c r="O39" t="s">
        <v>388</v>
      </c>
      <c r="P39" s="385">
        <v>5</v>
      </c>
    </row>
    <row r="40" spans="2:16">
      <c r="B40" s="46" t="s">
        <v>488</v>
      </c>
      <c r="C40" s="40"/>
      <c r="D40" s="40"/>
      <c r="E40" s="39" t="str">
        <f>RIGHT(F36,3)&amp;"HET"</f>
        <v>ONMHET</v>
      </c>
      <c r="F40" s="40"/>
      <c r="G40" s="44"/>
      <c r="H40" s="44"/>
      <c r="I40" s="488">
        <f>VLOOKUP(O40,NRG_shares!$R$196:$W$204,DMD!P40,FALSE)</f>
        <v>0</v>
      </c>
      <c r="J40" s="46"/>
      <c r="K40" s="46"/>
      <c r="L40" s="46"/>
      <c r="M40" s="44">
        <v>5</v>
      </c>
      <c r="O40" t="s">
        <v>388</v>
      </c>
      <c r="P40" s="385">
        <v>6</v>
      </c>
    </row>
    <row r="41" spans="2:16">
      <c r="B41" t="str">
        <f>_xlfn.TEXTJOIN(",",TRUE,IF(LEFT(Regions!$C$3,1)&lt;&gt;"*",Regions!$C$3,""),IF(LEFT(Regions!$D$3,1)&lt;&gt;"*",Regions!$D$3,""))</f>
        <v>IE,National</v>
      </c>
      <c r="C41" s="38" t="str">
        <f>"I-DMD-"&amp;R14&amp;"-E0"</f>
        <v>I-DMD-WAP-E0</v>
      </c>
      <c r="D41" s="38" t="str">
        <f>Processes!E13</f>
        <v>Wood Products demand process</v>
      </c>
      <c r="E41" s="39"/>
      <c r="F41" s="38" t="str">
        <f>Commodities!D35</f>
        <v>IWAP</v>
      </c>
      <c r="G41" s="43">
        <v>1</v>
      </c>
      <c r="H41" s="43">
        <v>50</v>
      </c>
      <c r="I41" s="489"/>
      <c r="M41" s="43"/>
    </row>
    <row r="42" spans="2:16">
      <c r="B42" t="s">
        <v>488</v>
      </c>
      <c r="C42" s="38"/>
      <c r="D42" s="38"/>
      <c r="E42" s="39" t="str">
        <f>RIGHT(F41,3)&amp;"HTH"</f>
        <v>WAPHTH</v>
      </c>
      <c r="F42" s="38"/>
      <c r="G42" s="43"/>
      <c r="H42" s="43"/>
      <c r="I42" s="480">
        <f>VLOOKUP(O42,NRG_shares!$R$196:$W$204,DMD!P42,FALSE)</f>
        <v>0</v>
      </c>
      <c r="M42" s="43">
        <v>5</v>
      </c>
      <c r="O42" t="s">
        <v>372</v>
      </c>
      <c r="P42" s="385">
        <v>3</v>
      </c>
    </row>
    <row r="43" spans="2:16">
      <c r="B43" t="s">
        <v>488</v>
      </c>
      <c r="C43" s="38"/>
      <c r="D43" s="38"/>
      <c r="E43" s="39" t="str">
        <f>RIGHT(F41,3)&amp;"MTH"</f>
        <v>WAPMTH</v>
      </c>
      <c r="F43" s="38"/>
      <c r="G43" s="43"/>
      <c r="H43" s="43"/>
      <c r="I43" s="480">
        <f>VLOOKUP(O43,NRG_shares!$R$196:$W$204,DMD!P43,FALSE)</f>
        <v>0</v>
      </c>
      <c r="M43" s="43">
        <v>5</v>
      </c>
      <c r="O43" t="s">
        <v>372</v>
      </c>
      <c r="P43" s="385">
        <v>4</v>
      </c>
    </row>
    <row r="44" spans="2:16">
      <c r="C44" s="38"/>
      <c r="D44" s="38"/>
      <c r="E44" s="39" t="str">
        <f>RIGHT(F41,3)&amp;"LTH"</f>
        <v>WAPLTH</v>
      </c>
      <c r="F44" s="38"/>
      <c r="G44" s="43"/>
      <c r="H44" s="43"/>
      <c r="I44" s="480">
        <f>VLOOKUP(O44,NRG_shares!$R$196:$W$204,DMD!P44,FALSE)</f>
        <v>1</v>
      </c>
      <c r="M44" s="43">
        <v>5</v>
      </c>
      <c r="O44" t="s">
        <v>372</v>
      </c>
      <c r="P44" s="385">
        <v>5</v>
      </c>
    </row>
    <row r="45" spans="2:16">
      <c r="B45" s="46" t="s">
        <v>488</v>
      </c>
      <c r="C45" s="40"/>
      <c r="D45" s="40"/>
      <c r="E45" s="39" t="str">
        <f>RIGHT(F41,3)&amp;"HET"</f>
        <v>WAPHET</v>
      </c>
      <c r="F45" s="40"/>
      <c r="G45" s="44"/>
      <c r="H45" s="44"/>
      <c r="I45" s="488">
        <f>VLOOKUP(O45,NRG_shares!$R$196:$W$204,DMD!P45,FALSE)</f>
        <v>0</v>
      </c>
      <c r="J45" s="46"/>
      <c r="K45" s="46"/>
      <c r="L45" s="46"/>
      <c r="M45" s="44">
        <v>5</v>
      </c>
      <c r="O45" t="s">
        <v>372</v>
      </c>
      <c r="P45" s="385">
        <v>6</v>
      </c>
    </row>
    <row r="46" spans="2:16">
      <c r="B46" t="str">
        <f>_xlfn.TEXTJOIN(",",TRUE,IF(LEFT(Regions!$C$3,1)&lt;&gt;"*",Regions!$C$3,""),IF(LEFT(Regions!$D$3,1)&lt;&gt;"*",Regions!$D$3,""))</f>
        <v>IE,National</v>
      </c>
      <c r="C46" s="38" t="str">
        <f>Processes!D14</f>
        <v>I-DMD-ELC-E0</v>
      </c>
      <c r="D46" s="38" t="str">
        <f>Processes!E14</f>
        <v>Electricity consumption industry process</v>
      </c>
      <c r="E46" s="39" t="s">
        <v>205</v>
      </c>
      <c r="F46" s="38" t="str">
        <f>Commodities!D36</f>
        <v>IELC</v>
      </c>
      <c r="G46" s="43">
        <v>1</v>
      </c>
      <c r="H46" s="43">
        <v>50</v>
      </c>
      <c r="M46" s="43"/>
    </row>
    <row r="47" spans="2:16">
      <c r="B47" t="str">
        <f>_xlfn.TEXTJOIN(",",TRUE,IF(LEFT(Regions!$C$3,1)&lt;&gt;"*",Regions!$C$3,""),IF(LEFT(Regions!$D$3,1)&lt;&gt;"*",Regions!$D$3,""))</f>
        <v>IE,National</v>
      </c>
      <c r="C47" s="38" t="str">
        <f>Processes!D15</f>
        <v>I-DMD-OIL-E0</v>
      </c>
      <c r="D47" s="38" t="str">
        <f>Processes!E15</f>
        <v>Residual oil consumption industry process</v>
      </c>
      <c r="E47" s="39" t="s">
        <v>486</v>
      </c>
      <c r="F47" s="38" t="str">
        <f>Commodities!D37</f>
        <v>IOIL</v>
      </c>
      <c r="G47" s="43">
        <v>1</v>
      </c>
      <c r="H47" s="43">
        <v>50</v>
      </c>
      <c r="M47" s="43"/>
    </row>
    <row r="48" spans="2:16">
      <c r="C48" s="38"/>
      <c r="D48" s="38"/>
      <c r="E48" s="39"/>
      <c r="F48" s="38"/>
      <c r="G48" s="43"/>
      <c r="H48" s="43"/>
      <c r="M48" s="43"/>
    </row>
    <row r="49" spans="2:13">
      <c r="C49" s="38"/>
      <c r="D49" s="38"/>
      <c r="E49" s="39"/>
      <c r="F49" s="38"/>
      <c r="G49" s="43"/>
      <c r="H49" s="43"/>
      <c r="M49" s="43"/>
    </row>
    <row r="50" spans="2:13">
      <c r="B50" s="46"/>
      <c r="C50" s="40"/>
      <c r="D50" s="40"/>
      <c r="E50" s="41"/>
      <c r="F50" s="40"/>
      <c r="G50" s="44"/>
      <c r="H50" s="44"/>
      <c r="I50" s="46"/>
      <c r="J50" s="46"/>
      <c r="K50" s="46"/>
      <c r="L50" s="46"/>
      <c r="M50" s="44"/>
    </row>
    <row r="53" spans="2:13">
      <c r="C53" s="38"/>
      <c r="D53" s="38"/>
      <c r="F53" s="38"/>
      <c r="G53" s="43"/>
      <c r="H53" s="43"/>
      <c r="M5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83A8-0304-42BB-8EEA-2CD89419960C}">
  <dimension ref="B1:AQ421"/>
  <sheetViews>
    <sheetView workbookViewId="0">
      <selection activeCell="H6" sqref="H6:H109"/>
    </sheetView>
  </sheetViews>
  <sheetFormatPr defaultRowHeight="14.5"/>
  <cols>
    <col min="2" max="2" width="24.453125" bestFit="1" customWidth="1"/>
    <col min="3" max="3" width="41.1796875" customWidth="1"/>
    <col min="4" max="4" width="16" customWidth="1"/>
    <col min="5" max="5" width="35.453125" customWidth="1"/>
    <col min="6" max="6" width="6.1796875" customWidth="1"/>
    <col min="7" max="7" width="5" customWidth="1"/>
    <col min="8" max="8" width="7.1796875" customWidth="1"/>
    <col min="9" max="9" width="7.81640625" customWidth="1"/>
    <col min="10" max="10" width="5" customWidth="1"/>
    <col min="11" max="16" width="13.26953125" customWidth="1"/>
    <col min="17" max="17" width="13.26953125" style="490" customWidth="1"/>
    <col min="18" max="18" width="25" bestFit="1" customWidth="1"/>
    <col min="19" max="23" width="13.26953125" customWidth="1"/>
  </cols>
  <sheetData>
    <row r="1" spans="2:43">
      <c r="Q1" s="492" t="s">
        <v>557</v>
      </c>
    </row>
    <row r="2" spans="2:43">
      <c r="X2" s="507" t="s">
        <v>555</v>
      </c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</row>
    <row r="3" spans="2:43">
      <c r="B3" s="42"/>
      <c r="C3" s="42"/>
      <c r="D3" s="42"/>
      <c r="E3" s="18" t="s">
        <v>230</v>
      </c>
      <c r="F3" s="42"/>
      <c r="G3" s="42"/>
      <c r="R3" s="42"/>
      <c r="S3" s="42"/>
      <c r="T3" s="18" t="s">
        <v>230</v>
      </c>
    </row>
    <row r="4" spans="2:43" ht="15" thickBot="1">
      <c r="B4" s="20" t="s">
        <v>214</v>
      </c>
      <c r="C4" s="20" t="s">
        <v>244</v>
      </c>
      <c r="D4" s="20" t="s">
        <v>231</v>
      </c>
      <c r="E4" s="20" t="s">
        <v>232</v>
      </c>
      <c r="F4" s="20" t="s">
        <v>233</v>
      </c>
      <c r="G4" s="20" t="s">
        <v>451</v>
      </c>
      <c r="H4" s="20" t="s">
        <v>402</v>
      </c>
      <c r="I4" s="20" t="s">
        <v>463</v>
      </c>
      <c r="J4" s="20" t="s">
        <v>597</v>
      </c>
      <c r="K4" s="20" t="s">
        <v>513</v>
      </c>
      <c r="L4" s="20" t="s">
        <v>514</v>
      </c>
      <c r="M4" s="20" t="s">
        <v>515</v>
      </c>
      <c r="N4" s="20" t="s">
        <v>516</v>
      </c>
      <c r="O4" s="20" t="s">
        <v>517</v>
      </c>
      <c r="P4" s="20" t="s">
        <v>466</v>
      </c>
      <c r="Q4" s="491"/>
      <c r="R4" s="20" t="s">
        <v>214</v>
      </c>
      <c r="S4" s="20" t="s">
        <v>497</v>
      </c>
      <c r="T4" s="20" t="s">
        <v>498</v>
      </c>
      <c r="U4" s="484">
        <v>2018</v>
      </c>
      <c r="V4" s="484">
        <v>0</v>
      </c>
      <c r="W4" s="473"/>
    </row>
    <row r="5" spans="2:43">
      <c r="B5" s="22" t="s">
        <v>461</v>
      </c>
      <c r="C5" s="22" t="s">
        <v>245</v>
      </c>
      <c r="D5" s="22" t="s">
        <v>234</v>
      </c>
      <c r="E5" s="22" t="s">
        <v>235</v>
      </c>
      <c r="F5" s="22" t="s">
        <v>236</v>
      </c>
      <c r="G5" s="22" t="s">
        <v>237</v>
      </c>
      <c r="H5" s="22" t="s">
        <v>255</v>
      </c>
      <c r="I5" s="22" t="s">
        <v>464</v>
      </c>
      <c r="J5" s="22" t="s">
        <v>462</v>
      </c>
      <c r="K5" s="22" t="s">
        <v>460</v>
      </c>
      <c r="L5" s="22" t="s">
        <v>460</v>
      </c>
      <c r="M5" s="22" t="s">
        <v>460</v>
      </c>
      <c r="N5" s="22" t="s">
        <v>460</v>
      </c>
      <c r="O5" s="22" t="s">
        <v>460</v>
      </c>
      <c r="P5" s="22" t="s">
        <v>465</v>
      </c>
      <c r="Q5" s="491"/>
      <c r="R5" s="22" t="s">
        <v>461</v>
      </c>
      <c r="S5" s="22" t="s">
        <v>497</v>
      </c>
      <c r="T5" s="22" t="s">
        <v>556</v>
      </c>
      <c r="U5" s="22">
        <v>2018</v>
      </c>
      <c r="V5" s="22"/>
      <c r="W5" s="474"/>
      <c r="X5" s="485"/>
      <c r="Y5" s="485"/>
      <c r="Z5" s="485"/>
      <c r="AA5" s="485"/>
      <c r="AB5" s="485"/>
      <c r="AC5" s="485"/>
      <c r="AD5" s="485"/>
      <c r="AE5" s="485" t="s">
        <v>450</v>
      </c>
      <c r="AF5" s="485" t="s">
        <v>5</v>
      </c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</row>
    <row r="6" spans="2:43">
      <c r="B6" t="str">
        <f>"I-"&amp;VLOOKUP(Y6,$AE$6:$AF$71,2,FALSE)&amp;"-"&amp;VLOOKUP(AA6,$AE$6:$AF$71,2,FALSE)&amp;"-"&amp;VLOOKUP(AB6,$AE$6:$AF$71,2,FALSE)&amp;"-"&amp;VLOOKUP(Z6,$AE$6:$AF$71,2,FALSE)&amp;"_E0"</f>
        <v>I-CEM-KLN-NWS-ETS_E0</v>
      </c>
      <c r="C6" t="str">
        <f>_xlfn.TEXTJOIN(" - ",TRUE,X6,Y6,AA6,AB6,Z6)</f>
        <v>Industry - Cement - Cement/Lime Kiln - Non-bio waste - ETS</v>
      </c>
      <c r="D6" t="str">
        <f>VLOOKUP(AB6,$AE$64:$AG$69,3,FALSE)</f>
        <v>INDNWS</v>
      </c>
      <c r="E6" t="str">
        <f>VLOOKUP(Y6,$AE$6:$AF$71,2,FALSE)&amp;"HTH,"&amp;VLOOKUP(Y6,$AE$6:$AF$71,2,FALSE)&amp;"MTH,"&amp;VLOOKUP(Y6,$AE$6:$AF$71,2,FALSE)&amp;"LTH,"&amp;VLOOKUP(Y6,$AE$6:$AF$71,2,FALSE)&amp;"HET"</f>
        <v>CEMHTH,CEMMTH,CEMLTH,CEMHET</v>
      </c>
      <c r="F6" s="386">
        <f>+NRG_shares!V4</f>
        <v>0.9</v>
      </c>
      <c r="G6">
        <v>25</v>
      </c>
      <c r="H6" s="460">
        <f>IF(P6/I6/J6*1.075&lt;0.001,0,P6/I6/J6*1.075)</f>
        <v>7.8039570547574225E-2</v>
      </c>
      <c r="I6">
        <v>31.536000000000001</v>
      </c>
      <c r="J6">
        <v>0.9</v>
      </c>
      <c r="K6" s="386">
        <f>+SUMIFS(NRG_shares!W$113:W$141,NRG_shares!$T$113:$T$141,Techs!$Y6,NRG_shares!$U$113:$U$141,Techs!$AA6)</f>
        <v>1</v>
      </c>
      <c r="L6" s="386">
        <f>+SUMIFS(NRG_shares!X$113:X$141,NRG_shares!$T$113:$T$141,Techs!$Y6,NRG_shares!$U$113:$U$141,Techs!$AA6)</f>
        <v>0</v>
      </c>
      <c r="M6" s="386">
        <f>+SUMIFS(NRG_shares!Y$113:Y$141,NRG_shares!$T$113:$T$141,Techs!$Y6,NRG_shares!$U$113:$U$141,Techs!$AA6)</f>
        <v>0</v>
      </c>
      <c r="N6" s="386">
        <f>+SUMIFS(NRG_shares!Z$113:Z$141,NRG_shares!$T$113:$T$141,Techs!$Y6,NRG_shares!$U$113:$U$141,Techs!$AA6)</f>
        <v>0</v>
      </c>
      <c r="O6">
        <v>3</v>
      </c>
      <c r="P6" s="460">
        <f>NRG_shares!J4*NRG_shares!O4*Conversions!$B$3</f>
        <v>2.0604188903343914</v>
      </c>
      <c r="Q6" s="491"/>
      <c r="R6" s="460" t="str" cm="1">
        <f t="array" ref="R6:R421">_xlfn.TOCOL(AM6:AP109,0,FALSE)</f>
        <v>I-CEM-KLN-NWS-ETS_E0</v>
      </c>
      <c r="S6" s="460" t="s">
        <v>554</v>
      </c>
      <c r="T6" s="460" t="str" cm="1">
        <f t="array" ref="T6:T421">_xlfn.TOCOL(AH6:AK109,0,FALSE)</f>
        <v>CEMHTH</v>
      </c>
      <c r="U6" s="386" cm="1">
        <f t="array" ref="U6:U421">_xlfn.TOCOL(K6:N109,0,FALSE)</f>
        <v>1</v>
      </c>
      <c r="V6" s="385">
        <v>3</v>
      </c>
      <c r="W6" s="460"/>
      <c r="X6" s="485" t="s">
        <v>352</v>
      </c>
      <c r="Y6" s="485" t="s">
        <v>359</v>
      </c>
      <c r="Z6" s="485" t="s">
        <v>354</v>
      </c>
      <c r="AA6" s="485" t="s">
        <v>419</v>
      </c>
      <c r="AB6" s="485" t="s">
        <v>363</v>
      </c>
      <c r="AC6" s="485"/>
      <c r="AD6" s="485"/>
      <c r="AE6" s="485" t="s">
        <v>359</v>
      </c>
      <c r="AF6" s="485" t="s">
        <v>435</v>
      </c>
      <c r="AG6" s="485"/>
      <c r="AH6" s="485" t="s">
        <v>518</v>
      </c>
      <c r="AI6" s="485" t="s">
        <v>519</v>
      </c>
      <c r="AJ6" s="485" t="s">
        <v>520</v>
      </c>
      <c r="AK6" s="485" t="s">
        <v>521</v>
      </c>
      <c r="AL6" s="485"/>
      <c r="AM6" s="486" t="str">
        <f t="shared" ref="AM6:AM37" si="0">+B6</f>
        <v>I-CEM-KLN-NWS-ETS_E0</v>
      </c>
      <c r="AN6" s="486" t="str">
        <f>+AM6</f>
        <v>I-CEM-KLN-NWS-ETS_E0</v>
      </c>
      <c r="AO6" s="486" t="str">
        <f>+AN6</f>
        <v>I-CEM-KLN-NWS-ETS_E0</v>
      </c>
      <c r="AP6" s="486" t="str">
        <f>+AO6</f>
        <v>I-CEM-KLN-NWS-ETS_E0</v>
      </c>
      <c r="AQ6" s="485"/>
    </row>
    <row r="7" spans="2:43">
      <c r="B7" t="str">
        <f t="shared" ref="B7:B70" si="1">"I-"&amp;VLOOKUP(Y7,$AE$6:$AF$71,2,FALSE)&amp;"-"&amp;VLOOKUP(AA7,$AE$6:$AF$71,2,FALSE)&amp;"-"&amp;VLOOKUP(AB7,$AE$6:$AF$71,2,FALSE)&amp;"-"&amp;VLOOKUP(Z7,$AE$6:$AF$71,2,FALSE)&amp;"_E0"</f>
        <v>I-CEM-DRR-NWS-ETS_E0</v>
      </c>
      <c r="C7" t="str">
        <f t="shared" ref="C7:C70" si="2">_xlfn.TEXTJOIN(" - ",TRUE,X7,Y7,AA7,AB7,Z7)</f>
        <v>Industry - Cement - Dryer - Non-bio waste - ETS</v>
      </c>
      <c r="D7" t="str">
        <f t="shared" ref="D7:D70" si="3">VLOOKUP(AB7,$AE$64:$AG$69,3,FALSE)</f>
        <v>INDNWS</v>
      </c>
      <c r="E7" t="str">
        <f t="shared" ref="E7:E70" si="4">VLOOKUP(Y7,$AE$6:$AF$71,2,FALSE)&amp;"HTH,"&amp;VLOOKUP(Y7,$AE$6:$AF$71,2,FALSE)&amp;"MTH,"&amp;VLOOKUP(Y7,$AE$6:$AF$71,2,FALSE)&amp;"LTH,"&amp;VLOOKUP(Y7,$AE$6:$AF$71,2,FALSE)&amp;"HET"</f>
        <v>CEMHTH,CEMMTH,CEMLTH,CEMHET</v>
      </c>
      <c r="F7" s="386">
        <f>+NRG_shares!V5</f>
        <v>0.92</v>
      </c>
      <c r="G7">
        <v>25</v>
      </c>
      <c r="H7" s="460">
        <f t="shared" ref="H7:H70" si="5">IF(P7/I7/J7*1.075&lt;0.001,0,P7/I7/J7*1.075)</f>
        <v>2.4672304090642022E-3</v>
      </c>
      <c r="I7">
        <v>31.536000000000001</v>
      </c>
      <c r="J7">
        <v>0.9</v>
      </c>
      <c r="K7" s="386">
        <f>+SUMIFS(NRG_shares!W$113:W$141,NRG_shares!$T$113:$T$141,Techs!$Y7,NRG_shares!$U$113:$U$141,Techs!$AA7)</f>
        <v>0</v>
      </c>
      <c r="L7" s="386">
        <f>+SUMIFS(NRG_shares!X$113:X$141,NRG_shares!$T$113:$T$141,Techs!$Y7,NRG_shares!$U$113:$U$141,Techs!$AA7)</f>
        <v>1</v>
      </c>
      <c r="M7" s="386">
        <f>+SUMIFS(NRG_shares!Y$113:Y$141,NRG_shares!$T$113:$T$141,Techs!$Y7,NRG_shares!$U$113:$U$141,Techs!$AA7)</f>
        <v>0</v>
      </c>
      <c r="N7" s="386">
        <f>+SUMIFS(NRG_shares!Z$113:Z$141,NRG_shares!$T$113:$T$141,Techs!$Y7,NRG_shares!$U$113:$U$141,Techs!$AA7)</f>
        <v>0</v>
      </c>
      <c r="O7">
        <v>3</v>
      </c>
      <c r="P7" s="460">
        <f>NRG_shares!J5*NRG_shares!O5*Conversions!$B$3</f>
        <v>6.5140391034626807E-2</v>
      </c>
      <c r="Q7" s="491"/>
      <c r="R7" s="460" t="str">
        <v>I-CEM-KLN-NWS-ETS_E0</v>
      </c>
      <c r="S7" s="460" t="s">
        <v>554</v>
      </c>
      <c r="T7" s="460" t="str">
        <v>CEMMTH</v>
      </c>
      <c r="U7" s="386">
        <v>0</v>
      </c>
      <c r="V7" s="385">
        <v>3</v>
      </c>
      <c r="W7" s="460"/>
      <c r="X7" s="485" t="s">
        <v>352</v>
      </c>
      <c r="Y7" s="485" t="s">
        <v>359</v>
      </c>
      <c r="Z7" s="485" t="s">
        <v>354</v>
      </c>
      <c r="AA7" s="485" t="s">
        <v>420</v>
      </c>
      <c r="AB7" s="485" t="s">
        <v>363</v>
      </c>
      <c r="AC7" s="485"/>
      <c r="AD7" s="485"/>
      <c r="AE7" s="485" t="s">
        <v>359</v>
      </c>
      <c r="AF7" s="485" t="s">
        <v>435</v>
      </c>
      <c r="AG7" s="485"/>
      <c r="AH7" s="485" t="s">
        <v>518</v>
      </c>
      <c r="AI7" s="485" t="s">
        <v>519</v>
      </c>
      <c r="AJ7" s="485" t="s">
        <v>520</v>
      </c>
      <c r="AK7" s="485" t="s">
        <v>521</v>
      </c>
      <c r="AL7" s="485"/>
      <c r="AM7" s="486" t="str">
        <f t="shared" si="0"/>
        <v>I-CEM-DRR-NWS-ETS_E0</v>
      </c>
      <c r="AN7" s="486" t="str">
        <f t="shared" ref="AN7:AP7" si="6">+AM7</f>
        <v>I-CEM-DRR-NWS-ETS_E0</v>
      </c>
      <c r="AO7" s="486" t="str">
        <f t="shared" si="6"/>
        <v>I-CEM-DRR-NWS-ETS_E0</v>
      </c>
      <c r="AP7" s="486" t="str">
        <f t="shared" si="6"/>
        <v>I-CEM-DRR-NWS-ETS_E0</v>
      </c>
      <c r="AQ7" s="485"/>
    </row>
    <row r="8" spans="2:43">
      <c r="B8" t="str">
        <f t="shared" si="1"/>
        <v>I-CEM-KLN-RWS-ETS_E0</v>
      </c>
      <c r="C8" t="str">
        <f t="shared" si="2"/>
        <v>Industry - Cement - Cement/Lime Kiln - Bio waste - ETS</v>
      </c>
      <c r="D8" t="str">
        <f t="shared" si="3"/>
        <v>INDRWS</v>
      </c>
      <c r="E8" t="str">
        <f t="shared" si="4"/>
        <v>CEMHTH,CEMMTH,CEMLTH,CEMHET</v>
      </c>
      <c r="F8" s="386">
        <f>+NRG_shares!V6</f>
        <v>0.9</v>
      </c>
      <c r="G8">
        <v>25</v>
      </c>
      <c r="H8" s="460">
        <f t="shared" si="5"/>
        <v>5.5920672846193745E-2</v>
      </c>
      <c r="I8">
        <v>31.536000000000001</v>
      </c>
      <c r="J8">
        <v>0.9</v>
      </c>
      <c r="K8" s="386">
        <f>+SUMIFS(NRG_shares!W$113:W$141,NRG_shares!$T$113:$T$141,Techs!$Y8,NRG_shares!$U$113:$U$141,Techs!$AA8)</f>
        <v>1</v>
      </c>
      <c r="L8" s="386">
        <f>+SUMIFS(NRG_shares!X$113:X$141,NRG_shares!$T$113:$T$141,Techs!$Y8,NRG_shares!$U$113:$U$141,Techs!$AA8)</f>
        <v>0</v>
      </c>
      <c r="M8" s="386">
        <f>+SUMIFS(NRG_shares!Y$113:Y$141,NRG_shares!$T$113:$T$141,Techs!$Y8,NRG_shares!$U$113:$U$141,Techs!$AA8)</f>
        <v>0</v>
      </c>
      <c r="N8" s="386">
        <f>+SUMIFS(NRG_shares!Z$113:Z$141,NRG_shares!$T$113:$T$141,Techs!$Y8,NRG_shares!$U$113:$U$141,Techs!$AA8)</f>
        <v>0</v>
      </c>
      <c r="O8">
        <v>3</v>
      </c>
      <c r="P8" s="460">
        <f>NRG_shares!J6*NRG_shares!O6*Conversions!$B$3</f>
        <v>1.4764306092928459</v>
      </c>
      <c r="Q8" s="491"/>
      <c r="R8" s="460" t="str">
        <v>I-CEM-KLN-NWS-ETS_E0</v>
      </c>
      <c r="S8" s="460" t="s">
        <v>554</v>
      </c>
      <c r="T8" s="460" t="str">
        <v>CEMLTH</v>
      </c>
      <c r="U8" s="386">
        <v>0</v>
      </c>
      <c r="V8" s="385">
        <v>3</v>
      </c>
      <c r="W8" s="460"/>
      <c r="X8" s="485" t="s">
        <v>352</v>
      </c>
      <c r="Y8" s="485" t="s">
        <v>359</v>
      </c>
      <c r="Z8" s="485" t="s">
        <v>354</v>
      </c>
      <c r="AA8" s="485" t="s">
        <v>419</v>
      </c>
      <c r="AB8" s="485" t="s">
        <v>361</v>
      </c>
      <c r="AC8" s="485"/>
      <c r="AD8" s="485"/>
      <c r="AE8" s="485" t="s">
        <v>387</v>
      </c>
      <c r="AF8" s="485" t="s">
        <v>438</v>
      </c>
      <c r="AG8" s="485"/>
      <c r="AH8" s="485" t="s">
        <v>518</v>
      </c>
      <c r="AI8" s="485" t="s">
        <v>519</v>
      </c>
      <c r="AJ8" s="485" t="s">
        <v>520</v>
      </c>
      <c r="AK8" s="485" t="s">
        <v>521</v>
      </c>
      <c r="AL8" s="485"/>
      <c r="AM8" s="486" t="str">
        <f t="shared" si="0"/>
        <v>I-CEM-KLN-RWS-ETS_E0</v>
      </c>
      <c r="AN8" s="486" t="str">
        <f t="shared" ref="AN8:AP8" si="7">+AM8</f>
        <v>I-CEM-KLN-RWS-ETS_E0</v>
      </c>
      <c r="AO8" s="486" t="str">
        <f t="shared" si="7"/>
        <v>I-CEM-KLN-RWS-ETS_E0</v>
      </c>
      <c r="AP8" s="486" t="str">
        <f t="shared" si="7"/>
        <v>I-CEM-KLN-RWS-ETS_E0</v>
      </c>
      <c r="AQ8" s="485"/>
    </row>
    <row r="9" spans="2:43">
      <c r="B9" t="str">
        <f t="shared" si="1"/>
        <v>I-CEM-DRR-RWS-ETS_E0</v>
      </c>
      <c r="C9" t="str">
        <f t="shared" si="2"/>
        <v>Industry - Cement - Dryer - Bio waste - ETS</v>
      </c>
      <c r="D9" t="str">
        <f t="shared" si="3"/>
        <v>INDRWS</v>
      </c>
      <c r="E9" t="str">
        <f t="shared" si="4"/>
        <v>CEMHTH,CEMMTH,CEMLTH,CEMHET</v>
      </c>
      <c r="F9" s="386">
        <f>+NRG_shares!V7</f>
        <v>0.92</v>
      </c>
      <c r="G9">
        <v>25</v>
      </c>
      <c r="H9" s="460">
        <f t="shared" si="5"/>
        <v>1.7679387978865369E-3</v>
      </c>
      <c r="I9">
        <v>31.536000000000001</v>
      </c>
      <c r="J9">
        <v>0.9</v>
      </c>
      <c r="K9" s="386">
        <f>+SUMIFS(NRG_shares!W$113:W$141,NRG_shares!$T$113:$T$141,Techs!$Y9,NRG_shares!$U$113:$U$141,Techs!$AA9)</f>
        <v>0</v>
      </c>
      <c r="L9" s="386">
        <f>+SUMIFS(NRG_shares!X$113:X$141,NRG_shares!$T$113:$T$141,Techs!$Y9,NRG_shares!$U$113:$U$141,Techs!$AA9)</f>
        <v>1</v>
      </c>
      <c r="M9" s="386">
        <f>+SUMIFS(NRG_shares!Y$113:Y$141,NRG_shares!$T$113:$T$141,Techs!$Y9,NRG_shares!$U$113:$U$141,Techs!$AA9)</f>
        <v>0</v>
      </c>
      <c r="N9" s="386">
        <f>+SUMIFS(NRG_shares!Z$113:Z$141,NRG_shares!$T$113:$T$141,Techs!$Y9,NRG_shares!$U$113:$U$141,Techs!$AA9)</f>
        <v>0</v>
      </c>
      <c r="O9">
        <v>3</v>
      </c>
      <c r="P9" s="460">
        <f>NRG_shares!J7*NRG_shares!O7*Conversions!$B$3</f>
        <v>4.6677531290358003E-2</v>
      </c>
      <c r="Q9" s="491"/>
      <c r="R9" s="460" t="str">
        <v>I-CEM-KLN-NWS-ETS_E0</v>
      </c>
      <c r="S9" s="460" t="s">
        <v>554</v>
      </c>
      <c r="T9" s="460" t="str">
        <v>CEMHET</v>
      </c>
      <c r="U9" s="386">
        <v>0</v>
      </c>
      <c r="V9" s="385">
        <v>3</v>
      </c>
      <c r="W9" s="460"/>
      <c r="X9" s="485" t="s">
        <v>352</v>
      </c>
      <c r="Y9" s="485" t="s">
        <v>359</v>
      </c>
      <c r="Z9" s="485" t="s">
        <v>354</v>
      </c>
      <c r="AA9" s="485" t="s">
        <v>420</v>
      </c>
      <c r="AB9" s="485" t="s">
        <v>361</v>
      </c>
      <c r="AC9" s="485"/>
      <c r="AD9" s="485"/>
      <c r="AE9" s="485" t="s">
        <v>387</v>
      </c>
      <c r="AF9" s="485" t="s">
        <v>438</v>
      </c>
      <c r="AG9" s="485"/>
      <c r="AH9" s="485" t="s">
        <v>518</v>
      </c>
      <c r="AI9" s="485" t="s">
        <v>519</v>
      </c>
      <c r="AJ9" s="485" t="s">
        <v>520</v>
      </c>
      <c r="AK9" s="485" t="s">
        <v>521</v>
      </c>
      <c r="AL9" s="485"/>
      <c r="AM9" s="486" t="str">
        <f t="shared" si="0"/>
        <v>I-CEM-DRR-RWS-ETS_E0</v>
      </c>
      <c r="AN9" s="486" t="str">
        <f t="shared" ref="AN9:AP9" si="8">+AM9</f>
        <v>I-CEM-DRR-RWS-ETS_E0</v>
      </c>
      <c r="AO9" s="486" t="str">
        <f t="shared" si="8"/>
        <v>I-CEM-DRR-RWS-ETS_E0</v>
      </c>
      <c r="AP9" s="486" t="str">
        <f t="shared" si="8"/>
        <v>I-CEM-DRR-RWS-ETS_E0</v>
      </c>
      <c r="AQ9" s="485"/>
    </row>
    <row r="10" spans="2:43">
      <c r="B10" t="str">
        <f t="shared" si="1"/>
        <v>I-CEM-KLN-COA-ETS_E0</v>
      </c>
      <c r="C10" t="str">
        <f t="shared" si="2"/>
        <v>Industry - Cement - Cement/Lime Kiln - Solid Fuels - ETS</v>
      </c>
      <c r="D10" t="str">
        <f>VLOOKUP(AB10,$AE$64:$AG$69,3,FALSE)</f>
        <v>INDCOA,INDCOK</v>
      </c>
      <c r="E10" t="str">
        <f t="shared" si="4"/>
        <v>CEMHTH,CEMMTH,CEMLTH,CEMHET</v>
      </c>
      <c r="F10" s="386">
        <f>+NRG_shares!V8</f>
        <v>0.9</v>
      </c>
      <c r="G10">
        <v>25</v>
      </c>
      <c r="H10" s="460">
        <f t="shared" si="5"/>
        <v>0.24523579315763455</v>
      </c>
      <c r="I10">
        <v>31.536000000000001</v>
      </c>
      <c r="J10">
        <v>0.9</v>
      </c>
      <c r="K10" s="386">
        <f>+SUMIFS(NRG_shares!W$113:W$141,NRG_shares!$T$113:$T$141,Techs!$Y10,NRG_shares!$U$113:$U$141,Techs!$AA10)</f>
        <v>1</v>
      </c>
      <c r="L10" s="386">
        <f>+SUMIFS(NRG_shares!X$113:X$141,NRG_shares!$T$113:$T$141,Techs!$Y10,NRG_shares!$U$113:$U$141,Techs!$AA10)</f>
        <v>0</v>
      </c>
      <c r="M10" s="386">
        <f>+SUMIFS(NRG_shares!Y$113:Y$141,NRG_shares!$T$113:$T$141,Techs!$Y10,NRG_shares!$U$113:$U$141,Techs!$AA10)</f>
        <v>0</v>
      </c>
      <c r="N10" s="386">
        <f>+SUMIFS(NRG_shares!Z$113:Z$141,NRG_shares!$T$113:$T$141,Techs!$Y10,NRG_shares!$U$113:$U$141,Techs!$AA10)</f>
        <v>0</v>
      </c>
      <c r="O10">
        <v>3</v>
      </c>
      <c r="P10" s="460">
        <f>NRG_shares!J8*NRG_shares!O8*Conversions!$B$3</f>
        <v>6.474772442527672</v>
      </c>
      <c r="Q10" s="491"/>
      <c r="R10" s="460" t="str">
        <v>I-CEM-DRR-NWS-ETS_E0</v>
      </c>
      <c r="S10" s="460" t="s">
        <v>554</v>
      </c>
      <c r="T10" s="460" t="str">
        <v>CEMHTH</v>
      </c>
      <c r="U10" s="386">
        <v>0</v>
      </c>
      <c r="V10" s="385">
        <v>3</v>
      </c>
      <c r="W10" s="460"/>
      <c r="X10" s="485" t="s">
        <v>352</v>
      </c>
      <c r="Y10" s="485" t="s">
        <v>359</v>
      </c>
      <c r="Z10" s="485" t="s">
        <v>354</v>
      </c>
      <c r="AA10" s="485" t="s">
        <v>419</v>
      </c>
      <c r="AB10" s="485" t="s">
        <v>365</v>
      </c>
      <c r="AC10" s="485"/>
      <c r="AD10" s="485"/>
      <c r="AE10" s="485" t="s">
        <v>387</v>
      </c>
      <c r="AF10" s="485" t="s">
        <v>438</v>
      </c>
      <c r="AG10" s="485"/>
      <c r="AH10" s="485" t="s">
        <v>518</v>
      </c>
      <c r="AI10" s="485" t="s">
        <v>519</v>
      </c>
      <c r="AJ10" s="485" t="s">
        <v>520</v>
      </c>
      <c r="AK10" s="485" t="s">
        <v>521</v>
      </c>
      <c r="AL10" s="485"/>
      <c r="AM10" s="486" t="str">
        <f t="shared" si="0"/>
        <v>I-CEM-KLN-COA-ETS_E0</v>
      </c>
      <c r="AN10" s="486" t="str">
        <f t="shared" ref="AN10:AP10" si="9">+AM10</f>
        <v>I-CEM-KLN-COA-ETS_E0</v>
      </c>
      <c r="AO10" s="486" t="str">
        <f t="shared" si="9"/>
        <v>I-CEM-KLN-COA-ETS_E0</v>
      </c>
      <c r="AP10" s="486" t="str">
        <f t="shared" si="9"/>
        <v>I-CEM-KLN-COA-ETS_E0</v>
      </c>
      <c r="AQ10" s="485"/>
    </row>
    <row r="11" spans="2:43">
      <c r="B11" t="str">
        <f t="shared" si="1"/>
        <v>I-CEM-DRR-COA-ETS_E0</v>
      </c>
      <c r="C11" t="str">
        <f t="shared" si="2"/>
        <v>Industry - Cement - Dryer - Solid Fuels - ETS</v>
      </c>
      <c r="D11" t="str">
        <f>VLOOKUP(AB11,$AE$64:$AG$69,3,FALSE)</f>
        <v>INDCOA,INDCOK</v>
      </c>
      <c r="E11" t="str">
        <f t="shared" si="4"/>
        <v>CEMHTH,CEMMTH,CEMLTH,CEMHET</v>
      </c>
      <c r="F11" s="386">
        <f>+NRG_shares!V9</f>
        <v>0.92</v>
      </c>
      <c r="G11">
        <v>25</v>
      </c>
      <c r="H11" s="460">
        <f t="shared" si="5"/>
        <v>7.7531590963925709E-3</v>
      </c>
      <c r="I11">
        <v>31.536000000000001</v>
      </c>
      <c r="J11">
        <v>0.9</v>
      </c>
      <c r="K11" s="386">
        <f>+SUMIFS(NRG_shares!W$113:W$141,NRG_shares!$T$113:$T$141,Techs!$Y11,NRG_shares!$U$113:$U$141,Techs!$AA11)</f>
        <v>0</v>
      </c>
      <c r="L11" s="386">
        <f>+SUMIFS(NRG_shares!X$113:X$141,NRG_shares!$T$113:$T$141,Techs!$Y11,NRG_shares!$U$113:$U$141,Techs!$AA11)</f>
        <v>1</v>
      </c>
      <c r="M11" s="386">
        <f>+SUMIFS(NRG_shares!Y$113:Y$141,NRG_shares!$T$113:$T$141,Techs!$Y11,NRG_shares!$U$113:$U$141,Techs!$AA11)</f>
        <v>0</v>
      </c>
      <c r="N11" s="386">
        <f>+SUMIFS(NRG_shares!Z$113:Z$141,NRG_shares!$T$113:$T$141,Techs!$Y11,NRG_shares!$U$113:$U$141,Techs!$AA11)</f>
        <v>0</v>
      </c>
      <c r="O11">
        <v>3</v>
      </c>
      <c r="P11" s="460">
        <f>NRG_shares!J9*NRG_shares!O9*Conversions!$B$3</f>
        <v>0.20470070952321168</v>
      </c>
      <c r="Q11" s="491"/>
      <c r="R11" s="460" t="str">
        <v>I-CEM-DRR-NWS-ETS_E0</v>
      </c>
      <c r="S11" s="460" t="s">
        <v>554</v>
      </c>
      <c r="T11" s="460" t="str">
        <v>CEMMTH</v>
      </c>
      <c r="U11" s="386">
        <v>1</v>
      </c>
      <c r="V11" s="385">
        <v>3</v>
      </c>
      <c r="W11" s="460"/>
      <c r="X11" s="485" t="s">
        <v>352</v>
      </c>
      <c r="Y11" s="485" t="s">
        <v>359</v>
      </c>
      <c r="Z11" s="485" t="s">
        <v>354</v>
      </c>
      <c r="AA11" s="485" t="s">
        <v>420</v>
      </c>
      <c r="AB11" s="485" t="s">
        <v>365</v>
      </c>
      <c r="AC11" s="485"/>
      <c r="AD11" s="485"/>
      <c r="AE11" s="485" t="s">
        <v>387</v>
      </c>
      <c r="AF11" s="485" t="s">
        <v>438</v>
      </c>
      <c r="AG11" s="485"/>
      <c r="AH11" s="485" t="s">
        <v>518</v>
      </c>
      <c r="AI11" s="485" t="s">
        <v>519</v>
      </c>
      <c r="AJ11" s="485" t="s">
        <v>520</v>
      </c>
      <c r="AK11" s="485" t="s">
        <v>521</v>
      </c>
      <c r="AL11" s="485"/>
      <c r="AM11" s="486" t="str">
        <f t="shared" si="0"/>
        <v>I-CEM-DRR-COA-ETS_E0</v>
      </c>
      <c r="AN11" s="486" t="str">
        <f t="shared" ref="AN11:AP11" si="10">+AM11</f>
        <v>I-CEM-DRR-COA-ETS_E0</v>
      </c>
      <c r="AO11" s="486" t="str">
        <f t="shared" si="10"/>
        <v>I-CEM-DRR-COA-ETS_E0</v>
      </c>
      <c r="AP11" s="486" t="str">
        <f t="shared" si="10"/>
        <v>I-CEM-DRR-COA-ETS_E0</v>
      </c>
      <c r="AQ11" s="485"/>
    </row>
    <row r="12" spans="2:43">
      <c r="B12" t="str">
        <f t="shared" si="1"/>
        <v>I-CEM-KLN-OIL-ETS_E0</v>
      </c>
      <c r="C12" t="str">
        <f t="shared" si="2"/>
        <v>Industry - Cement - Cement/Lime Kiln - Oil - ETS</v>
      </c>
      <c r="D12" t="str">
        <f t="shared" si="3"/>
        <v>INDOIL</v>
      </c>
      <c r="E12" t="str">
        <f t="shared" si="4"/>
        <v>CEMHTH,CEMMTH,CEMLTH,CEMHET</v>
      </c>
      <c r="F12" s="386">
        <f>+NRG_shares!V10</f>
        <v>0.9</v>
      </c>
      <c r="G12">
        <v>25</v>
      </c>
      <c r="H12" s="460">
        <f t="shared" si="5"/>
        <v>3.01421859492117E-3</v>
      </c>
      <c r="I12">
        <v>31.536000000000001</v>
      </c>
      <c r="J12">
        <v>0.9</v>
      </c>
      <c r="K12" s="386">
        <f>+SUMIFS(NRG_shares!W$113:W$141,NRG_shares!$T$113:$T$141,Techs!$Y12,NRG_shares!$U$113:$U$141,Techs!$AA12)</f>
        <v>1</v>
      </c>
      <c r="L12" s="386">
        <f>+SUMIFS(NRG_shares!X$113:X$141,NRG_shares!$T$113:$T$141,Techs!$Y12,NRG_shares!$U$113:$U$141,Techs!$AA12)</f>
        <v>0</v>
      </c>
      <c r="M12" s="386">
        <f>+SUMIFS(NRG_shares!Y$113:Y$141,NRG_shares!$T$113:$T$141,Techs!$Y12,NRG_shares!$U$113:$U$141,Techs!$AA12)</f>
        <v>0</v>
      </c>
      <c r="N12" s="386">
        <f>+SUMIFS(NRG_shares!Z$113:Z$141,NRG_shares!$T$113:$T$141,Techs!$Y12,NRG_shares!$U$113:$U$141,Techs!$AA12)</f>
        <v>0</v>
      </c>
      <c r="O12">
        <v>3</v>
      </c>
      <c r="P12" s="460">
        <f>NRG_shares!J10*NRG_shares!O10*Conversions!$B$3</f>
        <v>7.9582100324177327E-2</v>
      </c>
      <c r="Q12" s="491"/>
      <c r="R12" s="460" t="str">
        <v>I-CEM-DRR-NWS-ETS_E0</v>
      </c>
      <c r="S12" s="460" t="s">
        <v>554</v>
      </c>
      <c r="T12" s="460" t="str">
        <v>CEMLTH</v>
      </c>
      <c r="U12" s="386">
        <v>0</v>
      </c>
      <c r="V12" s="385">
        <v>3</v>
      </c>
      <c r="W12" s="460"/>
      <c r="X12" s="485" t="s">
        <v>352</v>
      </c>
      <c r="Y12" s="485" t="s">
        <v>359</v>
      </c>
      <c r="Z12" s="485" t="s">
        <v>354</v>
      </c>
      <c r="AA12" s="485" t="s">
        <v>419</v>
      </c>
      <c r="AB12" s="485" t="s">
        <v>358</v>
      </c>
      <c r="AC12" s="485"/>
      <c r="AD12" s="485"/>
      <c r="AE12" s="485" t="s">
        <v>377</v>
      </c>
      <c r="AF12" s="485" t="s">
        <v>439</v>
      </c>
      <c r="AG12" s="485"/>
      <c r="AH12" s="485" t="s">
        <v>518</v>
      </c>
      <c r="AI12" s="485" t="s">
        <v>519</v>
      </c>
      <c r="AJ12" s="485" t="s">
        <v>520</v>
      </c>
      <c r="AK12" s="485" t="s">
        <v>521</v>
      </c>
      <c r="AL12" s="485"/>
      <c r="AM12" s="486" t="str">
        <f t="shared" si="0"/>
        <v>I-CEM-KLN-OIL-ETS_E0</v>
      </c>
      <c r="AN12" s="486" t="str">
        <f t="shared" ref="AN12:AP12" si="11">+AM12</f>
        <v>I-CEM-KLN-OIL-ETS_E0</v>
      </c>
      <c r="AO12" s="486" t="str">
        <f t="shared" si="11"/>
        <v>I-CEM-KLN-OIL-ETS_E0</v>
      </c>
      <c r="AP12" s="486" t="str">
        <f t="shared" si="11"/>
        <v>I-CEM-KLN-OIL-ETS_E0</v>
      </c>
      <c r="AQ12" s="485"/>
    </row>
    <row r="13" spans="2:43">
      <c r="B13" t="str">
        <f t="shared" si="1"/>
        <v>I-CEM-DRR-OIL-ETS_E0</v>
      </c>
      <c r="C13" t="str">
        <f t="shared" si="2"/>
        <v>Industry - Cement - Dryer - Oil - ETS</v>
      </c>
      <c r="D13" t="str">
        <f t="shared" si="3"/>
        <v>INDOIL</v>
      </c>
      <c r="E13" t="str">
        <f t="shared" si="4"/>
        <v>CEMHTH,CEMMTH,CEMLTH,CEMHET</v>
      </c>
      <c r="F13" s="386">
        <f>+NRG_shares!V11</f>
        <v>0.92</v>
      </c>
      <c r="G13">
        <v>25</v>
      </c>
      <c r="H13" s="460">
        <f t="shared" si="5"/>
        <v>0</v>
      </c>
      <c r="I13">
        <v>31.536000000000001</v>
      </c>
      <c r="J13">
        <v>0.9</v>
      </c>
      <c r="K13" s="386">
        <f>+SUMIFS(NRG_shares!W$113:W$141,NRG_shares!$T$113:$T$141,Techs!$Y13,NRG_shares!$U$113:$U$141,Techs!$AA13)</f>
        <v>0</v>
      </c>
      <c r="L13" s="386">
        <f>+SUMIFS(NRG_shares!X$113:X$141,NRG_shares!$T$113:$T$141,Techs!$Y13,NRG_shares!$U$113:$U$141,Techs!$AA13)</f>
        <v>1</v>
      </c>
      <c r="M13" s="386">
        <f>+SUMIFS(NRG_shares!Y$113:Y$141,NRG_shares!$T$113:$T$141,Techs!$Y13,NRG_shares!$U$113:$U$141,Techs!$AA13)</f>
        <v>0</v>
      </c>
      <c r="N13" s="386">
        <f>+SUMIFS(NRG_shares!Z$113:Z$141,NRG_shares!$T$113:$T$141,Techs!$Y13,NRG_shares!$U$113:$U$141,Techs!$AA13)</f>
        <v>0</v>
      </c>
      <c r="O13">
        <v>3</v>
      </c>
      <c r="P13" s="460">
        <f>NRG_shares!J11*NRG_shares!O11*Conversions!$B$3</f>
        <v>2.5159976734791447E-3</v>
      </c>
      <c r="Q13" s="491"/>
      <c r="R13" s="460" t="str">
        <v>I-CEM-DRR-NWS-ETS_E0</v>
      </c>
      <c r="S13" s="460" t="s">
        <v>554</v>
      </c>
      <c r="T13" s="460" t="str">
        <v>CEMHET</v>
      </c>
      <c r="U13" s="386">
        <v>0</v>
      </c>
      <c r="V13" s="385">
        <v>3</v>
      </c>
      <c r="W13" s="460"/>
      <c r="X13" s="485" t="s">
        <v>352</v>
      </c>
      <c r="Y13" s="485" t="s">
        <v>359</v>
      </c>
      <c r="Z13" s="485" t="s">
        <v>354</v>
      </c>
      <c r="AA13" s="485" t="s">
        <v>420</v>
      </c>
      <c r="AB13" s="485" t="s">
        <v>358</v>
      </c>
      <c r="AC13" s="485"/>
      <c r="AD13" s="485"/>
      <c r="AE13" s="485" t="s">
        <v>377</v>
      </c>
      <c r="AF13" s="485" t="s">
        <v>439</v>
      </c>
      <c r="AG13" s="485"/>
      <c r="AH13" s="485" t="s">
        <v>518</v>
      </c>
      <c r="AI13" s="485" t="s">
        <v>519</v>
      </c>
      <c r="AJ13" s="485" t="s">
        <v>520</v>
      </c>
      <c r="AK13" s="485" t="s">
        <v>521</v>
      </c>
      <c r="AL13" s="485"/>
      <c r="AM13" s="486" t="str">
        <f t="shared" si="0"/>
        <v>I-CEM-DRR-OIL-ETS_E0</v>
      </c>
      <c r="AN13" s="486" t="str">
        <f t="shared" ref="AN13:AP13" si="12">+AM13</f>
        <v>I-CEM-DRR-OIL-ETS_E0</v>
      </c>
      <c r="AO13" s="486" t="str">
        <f t="shared" si="12"/>
        <v>I-CEM-DRR-OIL-ETS_E0</v>
      </c>
      <c r="AP13" s="486" t="str">
        <f t="shared" si="12"/>
        <v>I-CEM-DRR-OIL-ETS_E0</v>
      </c>
      <c r="AQ13" s="485"/>
    </row>
    <row r="14" spans="2:43">
      <c r="B14" t="str">
        <f t="shared" si="1"/>
        <v>I-CEM-KLN-GAS-ETS_E0</v>
      </c>
      <c r="C14" t="str">
        <f t="shared" si="2"/>
        <v>Industry - Cement - Cement/Lime Kiln - Gas - ETS</v>
      </c>
      <c r="D14" t="str">
        <f t="shared" si="3"/>
        <v>INDGAS</v>
      </c>
      <c r="E14" t="str">
        <f t="shared" si="4"/>
        <v>CEMHTH,CEMMTH,CEMLTH,CEMHET</v>
      </c>
      <c r="F14" s="386">
        <f>+NRG_shares!V12</f>
        <v>0.9</v>
      </c>
      <c r="G14">
        <v>25</v>
      </c>
      <c r="H14" s="460">
        <f t="shared" si="5"/>
        <v>0</v>
      </c>
      <c r="I14">
        <v>31.536000000000001</v>
      </c>
      <c r="J14">
        <v>0.9</v>
      </c>
      <c r="K14" s="386">
        <f>+SUMIFS(NRG_shares!W$113:W$141,NRG_shares!$T$113:$T$141,Techs!$Y14,NRG_shares!$U$113:$U$141,Techs!$AA14)</f>
        <v>1</v>
      </c>
      <c r="L14" s="386">
        <f>+SUMIFS(NRG_shares!X$113:X$141,NRG_shares!$T$113:$T$141,Techs!$Y14,NRG_shares!$U$113:$U$141,Techs!$AA14)</f>
        <v>0</v>
      </c>
      <c r="M14" s="386">
        <f>+SUMIFS(NRG_shares!Y$113:Y$141,NRG_shares!$T$113:$T$141,Techs!$Y14,NRG_shares!$U$113:$U$141,Techs!$AA14)</f>
        <v>0</v>
      </c>
      <c r="N14" s="386">
        <f>+SUMIFS(NRG_shares!Z$113:Z$141,NRG_shares!$T$113:$T$141,Techs!$Y14,NRG_shares!$U$113:$U$141,Techs!$AA14)</f>
        <v>0</v>
      </c>
      <c r="O14">
        <v>3</v>
      </c>
      <c r="P14" s="460">
        <f>NRG_shares!J12*NRG_shares!O12*Conversions!$B$3</f>
        <v>3.3826814042221468E-4</v>
      </c>
      <c r="Q14" s="491"/>
      <c r="R14" s="460" t="str">
        <v>I-CEM-KLN-RWS-ETS_E0</v>
      </c>
      <c r="S14" s="460" t="s">
        <v>554</v>
      </c>
      <c r="T14" s="460" t="str">
        <v>CEMHTH</v>
      </c>
      <c r="U14" s="386">
        <v>1</v>
      </c>
      <c r="V14" s="385">
        <v>3</v>
      </c>
      <c r="W14" s="460"/>
      <c r="X14" s="485" t="s">
        <v>352</v>
      </c>
      <c r="Y14" s="485" t="s">
        <v>359</v>
      </c>
      <c r="Z14" s="485" t="s">
        <v>354</v>
      </c>
      <c r="AA14" s="485" t="s">
        <v>419</v>
      </c>
      <c r="AB14" s="485" t="s">
        <v>356</v>
      </c>
      <c r="AC14" s="485"/>
      <c r="AD14" s="485"/>
      <c r="AE14" s="485" t="s">
        <v>377</v>
      </c>
      <c r="AF14" s="485" t="s">
        <v>439</v>
      </c>
      <c r="AG14" s="485"/>
      <c r="AH14" s="485" t="s">
        <v>518</v>
      </c>
      <c r="AI14" s="485" t="s">
        <v>519</v>
      </c>
      <c r="AJ14" s="485" t="s">
        <v>520</v>
      </c>
      <c r="AK14" s="485" t="s">
        <v>521</v>
      </c>
      <c r="AL14" s="485"/>
      <c r="AM14" s="486" t="str">
        <f t="shared" si="0"/>
        <v>I-CEM-KLN-GAS-ETS_E0</v>
      </c>
      <c r="AN14" s="486" t="str">
        <f t="shared" ref="AN14:AP14" si="13">+AM14</f>
        <v>I-CEM-KLN-GAS-ETS_E0</v>
      </c>
      <c r="AO14" s="486" t="str">
        <f t="shared" si="13"/>
        <v>I-CEM-KLN-GAS-ETS_E0</v>
      </c>
      <c r="AP14" s="486" t="str">
        <f t="shared" si="13"/>
        <v>I-CEM-KLN-GAS-ETS_E0</v>
      </c>
      <c r="AQ14" s="485"/>
    </row>
    <row r="15" spans="2:43">
      <c r="B15" t="str">
        <f t="shared" si="1"/>
        <v>I-CEM-DRR-GAS-ETS_E0</v>
      </c>
      <c r="C15" t="str">
        <f t="shared" si="2"/>
        <v>Industry - Cement - Dryer - Gas - ETS</v>
      </c>
      <c r="D15" t="str">
        <f t="shared" si="3"/>
        <v>INDGAS</v>
      </c>
      <c r="E15" t="str">
        <f t="shared" si="4"/>
        <v>CEMHTH,CEMMTH,CEMLTH,CEMHET</v>
      </c>
      <c r="F15" s="386">
        <f>+NRG_shares!V13</f>
        <v>0.92</v>
      </c>
      <c r="G15">
        <v>25</v>
      </c>
      <c r="H15" s="460">
        <f t="shared" si="5"/>
        <v>0</v>
      </c>
      <c r="I15">
        <v>31.536000000000001</v>
      </c>
      <c r="J15">
        <v>0.9</v>
      </c>
      <c r="K15" s="386">
        <f>+SUMIFS(NRG_shares!W$113:W$141,NRG_shares!$T$113:$T$141,Techs!$Y15,NRG_shares!$U$113:$U$141,Techs!$AA15)</f>
        <v>0</v>
      </c>
      <c r="L15" s="386">
        <f>+SUMIFS(NRG_shares!X$113:X$141,NRG_shares!$T$113:$T$141,Techs!$Y15,NRG_shares!$U$113:$U$141,Techs!$AA15)</f>
        <v>1</v>
      </c>
      <c r="M15" s="386">
        <f>+SUMIFS(NRG_shares!Y$113:Y$141,NRG_shares!$T$113:$T$141,Techs!$Y15,NRG_shares!$U$113:$U$141,Techs!$AA15)</f>
        <v>0</v>
      </c>
      <c r="N15" s="386">
        <f>+SUMIFS(NRG_shares!Z$113:Z$141,NRG_shares!$T$113:$T$141,Techs!$Y15,NRG_shares!$U$113:$U$141,Techs!$AA15)</f>
        <v>0</v>
      </c>
      <c r="O15">
        <v>3</v>
      </c>
      <c r="P15" s="460">
        <f>NRG_shares!J13*NRG_shares!O13*Conversions!$B$3</f>
        <v>1.0694387944619847E-5</v>
      </c>
      <c r="Q15" s="491"/>
      <c r="R15" s="460" t="str">
        <v>I-CEM-KLN-RWS-ETS_E0</v>
      </c>
      <c r="S15" s="460" t="s">
        <v>554</v>
      </c>
      <c r="T15" s="460" t="str">
        <v>CEMMTH</v>
      </c>
      <c r="U15" s="386">
        <v>0</v>
      </c>
      <c r="V15" s="385">
        <v>3</v>
      </c>
      <c r="W15" s="460"/>
      <c r="X15" s="485" t="s">
        <v>352</v>
      </c>
      <c r="Y15" s="485" t="s">
        <v>359</v>
      </c>
      <c r="Z15" s="485" t="s">
        <v>354</v>
      </c>
      <c r="AA15" s="485" t="s">
        <v>420</v>
      </c>
      <c r="AB15" s="485" t="s">
        <v>356</v>
      </c>
      <c r="AC15" s="485"/>
      <c r="AD15" s="485"/>
      <c r="AE15" s="485" t="s">
        <v>377</v>
      </c>
      <c r="AF15" s="485" t="s">
        <v>439</v>
      </c>
      <c r="AG15" s="485"/>
      <c r="AH15" s="485" t="s">
        <v>518</v>
      </c>
      <c r="AI15" s="485" t="s">
        <v>519</v>
      </c>
      <c r="AJ15" s="485" t="s">
        <v>520</v>
      </c>
      <c r="AK15" s="485" t="s">
        <v>521</v>
      </c>
      <c r="AL15" s="485"/>
      <c r="AM15" s="486" t="str">
        <f t="shared" si="0"/>
        <v>I-CEM-DRR-GAS-ETS_E0</v>
      </c>
      <c r="AN15" s="486" t="str">
        <f t="shared" ref="AN15:AP15" si="14">+AM15</f>
        <v>I-CEM-DRR-GAS-ETS_E0</v>
      </c>
      <c r="AO15" s="486" t="str">
        <f t="shared" si="14"/>
        <v>I-CEM-DRR-GAS-ETS_E0</v>
      </c>
      <c r="AP15" s="486" t="str">
        <f t="shared" si="14"/>
        <v>I-CEM-DRR-GAS-ETS_E0</v>
      </c>
      <c r="AQ15" s="485"/>
    </row>
    <row r="16" spans="2:43">
      <c r="B16" t="str">
        <f t="shared" si="1"/>
        <v>I-CAF-BLR-OIL-ETS_E0</v>
      </c>
      <c r="C16" t="str">
        <f t="shared" si="2"/>
        <v>Industry - Chemicals - Boiler - Oil - ETS</v>
      </c>
      <c r="D16" t="str">
        <f t="shared" si="3"/>
        <v>INDOIL</v>
      </c>
      <c r="E16" t="str">
        <f t="shared" si="4"/>
        <v>CAFHTH,CAFMTH,CAFLTH,CAFHET</v>
      </c>
      <c r="F16" s="386">
        <f>+NRG_shares!V14</f>
        <v>0.92</v>
      </c>
      <c r="G16">
        <v>25</v>
      </c>
      <c r="H16" s="460">
        <f t="shared" si="5"/>
        <v>4.1962446554146705E-3</v>
      </c>
      <c r="I16">
        <v>31.536000000000001</v>
      </c>
      <c r="J16">
        <v>0.9</v>
      </c>
      <c r="K16" s="386">
        <f>+SUMIFS(NRG_shares!W$113:W$141,NRG_shares!$T$113:$T$141,Techs!$Y16,NRG_shares!$U$113:$U$141,Techs!$AA16)</f>
        <v>0</v>
      </c>
      <c r="L16" s="386">
        <f>+SUMIFS(NRG_shares!X$113:X$141,NRG_shares!$T$113:$T$141,Techs!$Y16,NRG_shares!$U$113:$U$141,Techs!$AA16)</f>
        <v>0.1</v>
      </c>
      <c r="M16" s="386">
        <f>+SUMIFS(NRG_shares!Y$113:Y$141,NRG_shares!$T$113:$T$141,Techs!$Y16,NRG_shares!$U$113:$U$141,Techs!$AA16)</f>
        <v>0.7</v>
      </c>
      <c r="N16" s="386">
        <f>+SUMIFS(NRG_shares!Z$113:Z$141,NRG_shares!$T$113:$T$141,Techs!$Y16,NRG_shares!$U$113:$U$141,Techs!$AA16)</f>
        <v>0.2</v>
      </c>
      <c r="O16">
        <v>3</v>
      </c>
      <c r="P16" s="460">
        <f>NRG_shares!J14*NRG_shares!O14*Conversions!$B$3</f>
        <v>0.11079022726310823</v>
      </c>
      <c r="Q16" s="491"/>
      <c r="R16" s="460" t="str">
        <v>I-CEM-KLN-RWS-ETS_E0</v>
      </c>
      <c r="S16" s="460" t="s">
        <v>554</v>
      </c>
      <c r="T16" s="460" t="str">
        <v>CEMLTH</v>
      </c>
      <c r="U16" s="386">
        <v>0</v>
      </c>
      <c r="V16" s="385">
        <v>3</v>
      </c>
      <c r="W16" s="460"/>
      <c r="X16" s="485" t="s">
        <v>352</v>
      </c>
      <c r="Y16" s="485" t="s">
        <v>387</v>
      </c>
      <c r="Z16" s="485" t="s">
        <v>354</v>
      </c>
      <c r="AA16" s="485" t="s">
        <v>422</v>
      </c>
      <c r="AB16" s="485" t="s">
        <v>358</v>
      </c>
      <c r="AC16" s="485"/>
      <c r="AD16" s="485"/>
      <c r="AE16" s="485" t="s">
        <v>370</v>
      </c>
      <c r="AF16" s="485" t="s">
        <v>436</v>
      </c>
      <c r="AG16" s="485"/>
      <c r="AH16" s="485" t="s">
        <v>522</v>
      </c>
      <c r="AI16" s="485" t="s">
        <v>523</v>
      </c>
      <c r="AJ16" s="485" t="s">
        <v>524</v>
      </c>
      <c r="AK16" s="485" t="s">
        <v>525</v>
      </c>
      <c r="AL16" s="485"/>
      <c r="AM16" s="486" t="str">
        <f t="shared" si="0"/>
        <v>I-CAF-BLR-OIL-ETS_E0</v>
      </c>
      <c r="AN16" s="486" t="str">
        <f t="shared" ref="AN16:AP16" si="15">+AM16</f>
        <v>I-CAF-BLR-OIL-ETS_E0</v>
      </c>
      <c r="AO16" s="486" t="str">
        <f t="shared" si="15"/>
        <v>I-CAF-BLR-OIL-ETS_E0</v>
      </c>
      <c r="AP16" s="486" t="str">
        <f t="shared" si="15"/>
        <v>I-CAF-BLR-OIL-ETS_E0</v>
      </c>
      <c r="AQ16" s="485"/>
    </row>
    <row r="17" spans="2:43">
      <c r="B17" t="str">
        <f t="shared" si="1"/>
        <v>I-CAF-CHP-OIL-ETS_E0</v>
      </c>
      <c r="C17" t="str">
        <f t="shared" si="2"/>
        <v>Industry - Chemicals - CHP - Oil - ETS</v>
      </c>
      <c r="D17" t="str">
        <f t="shared" si="3"/>
        <v>INDOIL</v>
      </c>
      <c r="E17" t="str">
        <f t="shared" si="4"/>
        <v>CAFHTH,CAFMTH,CAFLTH,CAFHET</v>
      </c>
      <c r="F17" s="386">
        <f>+NRG_shares!V15</f>
        <v>0.5</v>
      </c>
      <c r="G17">
        <v>25</v>
      </c>
      <c r="H17" s="460">
        <f t="shared" si="5"/>
        <v>2.5339641638977475E-3</v>
      </c>
      <c r="I17">
        <v>31.536000000000001</v>
      </c>
      <c r="J17">
        <v>0.9</v>
      </c>
      <c r="K17" s="386">
        <f>+SUMIFS(NRG_shares!W$113:W$141,NRG_shares!$T$113:$T$141,Techs!$Y17,NRG_shares!$U$113:$U$141,Techs!$AA17)</f>
        <v>0</v>
      </c>
      <c r="L17" s="386">
        <f>+SUMIFS(NRG_shares!X$113:X$141,NRG_shares!$T$113:$T$141,Techs!$Y17,NRG_shares!$U$113:$U$141,Techs!$AA17)</f>
        <v>1</v>
      </c>
      <c r="M17" s="386">
        <f>+SUMIFS(NRG_shares!Y$113:Y$141,NRG_shares!$T$113:$T$141,Techs!$Y17,NRG_shares!$U$113:$U$141,Techs!$AA17)</f>
        <v>0</v>
      </c>
      <c r="N17" s="386">
        <f>+SUMIFS(NRG_shares!Z$113:Z$141,NRG_shares!$T$113:$T$141,Techs!$Y17,NRG_shares!$U$113:$U$141,Techs!$AA17)</f>
        <v>0</v>
      </c>
      <c r="O17">
        <v>3</v>
      </c>
      <c r="P17" s="460">
        <f>NRG_shares!J15*NRG_shares!O15*Conversions!$B$3</f>
        <v>6.6902311149219934E-2</v>
      </c>
      <c r="Q17" s="491"/>
      <c r="R17" s="460" t="str">
        <v>I-CEM-KLN-RWS-ETS_E0</v>
      </c>
      <c r="S17" s="460" t="s">
        <v>554</v>
      </c>
      <c r="T17" s="460" t="str">
        <v>CEMHET</v>
      </c>
      <c r="U17" s="386">
        <v>0</v>
      </c>
      <c r="V17" s="385">
        <v>3</v>
      </c>
      <c r="W17" s="460"/>
      <c r="X17" s="485" t="s">
        <v>352</v>
      </c>
      <c r="Y17" s="485" t="s">
        <v>387</v>
      </c>
      <c r="Z17" s="485" t="s">
        <v>354</v>
      </c>
      <c r="AA17" s="485" t="s">
        <v>421</v>
      </c>
      <c r="AB17" s="485" t="s">
        <v>358</v>
      </c>
      <c r="AC17" s="485"/>
      <c r="AD17" s="485"/>
      <c r="AE17" s="485" t="s">
        <v>370</v>
      </c>
      <c r="AF17" s="485" t="s">
        <v>436</v>
      </c>
      <c r="AG17" s="485"/>
      <c r="AH17" s="485" t="s">
        <v>522</v>
      </c>
      <c r="AI17" s="485" t="s">
        <v>523</v>
      </c>
      <c r="AJ17" s="485" t="s">
        <v>524</v>
      </c>
      <c r="AK17" s="485" t="s">
        <v>525</v>
      </c>
      <c r="AL17" s="485"/>
      <c r="AM17" s="486" t="str">
        <f t="shared" si="0"/>
        <v>I-CAF-CHP-OIL-ETS_E0</v>
      </c>
      <c r="AN17" s="486" t="str">
        <f t="shared" ref="AN17:AP17" si="16">+AM17</f>
        <v>I-CAF-CHP-OIL-ETS_E0</v>
      </c>
      <c r="AO17" s="486" t="str">
        <f t="shared" si="16"/>
        <v>I-CAF-CHP-OIL-ETS_E0</v>
      </c>
      <c r="AP17" s="486" t="str">
        <f t="shared" si="16"/>
        <v>I-CAF-CHP-OIL-ETS_E0</v>
      </c>
      <c r="AQ17" s="485"/>
    </row>
    <row r="18" spans="2:43">
      <c r="B18" t="str">
        <f t="shared" si="1"/>
        <v>I-CAF-OVN-OIL-ETS_E0</v>
      </c>
      <c r="C18" t="str">
        <f t="shared" si="2"/>
        <v>Industry - Chemicals - Oven - Oil - ETS</v>
      </c>
      <c r="D18" t="str">
        <f t="shared" si="3"/>
        <v>INDOIL</v>
      </c>
      <c r="E18" t="str">
        <f t="shared" si="4"/>
        <v>CAFHTH,CAFMTH,CAFLTH,CAFHET</v>
      </c>
      <c r="F18" s="386">
        <f>+NRG_shares!V16</f>
        <v>0.92</v>
      </c>
      <c r="G18">
        <v>25</v>
      </c>
      <c r="H18" s="460">
        <f t="shared" si="5"/>
        <v>0</v>
      </c>
      <c r="I18">
        <v>31.536000000000001</v>
      </c>
      <c r="J18">
        <v>0.9</v>
      </c>
      <c r="K18" s="386">
        <f>+SUMIFS(NRG_shares!W$113:W$141,NRG_shares!$T$113:$T$141,Techs!$Y18,NRG_shares!$U$113:$U$141,Techs!$AA18)</f>
        <v>0</v>
      </c>
      <c r="L18" s="386">
        <f>+SUMIFS(NRG_shares!X$113:X$141,NRG_shares!$T$113:$T$141,Techs!$Y18,NRG_shares!$U$113:$U$141,Techs!$AA18)</f>
        <v>0</v>
      </c>
      <c r="M18" s="386">
        <f>+SUMIFS(NRG_shares!Y$113:Y$141,NRG_shares!$T$113:$T$141,Techs!$Y18,NRG_shares!$U$113:$U$141,Techs!$AA18)</f>
        <v>1</v>
      </c>
      <c r="N18" s="386">
        <f>+SUMIFS(NRG_shares!Z$113:Z$141,NRG_shares!$T$113:$T$141,Techs!$Y18,NRG_shares!$U$113:$U$141,Techs!$AA18)</f>
        <v>0</v>
      </c>
      <c r="O18">
        <v>3</v>
      </c>
      <c r="P18" s="460">
        <f>NRG_shares!J16*NRG_shares!O16*Conversions!$B$3</f>
        <v>1.2310025251456469E-2</v>
      </c>
      <c r="Q18" s="491"/>
      <c r="R18" s="460" t="str">
        <v>I-CEM-DRR-RWS-ETS_E0</v>
      </c>
      <c r="S18" s="460" t="s">
        <v>554</v>
      </c>
      <c r="T18" s="460" t="str">
        <v>CEMHTH</v>
      </c>
      <c r="U18" s="386">
        <v>0</v>
      </c>
      <c r="V18" s="385">
        <v>3</v>
      </c>
      <c r="W18" s="460"/>
      <c r="X18" s="485" t="s">
        <v>352</v>
      </c>
      <c r="Y18" s="485" t="s">
        <v>387</v>
      </c>
      <c r="Z18" s="485" t="s">
        <v>354</v>
      </c>
      <c r="AA18" s="485" t="s">
        <v>423</v>
      </c>
      <c r="AB18" s="485" t="s">
        <v>358</v>
      </c>
      <c r="AC18" s="485"/>
      <c r="AD18" s="485"/>
      <c r="AE18" s="485" t="s">
        <v>370</v>
      </c>
      <c r="AF18" s="485" t="s">
        <v>436</v>
      </c>
      <c r="AG18" s="485"/>
      <c r="AH18" s="485" t="s">
        <v>522</v>
      </c>
      <c r="AI18" s="485" t="s">
        <v>523</v>
      </c>
      <c r="AJ18" s="485" t="s">
        <v>524</v>
      </c>
      <c r="AK18" s="485" t="s">
        <v>525</v>
      </c>
      <c r="AL18" s="485"/>
      <c r="AM18" s="486" t="str">
        <f t="shared" si="0"/>
        <v>I-CAF-OVN-OIL-ETS_E0</v>
      </c>
      <c r="AN18" s="486" t="str">
        <f t="shared" ref="AN18:AP18" si="17">+AM18</f>
        <v>I-CAF-OVN-OIL-ETS_E0</v>
      </c>
      <c r="AO18" s="486" t="str">
        <f t="shared" si="17"/>
        <v>I-CAF-OVN-OIL-ETS_E0</v>
      </c>
      <c r="AP18" s="486" t="str">
        <f t="shared" si="17"/>
        <v>I-CAF-OVN-OIL-ETS_E0</v>
      </c>
      <c r="AQ18" s="485"/>
    </row>
    <row r="19" spans="2:43">
      <c r="B19" t="str">
        <f t="shared" si="1"/>
        <v>I-CAF-BLR-GAS-ETS_E0</v>
      </c>
      <c r="C19" t="str">
        <f t="shared" si="2"/>
        <v>Industry - Chemicals - Boiler - Gas - ETS</v>
      </c>
      <c r="D19" t="str">
        <f t="shared" si="3"/>
        <v>INDGAS</v>
      </c>
      <c r="E19" t="str">
        <f t="shared" si="4"/>
        <v>CAFHTH,CAFMTH,CAFLTH,CAFHET</v>
      </c>
      <c r="F19" s="386">
        <f>+NRG_shares!V17</f>
        <v>0.92</v>
      </c>
      <c r="G19">
        <v>25</v>
      </c>
      <c r="H19" s="460">
        <f t="shared" si="5"/>
        <v>5.5484305672866156E-2</v>
      </c>
      <c r="I19">
        <v>31.536000000000001</v>
      </c>
      <c r="J19">
        <v>0.9</v>
      </c>
      <c r="K19" s="386">
        <f>+SUMIFS(NRG_shares!W$113:W$141,NRG_shares!$T$113:$T$141,Techs!$Y19,NRG_shares!$U$113:$U$141,Techs!$AA19)</f>
        <v>0</v>
      </c>
      <c r="L19" s="386">
        <f>+SUMIFS(NRG_shares!X$113:X$141,NRG_shares!$T$113:$T$141,Techs!$Y19,NRG_shares!$U$113:$U$141,Techs!$AA19)</f>
        <v>0.1</v>
      </c>
      <c r="M19" s="386">
        <f>+SUMIFS(NRG_shares!Y$113:Y$141,NRG_shares!$T$113:$T$141,Techs!$Y19,NRG_shares!$U$113:$U$141,Techs!$AA19)</f>
        <v>0.7</v>
      </c>
      <c r="N19" s="386">
        <f>+SUMIFS(NRG_shares!Z$113:Z$141,NRG_shares!$T$113:$T$141,Techs!$Y19,NRG_shares!$U$113:$U$141,Techs!$AA19)</f>
        <v>0.2</v>
      </c>
      <c r="O19">
        <v>3</v>
      </c>
      <c r="P19" s="460">
        <f>NRG_shares!J17*NRG_shares!O17*Conversions!$B$3</f>
        <v>1.4649095417019129</v>
      </c>
      <c r="Q19" s="491"/>
      <c r="R19" s="460" t="str">
        <v>I-CEM-DRR-RWS-ETS_E0</v>
      </c>
      <c r="S19" s="460" t="s">
        <v>554</v>
      </c>
      <c r="T19" s="460" t="str">
        <v>CEMMTH</v>
      </c>
      <c r="U19" s="386">
        <v>1</v>
      </c>
      <c r="V19" s="385">
        <v>3</v>
      </c>
      <c r="W19" s="460"/>
      <c r="X19" s="485" t="s">
        <v>352</v>
      </c>
      <c r="Y19" s="485" t="s">
        <v>387</v>
      </c>
      <c r="Z19" s="485" t="s">
        <v>354</v>
      </c>
      <c r="AA19" s="485" t="s">
        <v>422</v>
      </c>
      <c r="AB19" s="485" t="s">
        <v>356</v>
      </c>
      <c r="AC19" s="485"/>
      <c r="AD19" s="485"/>
      <c r="AE19" s="485" t="s">
        <v>353</v>
      </c>
      <c r="AF19" s="485" t="s">
        <v>440</v>
      </c>
      <c r="AG19" s="485"/>
      <c r="AH19" s="485" t="s">
        <v>522</v>
      </c>
      <c r="AI19" s="485" t="s">
        <v>523</v>
      </c>
      <c r="AJ19" s="485" t="s">
        <v>524</v>
      </c>
      <c r="AK19" s="485" t="s">
        <v>525</v>
      </c>
      <c r="AL19" s="485"/>
      <c r="AM19" s="486" t="str">
        <f t="shared" si="0"/>
        <v>I-CAF-BLR-GAS-ETS_E0</v>
      </c>
      <c r="AN19" s="486" t="str">
        <f t="shared" ref="AN19:AP19" si="18">+AM19</f>
        <v>I-CAF-BLR-GAS-ETS_E0</v>
      </c>
      <c r="AO19" s="486" t="str">
        <f t="shared" si="18"/>
        <v>I-CAF-BLR-GAS-ETS_E0</v>
      </c>
      <c r="AP19" s="486" t="str">
        <f t="shared" si="18"/>
        <v>I-CAF-BLR-GAS-ETS_E0</v>
      </c>
      <c r="AQ19" s="485"/>
    </row>
    <row r="20" spans="2:43">
      <c r="B20" t="str">
        <f t="shared" si="1"/>
        <v>I-CAF-CHP-GAS-ETS_E0</v>
      </c>
      <c r="C20" t="str">
        <f t="shared" si="2"/>
        <v>Industry - Chemicals - CHP - Gas - ETS</v>
      </c>
      <c r="D20" t="str">
        <f t="shared" si="3"/>
        <v>INDGAS</v>
      </c>
      <c r="E20" t="str">
        <f t="shared" si="4"/>
        <v>CAFHTH,CAFMTH,CAFLTH,CAFHET</v>
      </c>
      <c r="F20" s="386">
        <f>+NRG_shares!V18</f>
        <v>0.5</v>
      </c>
      <c r="G20">
        <v>25</v>
      </c>
      <c r="H20" s="460">
        <f t="shared" si="5"/>
        <v>3.3505015502938496E-2</v>
      </c>
      <c r="I20">
        <v>31.536000000000001</v>
      </c>
      <c r="J20">
        <v>0.9</v>
      </c>
      <c r="K20" s="386">
        <f>+SUMIFS(NRG_shares!W$113:W$141,NRG_shares!$T$113:$T$141,Techs!$Y20,NRG_shares!$U$113:$U$141,Techs!$AA20)</f>
        <v>0</v>
      </c>
      <c r="L20" s="386">
        <f>+SUMIFS(NRG_shares!X$113:X$141,NRG_shares!$T$113:$T$141,Techs!$Y20,NRG_shares!$U$113:$U$141,Techs!$AA20)</f>
        <v>1</v>
      </c>
      <c r="M20" s="386">
        <f>+SUMIFS(NRG_shares!Y$113:Y$141,NRG_shares!$T$113:$T$141,Techs!$Y20,NRG_shares!$U$113:$U$141,Techs!$AA20)</f>
        <v>0</v>
      </c>
      <c r="N20" s="386">
        <f>+SUMIFS(NRG_shares!Z$113:Z$141,NRG_shares!$T$113:$T$141,Techs!$Y20,NRG_shares!$U$113:$U$141,Techs!$AA20)</f>
        <v>0</v>
      </c>
      <c r="O20">
        <v>3</v>
      </c>
      <c r="P20" s="460">
        <f>NRG_shares!J18*NRG_shares!O18*Conversions!$B$3</f>
        <v>0.88460721117265262</v>
      </c>
      <c r="Q20" s="491"/>
      <c r="R20" s="460" t="str">
        <v>I-CEM-DRR-RWS-ETS_E0</v>
      </c>
      <c r="S20" s="460" t="s">
        <v>554</v>
      </c>
      <c r="T20" s="460" t="str">
        <v>CEMLTH</v>
      </c>
      <c r="U20" s="386">
        <v>0</v>
      </c>
      <c r="V20" s="385">
        <v>3</v>
      </c>
      <c r="W20" s="460"/>
      <c r="X20" s="485" t="s">
        <v>352</v>
      </c>
      <c r="Y20" s="485" t="s">
        <v>387</v>
      </c>
      <c r="Z20" s="485" t="s">
        <v>354</v>
      </c>
      <c r="AA20" s="485" t="s">
        <v>421</v>
      </c>
      <c r="AB20" s="485" t="s">
        <v>356</v>
      </c>
      <c r="AC20" s="485"/>
      <c r="AD20" s="485"/>
      <c r="AE20" s="485" t="s">
        <v>353</v>
      </c>
      <c r="AF20" s="485" t="s">
        <v>440</v>
      </c>
      <c r="AG20" s="485"/>
      <c r="AH20" s="485" t="s">
        <v>522</v>
      </c>
      <c r="AI20" s="485" t="s">
        <v>523</v>
      </c>
      <c r="AJ20" s="485" t="s">
        <v>524</v>
      </c>
      <c r="AK20" s="485" t="s">
        <v>525</v>
      </c>
      <c r="AL20" s="485"/>
      <c r="AM20" s="486" t="str">
        <f t="shared" si="0"/>
        <v>I-CAF-CHP-GAS-ETS_E0</v>
      </c>
      <c r="AN20" s="486" t="str">
        <f t="shared" ref="AN20:AP20" si="19">+AM20</f>
        <v>I-CAF-CHP-GAS-ETS_E0</v>
      </c>
      <c r="AO20" s="486" t="str">
        <f t="shared" si="19"/>
        <v>I-CAF-CHP-GAS-ETS_E0</v>
      </c>
      <c r="AP20" s="486" t="str">
        <f t="shared" si="19"/>
        <v>I-CAF-CHP-GAS-ETS_E0</v>
      </c>
      <c r="AQ20" s="485"/>
    </row>
    <row r="21" spans="2:43">
      <c r="B21" t="str">
        <f t="shared" si="1"/>
        <v>I-CAF-OVN-GAS-ETS_E0</v>
      </c>
      <c r="C21" t="str">
        <f t="shared" si="2"/>
        <v>Industry - Chemicals - Oven - Gas - ETS</v>
      </c>
      <c r="D21" t="str">
        <f t="shared" si="3"/>
        <v>INDGAS</v>
      </c>
      <c r="E21" t="str">
        <f t="shared" si="4"/>
        <v>CAFHTH,CAFMTH,CAFLTH,CAFHET</v>
      </c>
      <c r="F21" s="386">
        <f>+NRG_shares!V19</f>
        <v>0.92</v>
      </c>
      <c r="G21">
        <v>25</v>
      </c>
      <c r="H21" s="460">
        <f t="shared" si="5"/>
        <v>6.1649228525406828E-3</v>
      </c>
      <c r="I21">
        <v>31.536000000000001</v>
      </c>
      <c r="J21">
        <v>0.9</v>
      </c>
      <c r="K21" s="386">
        <f>+SUMIFS(NRG_shares!W$113:W$141,NRG_shares!$T$113:$T$141,Techs!$Y21,NRG_shares!$U$113:$U$141,Techs!$AA21)</f>
        <v>0</v>
      </c>
      <c r="L21" s="386">
        <f>+SUMIFS(NRG_shares!X$113:X$141,NRG_shares!$T$113:$T$141,Techs!$Y21,NRG_shares!$U$113:$U$141,Techs!$AA21)</f>
        <v>0</v>
      </c>
      <c r="M21" s="386">
        <f>+SUMIFS(NRG_shares!Y$113:Y$141,NRG_shares!$T$113:$T$141,Techs!$Y21,NRG_shares!$U$113:$U$141,Techs!$AA21)</f>
        <v>1</v>
      </c>
      <c r="N21" s="386">
        <f>+SUMIFS(NRG_shares!Z$113:Z$141,NRG_shares!$T$113:$T$141,Techs!$Y21,NRG_shares!$U$113:$U$141,Techs!$AA21)</f>
        <v>0</v>
      </c>
      <c r="O21">
        <v>3</v>
      </c>
      <c r="P21" s="460">
        <f>NRG_shares!J19*NRG_shares!O19*Conversions!$B$3</f>
        <v>0.16276772685576807</v>
      </c>
      <c r="Q21" s="491"/>
      <c r="R21" s="460" t="str">
        <v>I-CEM-DRR-RWS-ETS_E0</v>
      </c>
      <c r="S21" s="460" t="s">
        <v>554</v>
      </c>
      <c r="T21" s="460" t="str">
        <v>CEMHET</v>
      </c>
      <c r="U21" s="386">
        <v>0</v>
      </c>
      <c r="V21" s="385">
        <v>3</v>
      </c>
      <c r="W21" s="460"/>
      <c r="X21" s="485" t="s">
        <v>352</v>
      </c>
      <c r="Y21" s="485" t="s">
        <v>387</v>
      </c>
      <c r="Z21" s="485" t="s">
        <v>354</v>
      </c>
      <c r="AA21" s="485" t="s">
        <v>423</v>
      </c>
      <c r="AB21" s="485" t="s">
        <v>356</v>
      </c>
      <c r="AC21" s="485"/>
      <c r="AD21" s="485"/>
      <c r="AE21" s="485" t="s">
        <v>353</v>
      </c>
      <c r="AF21" s="485" t="s">
        <v>440</v>
      </c>
      <c r="AG21" s="485"/>
      <c r="AH21" s="485" t="s">
        <v>522</v>
      </c>
      <c r="AI21" s="485" t="s">
        <v>523</v>
      </c>
      <c r="AJ21" s="485" t="s">
        <v>524</v>
      </c>
      <c r="AK21" s="485" t="s">
        <v>525</v>
      </c>
      <c r="AL21" s="485"/>
      <c r="AM21" s="486" t="str">
        <f t="shared" si="0"/>
        <v>I-CAF-OVN-GAS-ETS_E0</v>
      </c>
      <c r="AN21" s="486" t="str">
        <f t="shared" ref="AN21:AP21" si="20">+AM21</f>
        <v>I-CAF-OVN-GAS-ETS_E0</v>
      </c>
      <c r="AO21" s="486" t="str">
        <f t="shared" si="20"/>
        <v>I-CAF-OVN-GAS-ETS_E0</v>
      </c>
      <c r="AP21" s="486" t="str">
        <f t="shared" si="20"/>
        <v>I-CAF-OVN-GAS-ETS_E0</v>
      </c>
      <c r="AQ21" s="485"/>
    </row>
    <row r="22" spans="2:43">
      <c r="B22" t="str">
        <f t="shared" si="1"/>
        <v>I-CAF-BLR-COA-NETS_E0</v>
      </c>
      <c r="C22" t="str">
        <f t="shared" si="2"/>
        <v>Industry - Chemicals - Boiler - Solid Fuels - Non-ETS</v>
      </c>
      <c r="D22" t="str">
        <f t="shared" si="3"/>
        <v>INDCOA,INDCOK</v>
      </c>
      <c r="E22" t="str">
        <f t="shared" si="4"/>
        <v>CAFHTH,CAFMTH,CAFLTH,CAFHET</v>
      </c>
      <c r="F22" s="386">
        <f>+NRG_shares!V20</f>
        <v>0.92</v>
      </c>
      <c r="G22">
        <v>25</v>
      </c>
      <c r="H22" s="460">
        <f t="shared" si="5"/>
        <v>8.7059289225470664E-3</v>
      </c>
      <c r="I22">
        <v>31.536000000000001</v>
      </c>
      <c r="J22">
        <v>0.9</v>
      </c>
      <c r="K22" s="386">
        <f>+SUMIFS(NRG_shares!W$113:W$141,NRG_shares!$T$113:$T$141,Techs!$Y22,NRG_shares!$U$113:$U$141,Techs!$AA22)</f>
        <v>0</v>
      </c>
      <c r="L22" s="386">
        <f>+SUMIFS(NRG_shares!X$113:X$141,NRG_shares!$T$113:$T$141,Techs!$Y22,NRG_shares!$U$113:$U$141,Techs!$AA22)</f>
        <v>0.1</v>
      </c>
      <c r="M22" s="386">
        <f>+SUMIFS(NRG_shares!Y$113:Y$141,NRG_shares!$T$113:$T$141,Techs!$Y22,NRG_shares!$U$113:$U$141,Techs!$AA22)</f>
        <v>0.7</v>
      </c>
      <c r="N22" s="386">
        <f>+SUMIFS(NRG_shares!Z$113:Z$141,NRG_shares!$T$113:$T$141,Techs!$Y22,NRG_shares!$U$113:$U$141,Techs!$AA22)</f>
        <v>0.2</v>
      </c>
      <c r="O22">
        <v>3</v>
      </c>
      <c r="P22" s="460">
        <f>NRG_shares!J20*NRG_shares!O20*Conversions!$B$3</f>
        <v>0.22985596004772085</v>
      </c>
      <c r="Q22" s="491"/>
      <c r="R22" s="460" t="str">
        <v>I-CEM-KLN-COA-ETS_E0</v>
      </c>
      <c r="S22" s="460" t="s">
        <v>554</v>
      </c>
      <c r="T22" s="460" t="str">
        <v>CEMHTH</v>
      </c>
      <c r="U22" s="386">
        <v>1</v>
      </c>
      <c r="V22" s="385">
        <v>3</v>
      </c>
      <c r="W22" s="460"/>
      <c r="X22" s="485" t="s">
        <v>352</v>
      </c>
      <c r="Y22" s="485" t="s">
        <v>387</v>
      </c>
      <c r="Z22" s="485" t="s">
        <v>394</v>
      </c>
      <c r="AA22" s="485" t="s">
        <v>422</v>
      </c>
      <c r="AB22" s="485" t="s">
        <v>365</v>
      </c>
      <c r="AC22" s="485"/>
      <c r="AD22" s="485"/>
      <c r="AE22" s="485" t="s">
        <v>375</v>
      </c>
      <c r="AF22" s="485" t="s">
        <v>441</v>
      </c>
      <c r="AG22" s="485"/>
      <c r="AH22" s="485" t="s">
        <v>522</v>
      </c>
      <c r="AI22" s="485" t="s">
        <v>523</v>
      </c>
      <c r="AJ22" s="485" t="s">
        <v>524</v>
      </c>
      <c r="AK22" s="485" t="s">
        <v>525</v>
      </c>
      <c r="AL22" s="485"/>
      <c r="AM22" s="486" t="str">
        <f t="shared" si="0"/>
        <v>I-CAF-BLR-COA-NETS_E0</v>
      </c>
      <c r="AN22" s="486" t="str">
        <f t="shared" ref="AN22:AP22" si="21">+AM22</f>
        <v>I-CAF-BLR-COA-NETS_E0</v>
      </c>
      <c r="AO22" s="486" t="str">
        <f t="shared" si="21"/>
        <v>I-CAF-BLR-COA-NETS_E0</v>
      </c>
      <c r="AP22" s="486" t="str">
        <f t="shared" si="21"/>
        <v>I-CAF-BLR-COA-NETS_E0</v>
      </c>
      <c r="AQ22" s="485"/>
    </row>
    <row r="23" spans="2:43">
      <c r="B23" t="str">
        <f t="shared" si="1"/>
        <v>I-CAF-CHP-COA-NETS_E0</v>
      </c>
      <c r="C23" t="str">
        <f t="shared" si="2"/>
        <v>Industry - Chemicals - CHP - Solid Fuels - Non-ETS</v>
      </c>
      <c r="D23" t="str">
        <f t="shared" si="3"/>
        <v>INDCOA,INDCOK</v>
      </c>
      <c r="E23" t="str">
        <f t="shared" si="4"/>
        <v>CAFHTH,CAFMTH,CAFLTH,CAFHET</v>
      </c>
      <c r="F23" s="386">
        <f>+NRG_shares!V21</f>
        <v>0.5</v>
      </c>
      <c r="G23">
        <v>25</v>
      </c>
      <c r="H23" s="460">
        <f t="shared" si="5"/>
        <v>1.3518523171656938E-3</v>
      </c>
      <c r="I23">
        <v>31.536000000000001</v>
      </c>
      <c r="J23">
        <v>0.9</v>
      </c>
      <c r="K23" s="386">
        <f>+SUMIFS(NRG_shares!W$113:W$141,NRG_shares!$T$113:$T$141,Techs!$Y23,NRG_shares!$U$113:$U$141,Techs!$AA23)</f>
        <v>0</v>
      </c>
      <c r="L23" s="386">
        <f>+SUMIFS(NRG_shares!X$113:X$141,NRG_shares!$T$113:$T$141,Techs!$Y23,NRG_shares!$U$113:$U$141,Techs!$AA23)</f>
        <v>1</v>
      </c>
      <c r="M23" s="386">
        <f>+SUMIFS(NRG_shares!Y$113:Y$141,NRG_shares!$T$113:$T$141,Techs!$Y23,NRG_shares!$U$113:$U$141,Techs!$AA23)</f>
        <v>0</v>
      </c>
      <c r="N23" s="386">
        <f>+SUMIFS(NRG_shares!Z$113:Z$141,NRG_shares!$T$113:$T$141,Techs!$Y23,NRG_shares!$U$113:$U$141,Techs!$AA23)</f>
        <v>0</v>
      </c>
      <c r="O23">
        <v>3</v>
      </c>
      <c r="P23" s="460">
        <f>NRG_shares!J21*NRG_shares!O21*Conversions!$B$3</f>
        <v>3.5691919262068453E-2</v>
      </c>
      <c r="Q23" s="491"/>
      <c r="R23" s="460" t="str">
        <v>I-CEM-KLN-COA-ETS_E0</v>
      </c>
      <c r="S23" s="460" t="s">
        <v>554</v>
      </c>
      <c r="T23" s="460" t="str">
        <v>CEMMTH</v>
      </c>
      <c r="U23" s="386">
        <v>0</v>
      </c>
      <c r="V23" s="385">
        <v>3</v>
      </c>
      <c r="W23" s="460"/>
      <c r="X23" s="485" t="s">
        <v>352</v>
      </c>
      <c r="Y23" s="485" t="s">
        <v>387</v>
      </c>
      <c r="Z23" s="485" t="s">
        <v>394</v>
      </c>
      <c r="AA23" s="485" t="s">
        <v>421</v>
      </c>
      <c r="AB23" s="485" t="s">
        <v>365</v>
      </c>
      <c r="AC23" s="485"/>
      <c r="AD23" s="485"/>
      <c r="AE23" s="485" t="s">
        <v>375</v>
      </c>
      <c r="AF23" s="485" t="s">
        <v>441</v>
      </c>
      <c r="AG23" s="485"/>
      <c r="AH23" s="485" t="s">
        <v>522</v>
      </c>
      <c r="AI23" s="485" t="s">
        <v>523</v>
      </c>
      <c r="AJ23" s="485" t="s">
        <v>524</v>
      </c>
      <c r="AK23" s="485" t="s">
        <v>525</v>
      </c>
      <c r="AL23" s="485"/>
      <c r="AM23" s="486" t="str">
        <f t="shared" si="0"/>
        <v>I-CAF-CHP-COA-NETS_E0</v>
      </c>
      <c r="AN23" s="486" t="str">
        <f t="shared" ref="AN23:AP23" si="22">+AM23</f>
        <v>I-CAF-CHP-COA-NETS_E0</v>
      </c>
      <c r="AO23" s="486" t="str">
        <f t="shared" si="22"/>
        <v>I-CAF-CHP-COA-NETS_E0</v>
      </c>
      <c r="AP23" s="486" t="str">
        <f t="shared" si="22"/>
        <v>I-CAF-CHP-COA-NETS_E0</v>
      </c>
      <c r="AQ23" s="485"/>
    </row>
    <row r="24" spans="2:43">
      <c r="B24" t="str">
        <f t="shared" si="1"/>
        <v>I-CAF-OVN-COA-NETS_E0</v>
      </c>
      <c r="C24" t="str">
        <f t="shared" si="2"/>
        <v>Industry - Chemicals - Oven - Solid Fuels - Non-ETS</v>
      </c>
      <c r="D24" t="str">
        <f t="shared" si="3"/>
        <v>INDCOA,INDCOK</v>
      </c>
      <c r="E24" t="str">
        <f t="shared" si="4"/>
        <v>CAFHTH,CAFMTH,CAFLTH,CAFHET</v>
      </c>
      <c r="F24" s="386">
        <f>+NRG_shares!V22</f>
        <v>0.92000000000000015</v>
      </c>
      <c r="G24">
        <v>25</v>
      </c>
      <c r="H24" s="460">
        <f t="shared" si="5"/>
        <v>0</v>
      </c>
      <c r="I24">
        <v>31.536000000000001</v>
      </c>
      <c r="J24">
        <v>0.9</v>
      </c>
      <c r="K24" s="386">
        <f>+SUMIFS(NRG_shares!W$113:W$141,NRG_shares!$T$113:$T$141,Techs!$Y24,NRG_shares!$U$113:$U$141,Techs!$AA24)</f>
        <v>0</v>
      </c>
      <c r="L24" s="386">
        <f>+SUMIFS(NRG_shares!X$113:X$141,NRG_shares!$T$113:$T$141,Techs!$Y24,NRG_shares!$U$113:$U$141,Techs!$AA24)</f>
        <v>0</v>
      </c>
      <c r="M24" s="386">
        <f>+SUMIFS(NRG_shares!Y$113:Y$141,NRG_shares!$T$113:$T$141,Techs!$Y24,NRG_shares!$U$113:$U$141,Techs!$AA24)</f>
        <v>1</v>
      </c>
      <c r="N24" s="386">
        <f>+SUMIFS(NRG_shares!Z$113:Z$141,NRG_shares!$T$113:$T$141,Techs!$Y24,NRG_shares!$U$113:$U$141,Techs!$AA24)</f>
        <v>0</v>
      </c>
      <c r="O24">
        <v>3</v>
      </c>
      <c r="P24" s="460">
        <f>NRG_shares!J22*NRG_shares!O22*Conversions!$B$3</f>
        <v>1.6418282860551494E-2</v>
      </c>
      <c r="Q24" s="491"/>
      <c r="R24" s="460" t="str">
        <v>I-CEM-KLN-COA-ETS_E0</v>
      </c>
      <c r="S24" s="460" t="s">
        <v>554</v>
      </c>
      <c r="T24" s="460" t="str">
        <v>CEMLTH</v>
      </c>
      <c r="U24" s="386">
        <v>0</v>
      </c>
      <c r="V24" s="385">
        <v>3</v>
      </c>
      <c r="W24" s="460"/>
      <c r="X24" s="485" t="s">
        <v>352</v>
      </c>
      <c r="Y24" s="485" t="s">
        <v>387</v>
      </c>
      <c r="Z24" s="485" t="s">
        <v>394</v>
      </c>
      <c r="AA24" s="485" t="s">
        <v>423</v>
      </c>
      <c r="AB24" s="485" t="s">
        <v>365</v>
      </c>
      <c r="AC24" s="485"/>
      <c r="AD24" s="485"/>
      <c r="AE24" s="485" t="s">
        <v>375</v>
      </c>
      <c r="AF24" s="485" t="s">
        <v>441</v>
      </c>
      <c r="AG24" s="485"/>
      <c r="AH24" s="485" t="s">
        <v>522</v>
      </c>
      <c r="AI24" s="485" t="s">
        <v>523</v>
      </c>
      <c r="AJ24" s="485" t="s">
        <v>524</v>
      </c>
      <c r="AK24" s="485" t="s">
        <v>525</v>
      </c>
      <c r="AL24" s="485"/>
      <c r="AM24" s="486" t="str">
        <f t="shared" si="0"/>
        <v>I-CAF-OVN-COA-NETS_E0</v>
      </c>
      <c r="AN24" s="486" t="str">
        <f t="shared" ref="AN24:AP24" si="23">+AM24</f>
        <v>I-CAF-OVN-COA-NETS_E0</v>
      </c>
      <c r="AO24" s="486" t="str">
        <f t="shared" si="23"/>
        <v>I-CAF-OVN-COA-NETS_E0</v>
      </c>
      <c r="AP24" s="486" t="str">
        <f t="shared" si="23"/>
        <v>I-CAF-OVN-COA-NETS_E0</v>
      </c>
      <c r="AQ24" s="485"/>
    </row>
    <row r="25" spans="2:43">
      <c r="B25" t="str">
        <f t="shared" si="1"/>
        <v>I-CAF-DRR-COA-NETS_E0</v>
      </c>
      <c r="C25" t="str">
        <f t="shared" si="2"/>
        <v>Industry - Chemicals - Dryer - Solid Fuels - Non-ETS</v>
      </c>
      <c r="D25" t="str">
        <f t="shared" si="3"/>
        <v>INDCOA,INDCOK</v>
      </c>
      <c r="E25" t="str">
        <f t="shared" si="4"/>
        <v>CAFHTH,CAFMTH,CAFLTH,CAFHET</v>
      </c>
      <c r="F25" s="386">
        <f>+NRG_shares!V23</f>
        <v>0.92000000000000015</v>
      </c>
      <c r="G25">
        <v>25</v>
      </c>
      <c r="H25" s="460">
        <f t="shared" si="5"/>
        <v>0</v>
      </c>
      <c r="I25">
        <v>31.536000000000001</v>
      </c>
      <c r="J25">
        <v>0.9</v>
      </c>
      <c r="K25" s="386">
        <f>+SUMIFS(NRG_shares!W$113:W$141,NRG_shares!$T$113:$T$141,Techs!$Y25,NRG_shares!$U$113:$U$141,Techs!$AA25)</f>
        <v>0</v>
      </c>
      <c r="L25" s="386">
        <f>+SUMIFS(NRG_shares!X$113:X$141,NRG_shares!$T$113:$T$141,Techs!$Y25,NRG_shares!$U$113:$U$141,Techs!$AA25)</f>
        <v>0</v>
      </c>
      <c r="M25" s="386">
        <f>+SUMIFS(NRG_shares!Y$113:Y$141,NRG_shares!$T$113:$T$141,Techs!$Y25,NRG_shares!$U$113:$U$141,Techs!$AA25)</f>
        <v>1</v>
      </c>
      <c r="N25" s="386">
        <f>+SUMIFS(NRG_shares!Z$113:Z$141,NRG_shares!$T$113:$T$141,Techs!$Y25,NRG_shares!$U$113:$U$141,Techs!$AA25)</f>
        <v>0</v>
      </c>
      <c r="O25">
        <v>3</v>
      </c>
      <c r="P25" s="460">
        <f>NRG_shares!J23*NRG_shares!O23*Conversions!$B$3</f>
        <v>1.6418282860551494E-2</v>
      </c>
      <c r="Q25" s="491"/>
      <c r="R25" s="460" t="str">
        <v>I-CEM-KLN-COA-ETS_E0</v>
      </c>
      <c r="S25" s="460" t="s">
        <v>554</v>
      </c>
      <c r="T25" s="460" t="str">
        <v>CEMHET</v>
      </c>
      <c r="U25" s="386">
        <v>0</v>
      </c>
      <c r="V25" s="385">
        <v>3</v>
      </c>
      <c r="W25" s="460"/>
      <c r="X25" s="485" t="s">
        <v>352</v>
      </c>
      <c r="Y25" s="485" t="s">
        <v>387</v>
      </c>
      <c r="Z25" s="485" t="s">
        <v>394</v>
      </c>
      <c r="AA25" s="485" t="s">
        <v>420</v>
      </c>
      <c r="AB25" s="485" t="s">
        <v>365</v>
      </c>
      <c r="AC25" s="485"/>
      <c r="AD25" s="485"/>
      <c r="AE25" s="485" t="s">
        <v>375</v>
      </c>
      <c r="AF25" s="485" t="s">
        <v>441</v>
      </c>
      <c r="AG25" s="485"/>
      <c r="AH25" s="485" t="s">
        <v>522</v>
      </c>
      <c r="AI25" s="485" t="s">
        <v>523</v>
      </c>
      <c r="AJ25" s="485" t="s">
        <v>524</v>
      </c>
      <c r="AK25" s="485" t="s">
        <v>525</v>
      </c>
      <c r="AL25" s="485"/>
      <c r="AM25" s="486" t="str">
        <f t="shared" si="0"/>
        <v>I-CAF-DRR-COA-NETS_E0</v>
      </c>
      <c r="AN25" s="486" t="str">
        <f t="shared" ref="AN25:AP25" si="24">+AM25</f>
        <v>I-CAF-DRR-COA-NETS_E0</v>
      </c>
      <c r="AO25" s="486" t="str">
        <f t="shared" si="24"/>
        <v>I-CAF-DRR-COA-NETS_E0</v>
      </c>
      <c r="AP25" s="486" t="str">
        <f t="shared" si="24"/>
        <v>I-CAF-DRR-COA-NETS_E0</v>
      </c>
      <c r="AQ25" s="485"/>
    </row>
    <row r="26" spans="2:43">
      <c r="B26" t="str">
        <f t="shared" si="1"/>
        <v>I-CAF-BLR-OIL-NETS_E0</v>
      </c>
      <c r="C26" t="str">
        <f t="shared" si="2"/>
        <v>Industry - Chemicals - Boiler - Oil - Non-ETS</v>
      </c>
      <c r="D26" t="str">
        <f t="shared" si="3"/>
        <v>INDOIL</v>
      </c>
      <c r="E26" t="str">
        <f t="shared" si="4"/>
        <v>CAFHTH,CAFMTH,CAFLTH,CAFHET</v>
      </c>
      <c r="F26" s="386">
        <f>+NRG_shares!V24</f>
        <v>0.92</v>
      </c>
      <c r="G26">
        <v>25</v>
      </c>
      <c r="H26" s="460">
        <f t="shared" si="5"/>
        <v>9.440856595869726E-3</v>
      </c>
      <c r="I26">
        <v>31.536000000000001</v>
      </c>
      <c r="J26">
        <v>0.9</v>
      </c>
      <c r="K26" s="386">
        <f>+SUMIFS(NRG_shares!W$113:W$141,NRG_shares!$T$113:$T$141,Techs!$Y26,NRG_shares!$U$113:$U$141,Techs!$AA26)</f>
        <v>0</v>
      </c>
      <c r="L26" s="386">
        <f>+SUMIFS(NRG_shares!X$113:X$141,NRG_shares!$T$113:$T$141,Techs!$Y26,NRG_shares!$U$113:$U$141,Techs!$AA26)</f>
        <v>0.1</v>
      </c>
      <c r="M26" s="386">
        <f>+SUMIFS(NRG_shares!Y$113:Y$141,NRG_shares!$T$113:$T$141,Techs!$Y26,NRG_shares!$U$113:$U$141,Techs!$AA26)</f>
        <v>0.7</v>
      </c>
      <c r="N26" s="386">
        <f>+SUMIFS(NRG_shares!Z$113:Z$141,NRG_shares!$T$113:$T$141,Techs!$Y26,NRG_shares!$U$113:$U$141,Techs!$AA26)</f>
        <v>0.2</v>
      </c>
      <c r="O26">
        <v>3</v>
      </c>
      <c r="P26" s="460">
        <f>NRG_shares!J24*NRG_shares!O24*Conversions!$B$3</f>
        <v>0.24925969139219809</v>
      </c>
      <c r="Q26" s="491"/>
      <c r="R26" s="460" t="str">
        <v>I-CEM-DRR-COA-ETS_E0</v>
      </c>
      <c r="S26" s="460" t="s">
        <v>554</v>
      </c>
      <c r="T26" s="460" t="str">
        <v>CEMHTH</v>
      </c>
      <c r="U26" s="386">
        <v>0</v>
      </c>
      <c r="V26" s="385">
        <v>3</v>
      </c>
      <c r="W26" s="460"/>
      <c r="X26" s="485" t="s">
        <v>352</v>
      </c>
      <c r="Y26" s="485" t="s">
        <v>387</v>
      </c>
      <c r="Z26" s="485" t="s">
        <v>394</v>
      </c>
      <c r="AA26" s="485" t="s">
        <v>422</v>
      </c>
      <c r="AB26" s="485" t="s">
        <v>358</v>
      </c>
      <c r="AC26" s="485"/>
      <c r="AD26" s="485"/>
      <c r="AE26" s="485" t="s">
        <v>375</v>
      </c>
      <c r="AF26" s="485" t="s">
        <v>441</v>
      </c>
      <c r="AG26" s="485"/>
      <c r="AH26" s="485" t="s">
        <v>522</v>
      </c>
      <c r="AI26" s="485" t="s">
        <v>523</v>
      </c>
      <c r="AJ26" s="485" t="s">
        <v>524</v>
      </c>
      <c r="AK26" s="485" t="s">
        <v>525</v>
      </c>
      <c r="AL26" s="485"/>
      <c r="AM26" s="486" t="str">
        <f t="shared" si="0"/>
        <v>I-CAF-BLR-OIL-NETS_E0</v>
      </c>
      <c r="AN26" s="486" t="str">
        <f t="shared" ref="AN26:AP26" si="25">+AM26</f>
        <v>I-CAF-BLR-OIL-NETS_E0</v>
      </c>
      <c r="AO26" s="486" t="str">
        <f t="shared" si="25"/>
        <v>I-CAF-BLR-OIL-NETS_E0</v>
      </c>
      <c r="AP26" s="486" t="str">
        <f t="shared" si="25"/>
        <v>I-CAF-BLR-OIL-NETS_E0</v>
      </c>
      <c r="AQ26" s="485"/>
    </row>
    <row r="27" spans="2:43">
      <c r="B27" t="str">
        <f t="shared" si="1"/>
        <v>I-CAF-CHP-OIL-NETS_E0</v>
      </c>
      <c r="C27" t="str">
        <f t="shared" si="2"/>
        <v>Industry - Chemicals - CHP - Oil - Non-ETS</v>
      </c>
      <c r="D27" t="str">
        <f t="shared" si="3"/>
        <v>INDOIL</v>
      </c>
      <c r="E27" t="str">
        <f t="shared" si="4"/>
        <v>CAFHTH,CAFMTH,CAFLTH,CAFHET</v>
      </c>
      <c r="F27" s="386">
        <f>+NRG_shares!V25</f>
        <v>0.5</v>
      </c>
      <c r="G27">
        <v>25</v>
      </c>
      <c r="H27" s="460">
        <f t="shared" si="5"/>
        <v>1.4659715210977842E-3</v>
      </c>
      <c r="I27">
        <v>31.536000000000001</v>
      </c>
      <c r="J27">
        <v>0.9</v>
      </c>
      <c r="K27" s="386">
        <f>+SUMIFS(NRG_shares!W$113:W$141,NRG_shares!$T$113:$T$141,Techs!$Y27,NRG_shares!$U$113:$U$141,Techs!$AA27)</f>
        <v>0</v>
      </c>
      <c r="L27" s="386">
        <f>+SUMIFS(NRG_shares!X$113:X$141,NRG_shares!$T$113:$T$141,Techs!$Y27,NRG_shares!$U$113:$U$141,Techs!$AA27)</f>
        <v>1</v>
      </c>
      <c r="M27" s="386">
        <f>+SUMIFS(NRG_shares!Y$113:Y$141,NRG_shares!$T$113:$T$141,Techs!$Y27,NRG_shares!$U$113:$U$141,Techs!$AA27)</f>
        <v>0</v>
      </c>
      <c r="N27" s="386">
        <f>+SUMIFS(NRG_shares!Z$113:Z$141,NRG_shares!$T$113:$T$141,Techs!$Y27,NRG_shares!$U$113:$U$141,Techs!$AA27)</f>
        <v>0</v>
      </c>
      <c r="O27">
        <v>3</v>
      </c>
      <c r="P27" s="460">
        <f>NRG_shares!J25*NRG_shares!O25*Conversions!$B$3</f>
        <v>3.8704921023633258E-2</v>
      </c>
      <c r="Q27" s="491"/>
      <c r="R27" s="460" t="str">
        <v>I-CEM-DRR-COA-ETS_E0</v>
      </c>
      <c r="S27" s="460" t="s">
        <v>554</v>
      </c>
      <c r="T27" s="460" t="str">
        <v>CEMMTH</v>
      </c>
      <c r="U27" s="386">
        <v>1</v>
      </c>
      <c r="V27" s="385">
        <v>3</v>
      </c>
      <c r="W27" s="460"/>
      <c r="X27" s="485" t="s">
        <v>352</v>
      </c>
      <c r="Y27" s="485" t="s">
        <v>387</v>
      </c>
      <c r="Z27" s="485" t="s">
        <v>394</v>
      </c>
      <c r="AA27" s="485" t="s">
        <v>421</v>
      </c>
      <c r="AB27" s="485" t="s">
        <v>358</v>
      </c>
      <c r="AC27" s="485"/>
      <c r="AD27" s="485"/>
      <c r="AE27" s="485" t="s">
        <v>388</v>
      </c>
      <c r="AF27" s="485" t="s">
        <v>442</v>
      </c>
      <c r="AG27" s="485"/>
      <c r="AH27" s="485" t="s">
        <v>522</v>
      </c>
      <c r="AI27" s="485" t="s">
        <v>523</v>
      </c>
      <c r="AJ27" s="485" t="s">
        <v>524</v>
      </c>
      <c r="AK27" s="485" t="s">
        <v>525</v>
      </c>
      <c r="AL27" s="485"/>
      <c r="AM27" s="486" t="str">
        <f t="shared" si="0"/>
        <v>I-CAF-CHP-OIL-NETS_E0</v>
      </c>
      <c r="AN27" s="486" t="str">
        <f t="shared" ref="AN27:AP27" si="26">+AM27</f>
        <v>I-CAF-CHP-OIL-NETS_E0</v>
      </c>
      <c r="AO27" s="486" t="str">
        <f t="shared" si="26"/>
        <v>I-CAF-CHP-OIL-NETS_E0</v>
      </c>
      <c r="AP27" s="486" t="str">
        <f t="shared" si="26"/>
        <v>I-CAF-CHP-OIL-NETS_E0</v>
      </c>
      <c r="AQ27" s="485"/>
    </row>
    <row r="28" spans="2:43">
      <c r="B28" t="str">
        <f t="shared" si="1"/>
        <v>I-CAF-OVN-OIL-NETS_E0</v>
      </c>
      <c r="C28" t="str">
        <f t="shared" si="2"/>
        <v>Industry - Chemicals - Oven - Oil - Non-ETS</v>
      </c>
      <c r="D28" t="str">
        <f t="shared" si="3"/>
        <v>INDOIL</v>
      </c>
      <c r="E28" t="str">
        <f t="shared" si="4"/>
        <v>CAFHTH,CAFMTH,CAFLTH,CAFHET</v>
      </c>
      <c r="F28" s="386">
        <f>+NRG_shares!V26</f>
        <v>0.92000000000000015</v>
      </c>
      <c r="G28">
        <v>25</v>
      </c>
      <c r="H28" s="460">
        <f t="shared" si="5"/>
        <v>0</v>
      </c>
      <c r="I28">
        <v>31.536000000000001</v>
      </c>
      <c r="J28">
        <v>0.9</v>
      </c>
      <c r="K28" s="386">
        <f>+SUMIFS(NRG_shares!W$113:W$141,NRG_shares!$T$113:$T$141,Techs!$Y28,NRG_shares!$U$113:$U$141,Techs!$AA28)</f>
        <v>0</v>
      </c>
      <c r="L28" s="386">
        <f>+SUMIFS(NRG_shares!X$113:X$141,NRG_shares!$T$113:$T$141,Techs!$Y28,NRG_shares!$U$113:$U$141,Techs!$AA28)</f>
        <v>0</v>
      </c>
      <c r="M28" s="386">
        <f>+SUMIFS(NRG_shares!Y$113:Y$141,NRG_shares!$T$113:$T$141,Techs!$Y28,NRG_shares!$U$113:$U$141,Techs!$AA28)</f>
        <v>1</v>
      </c>
      <c r="N28" s="386">
        <f>+SUMIFS(NRG_shares!Z$113:Z$141,NRG_shares!$T$113:$T$141,Techs!$Y28,NRG_shares!$U$113:$U$141,Techs!$AA28)</f>
        <v>0</v>
      </c>
      <c r="O28">
        <v>3</v>
      </c>
      <c r="P28" s="460">
        <f>NRG_shares!J26*NRG_shares!O26*Conversions!$B$3</f>
        <v>1.7804263670871297E-2</v>
      </c>
      <c r="Q28" s="491"/>
      <c r="R28" s="460" t="str">
        <v>I-CEM-DRR-COA-ETS_E0</v>
      </c>
      <c r="S28" s="460" t="s">
        <v>554</v>
      </c>
      <c r="T28" s="460" t="str">
        <v>CEMLTH</v>
      </c>
      <c r="U28" s="386">
        <v>0</v>
      </c>
      <c r="V28" s="385">
        <v>3</v>
      </c>
      <c r="W28" s="460"/>
      <c r="X28" s="485" t="s">
        <v>352</v>
      </c>
      <c r="Y28" s="485" t="s">
        <v>387</v>
      </c>
      <c r="Z28" s="485" t="s">
        <v>394</v>
      </c>
      <c r="AA28" s="485" t="s">
        <v>423</v>
      </c>
      <c r="AB28" s="485" t="s">
        <v>358</v>
      </c>
      <c r="AC28" s="485"/>
      <c r="AD28" s="485"/>
      <c r="AE28" s="485" t="s">
        <v>388</v>
      </c>
      <c r="AF28" s="485" t="s">
        <v>442</v>
      </c>
      <c r="AG28" s="485"/>
      <c r="AH28" s="485" t="s">
        <v>522</v>
      </c>
      <c r="AI28" s="485" t="s">
        <v>523</v>
      </c>
      <c r="AJ28" s="485" t="s">
        <v>524</v>
      </c>
      <c r="AK28" s="485" t="s">
        <v>525</v>
      </c>
      <c r="AL28" s="485"/>
      <c r="AM28" s="486" t="str">
        <f t="shared" si="0"/>
        <v>I-CAF-OVN-OIL-NETS_E0</v>
      </c>
      <c r="AN28" s="486" t="str">
        <f t="shared" ref="AN28:AP28" si="27">+AM28</f>
        <v>I-CAF-OVN-OIL-NETS_E0</v>
      </c>
      <c r="AO28" s="486" t="str">
        <f t="shared" si="27"/>
        <v>I-CAF-OVN-OIL-NETS_E0</v>
      </c>
      <c r="AP28" s="486" t="str">
        <f t="shared" si="27"/>
        <v>I-CAF-OVN-OIL-NETS_E0</v>
      </c>
      <c r="AQ28" s="485"/>
    </row>
    <row r="29" spans="2:43">
      <c r="B29" t="str">
        <f t="shared" si="1"/>
        <v>I-CAF-DRR-OIL-NETS_E0</v>
      </c>
      <c r="C29" t="str">
        <f t="shared" si="2"/>
        <v>Industry - Chemicals - Dryer - Oil - Non-ETS</v>
      </c>
      <c r="D29" t="str">
        <f t="shared" si="3"/>
        <v>INDOIL</v>
      </c>
      <c r="E29" t="str">
        <f t="shared" si="4"/>
        <v>CAFHTH,CAFMTH,CAFLTH,CAFHET</v>
      </c>
      <c r="F29" s="386">
        <f>+NRG_shares!V27</f>
        <v>0.92000000000000015</v>
      </c>
      <c r="G29">
        <v>25</v>
      </c>
      <c r="H29" s="460">
        <f t="shared" si="5"/>
        <v>0</v>
      </c>
      <c r="I29">
        <v>31.536000000000001</v>
      </c>
      <c r="J29">
        <v>0.9</v>
      </c>
      <c r="K29" s="386">
        <f>+SUMIFS(NRG_shares!W$113:W$141,NRG_shares!$T$113:$T$141,Techs!$Y29,NRG_shares!$U$113:$U$141,Techs!$AA29)</f>
        <v>0</v>
      </c>
      <c r="L29" s="386">
        <f>+SUMIFS(NRG_shares!X$113:X$141,NRG_shares!$T$113:$T$141,Techs!$Y29,NRG_shares!$U$113:$U$141,Techs!$AA29)</f>
        <v>0</v>
      </c>
      <c r="M29" s="386">
        <f>+SUMIFS(NRG_shares!Y$113:Y$141,NRG_shares!$T$113:$T$141,Techs!$Y29,NRG_shares!$U$113:$U$141,Techs!$AA29)</f>
        <v>1</v>
      </c>
      <c r="N29" s="386">
        <f>+SUMIFS(NRG_shares!Z$113:Z$141,NRG_shares!$T$113:$T$141,Techs!$Y29,NRG_shares!$U$113:$U$141,Techs!$AA29)</f>
        <v>0</v>
      </c>
      <c r="O29">
        <v>3</v>
      </c>
      <c r="P29" s="460">
        <f>NRG_shares!J27*NRG_shares!O27*Conversions!$B$3</f>
        <v>1.7804263670871297E-2</v>
      </c>
      <c r="Q29" s="491"/>
      <c r="R29" s="460" t="str">
        <v>I-CEM-DRR-COA-ETS_E0</v>
      </c>
      <c r="S29" s="460" t="s">
        <v>554</v>
      </c>
      <c r="T29" s="460" t="str">
        <v>CEMHET</v>
      </c>
      <c r="U29" s="386">
        <v>0</v>
      </c>
      <c r="V29" s="385">
        <v>3</v>
      </c>
      <c r="W29" s="460"/>
      <c r="X29" s="485" t="s">
        <v>352</v>
      </c>
      <c r="Y29" s="485" t="s">
        <v>387</v>
      </c>
      <c r="Z29" s="485" t="s">
        <v>394</v>
      </c>
      <c r="AA29" s="485" t="s">
        <v>420</v>
      </c>
      <c r="AB29" s="485" t="s">
        <v>358</v>
      </c>
      <c r="AC29" s="485"/>
      <c r="AD29" s="485"/>
      <c r="AE29" s="485" t="s">
        <v>388</v>
      </c>
      <c r="AF29" s="485" t="s">
        <v>442</v>
      </c>
      <c r="AG29" s="485"/>
      <c r="AH29" s="485" t="s">
        <v>522</v>
      </c>
      <c r="AI29" s="485" t="s">
        <v>523</v>
      </c>
      <c r="AJ29" s="485" t="s">
        <v>524</v>
      </c>
      <c r="AK29" s="485" t="s">
        <v>525</v>
      </c>
      <c r="AL29" s="485"/>
      <c r="AM29" s="486" t="str">
        <f t="shared" si="0"/>
        <v>I-CAF-DRR-OIL-NETS_E0</v>
      </c>
      <c r="AN29" s="486" t="str">
        <f t="shared" ref="AN29:AP29" si="28">+AM29</f>
        <v>I-CAF-DRR-OIL-NETS_E0</v>
      </c>
      <c r="AO29" s="486" t="str">
        <f t="shared" si="28"/>
        <v>I-CAF-DRR-OIL-NETS_E0</v>
      </c>
      <c r="AP29" s="486" t="str">
        <f t="shared" si="28"/>
        <v>I-CAF-DRR-OIL-NETS_E0</v>
      </c>
      <c r="AQ29" s="485"/>
    </row>
    <row r="30" spans="2:43">
      <c r="B30" t="str">
        <f t="shared" si="1"/>
        <v>I-CAF-BLR-GAS-NETS_E0</v>
      </c>
      <c r="C30" t="str">
        <f t="shared" si="2"/>
        <v>Industry - Chemicals - Boiler - Gas - Non-ETS</v>
      </c>
      <c r="D30" t="str">
        <f t="shared" si="3"/>
        <v>INDGAS</v>
      </c>
      <c r="E30" t="str">
        <f t="shared" si="4"/>
        <v>CAFHTH,CAFMTH,CAFLTH,CAFHET</v>
      </c>
      <c r="F30" s="386">
        <f>+NRG_shares!V28</f>
        <v>0.92</v>
      </c>
      <c r="G30">
        <v>25</v>
      </c>
      <c r="H30" s="460">
        <f t="shared" si="5"/>
        <v>7.0068207155751946E-2</v>
      </c>
      <c r="I30">
        <v>31.536000000000001</v>
      </c>
      <c r="J30">
        <v>0.9</v>
      </c>
      <c r="K30" s="386">
        <f>+SUMIFS(NRG_shares!W$113:W$141,NRG_shares!$T$113:$T$141,Techs!$Y30,NRG_shares!$U$113:$U$141,Techs!$AA30)</f>
        <v>0</v>
      </c>
      <c r="L30" s="386">
        <f>+SUMIFS(NRG_shares!X$113:X$141,NRG_shares!$T$113:$T$141,Techs!$Y30,NRG_shares!$U$113:$U$141,Techs!$AA30)</f>
        <v>0.1</v>
      </c>
      <c r="M30" s="386">
        <f>+SUMIFS(NRG_shares!Y$113:Y$141,NRG_shares!$T$113:$T$141,Techs!$Y30,NRG_shares!$U$113:$U$141,Techs!$AA30)</f>
        <v>0.7</v>
      </c>
      <c r="N30" s="386">
        <f>+SUMIFS(NRG_shares!Z$113:Z$141,NRG_shares!$T$113:$T$141,Techs!$Y30,NRG_shares!$U$113:$U$141,Techs!$AA30)</f>
        <v>0.2</v>
      </c>
      <c r="O30">
        <v>3</v>
      </c>
      <c r="P30" s="460">
        <f>NRG_shares!J28*NRG_shares!O28*Conversions!$B$3</f>
        <v>1.8499571002580599</v>
      </c>
      <c r="Q30" s="491"/>
      <c r="R30" s="460" t="str">
        <v>I-CEM-KLN-OIL-ETS_E0</v>
      </c>
      <c r="S30" s="460" t="s">
        <v>554</v>
      </c>
      <c r="T30" s="460" t="str">
        <v>CEMHTH</v>
      </c>
      <c r="U30" s="386">
        <v>1</v>
      </c>
      <c r="V30" s="385">
        <v>3</v>
      </c>
      <c r="W30" s="460"/>
      <c r="X30" s="485" t="s">
        <v>352</v>
      </c>
      <c r="Y30" s="485" t="s">
        <v>387</v>
      </c>
      <c r="Z30" s="485" t="s">
        <v>394</v>
      </c>
      <c r="AA30" s="485" t="s">
        <v>422</v>
      </c>
      <c r="AB30" s="485" t="s">
        <v>356</v>
      </c>
      <c r="AC30" s="485"/>
      <c r="AD30" s="485"/>
      <c r="AE30" s="485" t="s">
        <v>369</v>
      </c>
      <c r="AF30" s="485" t="s">
        <v>437</v>
      </c>
      <c r="AG30" s="485"/>
      <c r="AH30" s="485" t="s">
        <v>522</v>
      </c>
      <c r="AI30" s="485" t="s">
        <v>523</v>
      </c>
      <c r="AJ30" s="485" t="s">
        <v>524</v>
      </c>
      <c r="AK30" s="485" t="s">
        <v>525</v>
      </c>
      <c r="AL30" s="485"/>
      <c r="AM30" s="486" t="str">
        <f t="shared" si="0"/>
        <v>I-CAF-BLR-GAS-NETS_E0</v>
      </c>
      <c r="AN30" s="486" t="str">
        <f t="shared" ref="AN30:AP30" si="29">+AM30</f>
        <v>I-CAF-BLR-GAS-NETS_E0</v>
      </c>
      <c r="AO30" s="486" t="str">
        <f t="shared" si="29"/>
        <v>I-CAF-BLR-GAS-NETS_E0</v>
      </c>
      <c r="AP30" s="486" t="str">
        <f t="shared" si="29"/>
        <v>I-CAF-BLR-GAS-NETS_E0</v>
      </c>
      <c r="AQ30" s="485"/>
    </row>
    <row r="31" spans="2:43">
      <c r="B31" t="str">
        <f t="shared" si="1"/>
        <v>I-CAF-CHP-GAS-NETS_E0</v>
      </c>
      <c r="C31" t="str">
        <f t="shared" si="2"/>
        <v>Industry - Chemicals - CHP - Gas - Non-ETS</v>
      </c>
      <c r="D31" t="str">
        <f t="shared" si="3"/>
        <v>INDGAS</v>
      </c>
      <c r="E31" t="str">
        <f t="shared" si="4"/>
        <v>CAFHTH,CAFMTH,CAFLTH,CAFHET</v>
      </c>
      <c r="F31" s="386">
        <f>+NRG_shares!V29</f>
        <v>0.5</v>
      </c>
      <c r="G31">
        <v>25</v>
      </c>
      <c r="H31" s="460">
        <f t="shared" si="5"/>
        <v>1.0880156390644713E-2</v>
      </c>
      <c r="I31">
        <v>31.536000000000001</v>
      </c>
      <c r="J31">
        <v>0.9</v>
      </c>
      <c r="K31" s="386">
        <f>+SUMIFS(NRG_shares!W$113:W$141,NRG_shares!$T$113:$T$141,Techs!$Y31,NRG_shares!$U$113:$U$141,Techs!$AA31)</f>
        <v>0</v>
      </c>
      <c r="L31" s="386">
        <f>+SUMIFS(NRG_shares!X$113:X$141,NRG_shares!$T$113:$T$141,Techs!$Y31,NRG_shares!$U$113:$U$141,Techs!$AA31)</f>
        <v>1</v>
      </c>
      <c r="M31" s="386">
        <f>+SUMIFS(NRG_shares!Y$113:Y$141,NRG_shares!$T$113:$T$141,Techs!$Y31,NRG_shares!$U$113:$U$141,Techs!$AA31)</f>
        <v>0</v>
      </c>
      <c r="N31" s="386">
        <f>+SUMIFS(NRG_shares!Z$113:Z$141,NRG_shares!$T$113:$T$141,Techs!$Y31,NRG_shares!$U$113:$U$141,Techs!$AA31)</f>
        <v>0</v>
      </c>
      <c r="O31">
        <v>3</v>
      </c>
      <c r="P31" s="460">
        <f>NRG_shares!J29*NRG_shares!O29*Conversions!$B$3</f>
        <v>0.28726041929472979</v>
      </c>
      <c r="Q31" s="491"/>
      <c r="R31" s="460" t="str">
        <v>I-CEM-KLN-OIL-ETS_E0</v>
      </c>
      <c r="S31" s="460" t="s">
        <v>554</v>
      </c>
      <c r="T31" s="460" t="str">
        <v>CEMMTH</v>
      </c>
      <c r="U31" s="386">
        <v>0</v>
      </c>
      <c r="V31" s="385">
        <v>3</v>
      </c>
      <c r="W31" s="460"/>
      <c r="X31" s="485" t="s">
        <v>352</v>
      </c>
      <c r="Y31" s="485" t="s">
        <v>387</v>
      </c>
      <c r="Z31" s="485" t="s">
        <v>394</v>
      </c>
      <c r="AA31" s="485" t="s">
        <v>421</v>
      </c>
      <c r="AB31" s="485" t="s">
        <v>356</v>
      </c>
      <c r="AC31" s="485"/>
      <c r="AD31" s="485"/>
      <c r="AE31" s="485" t="s">
        <v>369</v>
      </c>
      <c r="AF31" s="485" t="s">
        <v>437</v>
      </c>
      <c r="AG31" s="485"/>
      <c r="AH31" s="485" t="s">
        <v>522</v>
      </c>
      <c r="AI31" s="485" t="s">
        <v>523</v>
      </c>
      <c r="AJ31" s="485" t="s">
        <v>524</v>
      </c>
      <c r="AK31" s="485" t="s">
        <v>525</v>
      </c>
      <c r="AL31" s="485"/>
      <c r="AM31" s="486" t="str">
        <f t="shared" si="0"/>
        <v>I-CAF-CHP-GAS-NETS_E0</v>
      </c>
      <c r="AN31" s="486" t="str">
        <f t="shared" ref="AN31:AP31" si="30">+AM31</f>
        <v>I-CAF-CHP-GAS-NETS_E0</v>
      </c>
      <c r="AO31" s="486" t="str">
        <f t="shared" si="30"/>
        <v>I-CAF-CHP-GAS-NETS_E0</v>
      </c>
      <c r="AP31" s="486" t="str">
        <f t="shared" si="30"/>
        <v>I-CAF-CHP-GAS-NETS_E0</v>
      </c>
      <c r="AQ31" s="485"/>
    </row>
    <row r="32" spans="2:43">
      <c r="B32" t="str">
        <f t="shared" si="1"/>
        <v>I-CAF-OVN-GAS-NETS_E0</v>
      </c>
      <c r="C32" t="str">
        <f t="shared" si="2"/>
        <v>Industry - Chemicals - Oven - Gas - Non-ETS</v>
      </c>
      <c r="D32" t="str">
        <f t="shared" si="3"/>
        <v>INDGAS</v>
      </c>
      <c r="E32" t="str">
        <f t="shared" si="4"/>
        <v>CAFHTH,CAFMTH,CAFLTH,CAFHET</v>
      </c>
      <c r="F32" s="386">
        <f>+NRG_shares!V30</f>
        <v>0.92000000000000015</v>
      </c>
      <c r="G32">
        <v>25</v>
      </c>
      <c r="H32" s="460">
        <f t="shared" si="5"/>
        <v>5.004871939696569E-3</v>
      </c>
      <c r="I32">
        <v>31.536000000000001</v>
      </c>
      <c r="J32">
        <v>0.9</v>
      </c>
      <c r="K32" s="386">
        <f>+SUMIFS(NRG_shares!W$113:W$141,NRG_shares!$T$113:$T$141,Techs!$Y32,NRG_shares!$U$113:$U$141,Techs!$AA32)</f>
        <v>0</v>
      </c>
      <c r="L32" s="386">
        <f>+SUMIFS(NRG_shares!X$113:X$141,NRG_shares!$T$113:$T$141,Techs!$Y32,NRG_shares!$U$113:$U$141,Techs!$AA32)</f>
        <v>0</v>
      </c>
      <c r="M32" s="386">
        <f>+SUMIFS(NRG_shares!Y$113:Y$141,NRG_shares!$T$113:$T$141,Techs!$Y32,NRG_shares!$U$113:$U$141,Techs!$AA32)</f>
        <v>1</v>
      </c>
      <c r="N32" s="386">
        <f>+SUMIFS(NRG_shares!Z$113:Z$141,NRG_shares!$T$113:$T$141,Techs!$Y32,NRG_shares!$U$113:$U$141,Techs!$AA32)</f>
        <v>0</v>
      </c>
      <c r="O32">
        <v>3</v>
      </c>
      <c r="P32" s="460">
        <f>NRG_shares!J30*NRG_shares!O30*Conversions!$B$3</f>
        <v>0.13213979287557573</v>
      </c>
      <c r="Q32" s="491"/>
      <c r="R32" s="460" t="str">
        <v>I-CEM-KLN-OIL-ETS_E0</v>
      </c>
      <c r="S32" s="460" t="s">
        <v>554</v>
      </c>
      <c r="T32" s="460" t="str">
        <v>CEMLTH</v>
      </c>
      <c r="U32" s="386">
        <v>0</v>
      </c>
      <c r="V32" s="385">
        <v>3</v>
      </c>
      <c r="W32" s="460"/>
      <c r="X32" s="485" t="s">
        <v>352</v>
      </c>
      <c r="Y32" s="485" t="s">
        <v>387</v>
      </c>
      <c r="Z32" s="485" t="s">
        <v>394</v>
      </c>
      <c r="AA32" s="485" t="s">
        <v>423</v>
      </c>
      <c r="AB32" s="485" t="s">
        <v>356</v>
      </c>
      <c r="AC32" s="485"/>
      <c r="AD32" s="485"/>
      <c r="AE32" s="485" t="s">
        <v>369</v>
      </c>
      <c r="AF32" s="485" t="s">
        <v>437</v>
      </c>
      <c r="AG32" s="485"/>
      <c r="AH32" s="485" t="s">
        <v>522</v>
      </c>
      <c r="AI32" s="485" t="s">
        <v>523</v>
      </c>
      <c r="AJ32" s="485" t="s">
        <v>524</v>
      </c>
      <c r="AK32" s="485" t="s">
        <v>525</v>
      </c>
      <c r="AL32" s="485"/>
      <c r="AM32" s="486" t="str">
        <f t="shared" si="0"/>
        <v>I-CAF-OVN-GAS-NETS_E0</v>
      </c>
      <c r="AN32" s="486" t="str">
        <f t="shared" ref="AN32:AP32" si="31">+AM32</f>
        <v>I-CAF-OVN-GAS-NETS_E0</v>
      </c>
      <c r="AO32" s="486" t="str">
        <f t="shared" si="31"/>
        <v>I-CAF-OVN-GAS-NETS_E0</v>
      </c>
      <c r="AP32" s="486" t="str">
        <f t="shared" si="31"/>
        <v>I-CAF-OVN-GAS-NETS_E0</v>
      </c>
      <c r="AQ32" s="485"/>
    </row>
    <row r="33" spans="2:43">
      <c r="B33" t="str">
        <f t="shared" si="1"/>
        <v>I-CAF-DRR-GAS-NETS_E0</v>
      </c>
      <c r="C33" t="str">
        <f t="shared" si="2"/>
        <v>Industry - Chemicals - Dryer - Gas - Non-ETS</v>
      </c>
      <c r="D33" t="str">
        <f t="shared" si="3"/>
        <v>INDGAS</v>
      </c>
      <c r="E33" t="str">
        <f t="shared" si="4"/>
        <v>CAFHTH,CAFMTH,CAFLTH,CAFHET</v>
      </c>
      <c r="F33" s="386">
        <f>+NRG_shares!V31</f>
        <v>0.92000000000000015</v>
      </c>
      <c r="G33">
        <v>25</v>
      </c>
      <c r="H33" s="460">
        <f t="shared" si="5"/>
        <v>5.004871939696569E-3</v>
      </c>
      <c r="I33">
        <v>31.536000000000001</v>
      </c>
      <c r="J33">
        <v>0.9</v>
      </c>
      <c r="K33" s="386">
        <f>+SUMIFS(NRG_shares!W$113:W$141,NRG_shares!$T$113:$T$141,Techs!$Y33,NRG_shares!$U$113:$U$141,Techs!$AA33)</f>
        <v>0</v>
      </c>
      <c r="L33" s="386">
        <f>+SUMIFS(NRG_shares!X$113:X$141,NRG_shares!$T$113:$T$141,Techs!$Y33,NRG_shares!$U$113:$U$141,Techs!$AA33)</f>
        <v>0</v>
      </c>
      <c r="M33" s="386">
        <f>+SUMIFS(NRG_shares!Y$113:Y$141,NRG_shares!$T$113:$T$141,Techs!$Y33,NRG_shares!$U$113:$U$141,Techs!$AA33)</f>
        <v>1</v>
      </c>
      <c r="N33" s="386">
        <f>+SUMIFS(NRG_shares!Z$113:Z$141,NRG_shares!$T$113:$T$141,Techs!$Y33,NRG_shares!$U$113:$U$141,Techs!$AA33)</f>
        <v>0</v>
      </c>
      <c r="O33">
        <v>3</v>
      </c>
      <c r="P33" s="460">
        <f>NRG_shares!J31*NRG_shares!O31*Conversions!$B$3</f>
        <v>0.13213979287557573</v>
      </c>
      <c r="Q33" s="491"/>
      <c r="R33" s="460" t="str">
        <v>I-CEM-KLN-OIL-ETS_E0</v>
      </c>
      <c r="S33" s="460" t="s">
        <v>554</v>
      </c>
      <c r="T33" s="460" t="str">
        <v>CEMHET</v>
      </c>
      <c r="U33" s="386">
        <v>0</v>
      </c>
      <c r="V33" s="385">
        <v>3</v>
      </c>
      <c r="W33" s="460"/>
      <c r="X33" s="485" t="s">
        <v>352</v>
      </c>
      <c r="Y33" s="485" t="s">
        <v>387</v>
      </c>
      <c r="Z33" s="485" t="s">
        <v>394</v>
      </c>
      <c r="AA33" s="485" t="s">
        <v>420</v>
      </c>
      <c r="AB33" s="485" t="s">
        <v>356</v>
      </c>
      <c r="AC33" s="485"/>
      <c r="AD33" s="485"/>
      <c r="AE33" s="485" t="s">
        <v>372</v>
      </c>
      <c r="AF33" s="485" t="s">
        <v>443</v>
      </c>
      <c r="AG33" s="485"/>
      <c r="AH33" s="485" t="s">
        <v>522</v>
      </c>
      <c r="AI33" s="485" t="s">
        <v>523</v>
      </c>
      <c r="AJ33" s="485" t="s">
        <v>524</v>
      </c>
      <c r="AK33" s="485" t="s">
        <v>525</v>
      </c>
      <c r="AL33" s="485"/>
      <c r="AM33" s="486" t="str">
        <f t="shared" si="0"/>
        <v>I-CAF-DRR-GAS-NETS_E0</v>
      </c>
      <c r="AN33" s="486" t="str">
        <f t="shared" ref="AN33:AP33" si="32">+AM33</f>
        <v>I-CAF-DRR-GAS-NETS_E0</v>
      </c>
      <c r="AO33" s="486" t="str">
        <f t="shared" si="32"/>
        <v>I-CAF-DRR-GAS-NETS_E0</v>
      </c>
      <c r="AP33" s="486" t="str">
        <f t="shared" si="32"/>
        <v>I-CAF-DRR-GAS-NETS_E0</v>
      </c>
      <c r="AQ33" s="485"/>
    </row>
    <row r="34" spans="2:43">
      <c r="B34" t="str">
        <f t="shared" si="1"/>
        <v>I-FAP-BLR-BIO-ETS_E0</v>
      </c>
      <c r="C34" t="str">
        <f t="shared" si="2"/>
        <v>Industry - Food and Drink - Boiler - Bio fuel - ETS</v>
      </c>
      <c r="D34" t="str">
        <f t="shared" si="3"/>
        <v>INDBIO</v>
      </c>
      <c r="E34" t="str">
        <f t="shared" si="4"/>
        <v>FAPHTH,FAPMTH,FAPLTH,FAPHET</v>
      </c>
      <c r="F34" s="386">
        <f>+NRG_shares!V32</f>
        <v>0.92</v>
      </c>
      <c r="G34">
        <v>25</v>
      </c>
      <c r="H34" s="460">
        <f t="shared" si="5"/>
        <v>7.5206427677577525E-3</v>
      </c>
      <c r="I34">
        <v>31.536000000000001</v>
      </c>
      <c r="J34">
        <v>0.9</v>
      </c>
      <c r="K34" s="386">
        <f>+SUMIFS(NRG_shares!W$113:W$141,NRG_shares!$T$113:$T$141,Techs!$Y34,NRG_shares!$U$113:$U$141,Techs!$AA34)</f>
        <v>0</v>
      </c>
      <c r="L34" s="386">
        <f>+SUMIFS(NRG_shares!X$113:X$141,NRG_shares!$T$113:$T$141,Techs!$Y34,NRG_shares!$U$113:$U$141,Techs!$AA34)</f>
        <v>0.10000000000000002</v>
      </c>
      <c r="M34" s="386">
        <f>+SUMIFS(NRG_shares!Y$113:Y$141,NRG_shares!$T$113:$T$141,Techs!$Y34,NRG_shares!$U$113:$U$141,Techs!$AA34)</f>
        <v>0.60000000000000009</v>
      </c>
      <c r="N34" s="386">
        <f>+SUMIFS(NRG_shares!Z$113:Z$141,NRG_shares!$T$113:$T$141,Techs!$Y34,NRG_shares!$U$113:$U$141,Techs!$AA34)</f>
        <v>0.30000000000000004</v>
      </c>
      <c r="O34">
        <v>3</v>
      </c>
      <c r="P34" s="460">
        <f>NRG_shares!J32*NRG_shares!O32*Conversions!$B$3</f>
        <v>0.1985617593410304</v>
      </c>
      <c r="Q34" s="491"/>
      <c r="R34" s="460" t="str">
        <v>I-CEM-DRR-OIL-ETS_E0</v>
      </c>
      <c r="S34" s="460" t="s">
        <v>554</v>
      </c>
      <c r="T34" s="460" t="str">
        <v>CEMHTH</v>
      </c>
      <c r="U34" s="386">
        <v>0</v>
      </c>
      <c r="V34" s="385">
        <v>3</v>
      </c>
      <c r="W34" s="460"/>
      <c r="X34" s="485" t="s">
        <v>352</v>
      </c>
      <c r="Y34" s="485" t="s">
        <v>377</v>
      </c>
      <c r="Z34" s="485" t="s">
        <v>354</v>
      </c>
      <c r="AA34" s="485" t="s">
        <v>422</v>
      </c>
      <c r="AB34" s="485" t="s">
        <v>374</v>
      </c>
      <c r="AC34" s="485"/>
      <c r="AD34" s="485"/>
      <c r="AE34" s="485" t="s">
        <v>372</v>
      </c>
      <c r="AF34" s="485" t="s">
        <v>443</v>
      </c>
      <c r="AG34" s="485"/>
      <c r="AH34" s="485" t="s">
        <v>526</v>
      </c>
      <c r="AI34" s="485" t="s">
        <v>527</v>
      </c>
      <c r="AJ34" s="485" t="s">
        <v>528</v>
      </c>
      <c r="AK34" s="485" t="s">
        <v>529</v>
      </c>
      <c r="AL34" s="485"/>
      <c r="AM34" s="486" t="str">
        <f t="shared" si="0"/>
        <v>I-FAP-BLR-BIO-ETS_E0</v>
      </c>
      <c r="AN34" s="486" t="str">
        <f t="shared" ref="AN34:AP34" si="33">+AM34</f>
        <v>I-FAP-BLR-BIO-ETS_E0</v>
      </c>
      <c r="AO34" s="486" t="str">
        <f t="shared" si="33"/>
        <v>I-FAP-BLR-BIO-ETS_E0</v>
      </c>
      <c r="AP34" s="486" t="str">
        <f t="shared" si="33"/>
        <v>I-FAP-BLR-BIO-ETS_E0</v>
      </c>
      <c r="AQ34" s="485"/>
    </row>
    <row r="35" spans="2:43">
      <c r="B35" t="str">
        <f t="shared" si="1"/>
        <v>I-FAP-CHP-BIO-ETS_E0</v>
      </c>
      <c r="C35" t="str">
        <f t="shared" si="2"/>
        <v>Industry - Food and Drink - CHP - Bio fuel - ETS</v>
      </c>
      <c r="D35" t="str">
        <f t="shared" si="3"/>
        <v>INDBIO</v>
      </c>
      <c r="E35" t="str">
        <f t="shared" si="4"/>
        <v>FAPHTH,FAPMTH,FAPLTH,FAPHET</v>
      </c>
      <c r="F35" s="386">
        <f>+NRG_shares!V33</f>
        <v>0.5</v>
      </c>
      <c r="G35">
        <v>25</v>
      </c>
      <c r="H35" s="460">
        <f t="shared" si="5"/>
        <v>4.5982190835475393E-3</v>
      </c>
      <c r="I35">
        <v>31.536000000000001</v>
      </c>
      <c r="J35">
        <v>0.9</v>
      </c>
      <c r="K35" s="386">
        <f>+SUMIFS(NRG_shares!W$113:W$141,NRG_shares!$T$113:$T$141,Techs!$Y35,NRG_shares!$U$113:$U$141,Techs!$AA35)</f>
        <v>0</v>
      </c>
      <c r="L35" s="386">
        <f>+SUMIFS(NRG_shares!X$113:X$141,NRG_shares!$T$113:$T$141,Techs!$Y35,NRG_shares!$U$113:$U$141,Techs!$AA35)</f>
        <v>0</v>
      </c>
      <c r="M35" s="386">
        <f>+SUMIFS(NRG_shares!Y$113:Y$141,NRG_shares!$T$113:$T$141,Techs!$Y35,NRG_shares!$U$113:$U$141,Techs!$AA35)</f>
        <v>1</v>
      </c>
      <c r="N35" s="386">
        <f>+SUMIFS(NRG_shares!Z$113:Z$141,NRG_shares!$T$113:$T$141,Techs!$Y35,NRG_shares!$U$113:$U$141,Techs!$AA35)</f>
        <v>0</v>
      </c>
      <c r="O35">
        <v>3</v>
      </c>
      <c r="P35" s="460">
        <f>NRG_shares!J33*NRG_shares!O33*Conversions!$B$3</f>
        <v>0.12140324959709738</v>
      </c>
      <c r="Q35" s="491"/>
      <c r="R35" s="460" t="str">
        <v>I-CEM-DRR-OIL-ETS_E0</v>
      </c>
      <c r="S35" s="460" t="s">
        <v>554</v>
      </c>
      <c r="T35" s="460" t="str">
        <v>CEMMTH</v>
      </c>
      <c r="U35" s="386">
        <v>1</v>
      </c>
      <c r="V35" s="385">
        <v>3</v>
      </c>
      <c r="W35" s="460"/>
      <c r="X35" s="485" t="s">
        <v>352</v>
      </c>
      <c r="Y35" s="485" t="s">
        <v>377</v>
      </c>
      <c r="Z35" s="485" t="s">
        <v>354</v>
      </c>
      <c r="AA35" s="485" t="s">
        <v>421</v>
      </c>
      <c r="AB35" s="485" t="s">
        <v>374</v>
      </c>
      <c r="AC35" s="485"/>
      <c r="AD35" s="485"/>
      <c r="AE35" s="485" t="s">
        <v>419</v>
      </c>
      <c r="AF35" s="485" t="s">
        <v>444</v>
      </c>
      <c r="AG35" s="485"/>
      <c r="AH35" s="485" t="s">
        <v>526</v>
      </c>
      <c r="AI35" s="485" t="s">
        <v>527</v>
      </c>
      <c r="AJ35" s="485" t="s">
        <v>528</v>
      </c>
      <c r="AK35" s="485" t="s">
        <v>529</v>
      </c>
      <c r="AL35" s="485"/>
      <c r="AM35" s="486" t="str">
        <f t="shared" si="0"/>
        <v>I-FAP-CHP-BIO-ETS_E0</v>
      </c>
      <c r="AN35" s="486" t="str">
        <f t="shared" ref="AN35:AP35" si="34">+AM35</f>
        <v>I-FAP-CHP-BIO-ETS_E0</v>
      </c>
      <c r="AO35" s="486" t="str">
        <f t="shared" si="34"/>
        <v>I-FAP-CHP-BIO-ETS_E0</v>
      </c>
      <c r="AP35" s="486" t="str">
        <f t="shared" si="34"/>
        <v>I-FAP-CHP-BIO-ETS_E0</v>
      </c>
      <c r="AQ35" s="485"/>
    </row>
    <row r="36" spans="2:43">
      <c r="B36" t="str">
        <f t="shared" si="1"/>
        <v>I-FAP-OVN-BIO-ETS_E0</v>
      </c>
      <c r="C36" t="str">
        <f t="shared" si="2"/>
        <v>Industry - Food and Drink - Oven - Bio fuel - ETS</v>
      </c>
      <c r="D36" t="str">
        <f t="shared" si="3"/>
        <v>INDBIO</v>
      </c>
      <c r="E36" t="str">
        <f t="shared" si="4"/>
        <v>FAPHTH,FAPMTH,FAPLTH,FAPHET</v>
      </c>
      <c r="F36" s="386">
        <f>+NRG_shares!V34</f>
        <v>0.92</v>
      </c>
      <c r="G36">
        <v>25</v>
      </c>
      <c r="H36" s="460">
        <f t="shared" si="5"/>
        <v>1.8801606919394381E-3</v>
      </c>
      <c r="I36">
        <v>31.536000000000001</v>
      </c>
      <c r="J36">
        <v>0.9</v>
      </c>
      <c r="K36" s="386">
        <f>+SUMIFS(NRG_shares!W$113:W$141,NRG_shares!$T$113:$T$141,Techs!$Y36,NRG_shares!$U$113:$U$141,Techs!$AA36)</f>
        <v>0</v>
      </c>
      <c r="L36" s="386">
        <f>+SUMIFS(NRG_shares!X$113:X$141,NRG_shares!$T$113:$T$141,Techs!$Y36,NRG_shares!$U$113:$U$141,Techs!$AA36)</f>
        <v>1</v>
      </c>
      <c r="M36" s="386">
        <f>+SUMIFS(NRG_shares!Y$113:Y$141,NRG_shares!$T$113:$T$141,Techs!$Y36,NRG_shares!$U$113:$U$141,Techs!$AA36)</f>
        <v>0</v>
      </c>
      <c r="N36" s="386">
        <f>+SUMIFS(NRG_shares!Z$113:Z$141,NRG_shares!$T$113:$T$141,Techs!$Y36,NRG_shares!$U$113:$U$141,Techs!$AA36)</f>
        <v>0</v>
      </c>
      <c r="O36">
        <v>3</v>
      </c>
      <c r="P36" s="460">
        <f>NRG_shares!J34*NRG_shares!O34*Conversions!$B$3</f>
        <v>4.9640439835257601E-2</v>
      </c>
      <c r="Q36" s="491"/>
      <c r="R36" s="460" t="str">
        <v>I-CEM-DRR-OIL-ETS_E0</v>
      </c>
      <c r="S36" s="460" t="s">
        <v>554</v>
      </c>
      <c r="T36" s="460" t="str">
        <v>CEMLTH</v>
      </c>
      <c r="U36" s="386">
        <v>0</v>
      </c>
      <c r="V36" s="385">
        <v>3</v>
      </c>
      <c r="W36" s="460"/>
      <c r="X36" s="485" t="s">
        <v>352</v>
      </c>
      <c r="Y36" s="485" t="s">
        <v>377</v>
      </c>
      <c r="Z36" s="485" t="s">
        <v>354</v>
      </c>
      <c r="AA36" s="485" t="s">
        <v>423</v>
      </c>
      <c r="AB36" s="485" t="s">
        <v>374</v>
      </c>
      <c r="AC36" s="485"/>
      <c r="AD36" s="485"/>
      <c r="AE36" s="485" t="s">
        <v>420</v>
      </c>
      <c r="AF36" s="485" t="s">
        <v>445</v>
      </c>
      <c r="AG36" s="485"/>
      <c r="AH36" s="485" t="s">
        <v>526</v>
      </c>
      <c r="AI36" s="485" t="s">
        <v>527</v>
      </c>
      <c r="AJ36" s="485" t="s">
        <v>528</v>
      </c>
      <c r="AK36" s="485" t="s">
        <v>529</v>
      </c>
      <c r="AL36" s="485"/>
      <c r="AM36" s="486" t="str">
        <f t="shared" si="0"/>
        <v>I-FAP-OVN-BIO-ETS_E0</v>
      </c>
      <c r="AN36" s="486" t="str">
        <f t="shared" ref="AN36:AP36" si="35">+AM36</f>
        <v>I-FAP-OVN-BIO-ETS_E0</v>
      </c>
      <c r="AO36" s="486" t="str">
        <f t="shared" si="35"/>
        <v>I-FAP-OVN-BIO-ETS_E0</v>
      </c>
      <c r="AP36" s="486" t="str">
        <f t="shared" si="35"/>
        <v>I-FAP-OVN-BIO-ETS_E0</v>
      </c>
      <c r="AQ36" s="485"/>
    </row>
    <row r="37" spans="2:43">
      <c r="B37" t="str">
        <f t="shared" si="1"/>
        <v>I-FAP-DRR-BIO-ETS_E0</v>
      </c>
      <c r="C37" t="str">
        <f t="shared" si="2"/>
        <v>Industry - Food and Drink - Dryer - Bio fuel - ETS</v>
      </c>
      <c r="D37" t="str">
        <f t="shared" si="3"/>
        <v>INDBIO</v>
      </c>
      <c r="E37" t="str">
        <f t="shared" si="4"/>
        <v>FAPHTH,FAPMTH,FAPLTH,FAPHET</v>
      </c>
      <c r="F37" s="386">
        <f>+NRG_shares!V35</f>
        <v>0.92</v>
      </c>
      <c r="G37">
        <v>25</v>
      </c>
      <c r="H37" s="460">
        <f t="shared" si="5"/>
        <v>0</v>
      </c>
      <c r="I37">
        <v>31.536000000000001</v>
      </c>
      <c r="J37">
        <v>0.9</v>
      </c>
      <c r="K37" s="386">
        <f>+SUMIFS(NRG_shares!W$113:W$141,NRG_shares!$T$113:$T$141,Techs!$Y37,NRG_shares!$U$113:$U$141,Techs!$AA37)</f>
        <v>0</v>
      </c>
      <c r="L37" s="386">
        <f>+SUMIFS(NRG_shares!X$113:X$141,NRG_shares!$T$113:$T$141,Techs!$Y37,NRG_shares!$U$113:$U$141,Techs!$AA37)</f>
        <v>0</v>
      </c>
      <c r="M37" s="386">
        <f>+SUMIFS(NRG_shares!Y$113:Y$141,NRG_shares!$T$113:$T$141,Techs!$Y37,NRG_shares!$U$113:$U$141,Techs!$AA37)</f>
        <v>0</v>
      </c>
      <c r="N37" s="386">
        <f>+SUMIFS(NRG_shares!Z$113:Z$141,NRG_shares!$T$113:$T$141,Techs!$Y37,NRG_shares!$U$113:$U$141,Techs!$AA37)</f>
        <v>1</v>
      </c>
      <c r="O37">
        <v>3</v>
      </c>
      <c r="P37" s="460">
        <f>NRG_shares!J35*NRG_shares!O35*Conversions!$B$3</f>
        <v>2.48202199176288E-2</v>
      </c>
      <c r="Q37" s="491"/>
      <c r="R37" s="460" t="str">
        <v>I-CEM-DRR-OIL-ETS_E0</v>
      </c>
      <c r="S37" s="460" t="s">
        <v>554</v>
      </c>
      <c r="T37" s="460" t="str">
        <v>CEMHET</v>
      </c>
      <c r="U37" s="386">
        <v>0</v>
      </c>
      <c r="V37" s="385">
        <v>3</v>
      </c>
      <c r="W37" s="460"/>
      <c r="X37" s="485" t="s">
        <v>352</v>
      </c>
      <c r="Y37" s="485" t="s">
        <v>377</v>
      </c>
      <c r="Z37" s="485" t="s">
        <v>354</v>
      </c>
      <c r="AA37" s="485" t="s">
        <v>420</v>
      </c>
      <c r="AB37" s="485" t="s">
        <v>374</v>
      </c>
      <c r="AC37" s="485"/>
      <c r="AD37" s="485"/>
      <c r="AE37" s="485" t="s">
        <v>420</v>
      </c>
      <c r="AF37" s="485" t="s">
        <v>445</v>
      </c>
      <c r="AG37" s="485"/>
      <c r="AH37" s="485" t="s">
        <v>526</v>
      </c>
      <c r="AI37" s="485" t="s">
        <v>527</v>
      </c>
      <c r="AJ37" s="485" t="s">
        <v>528</v>
      </c>
      <c r="AK37" s="485" t="s">
        <v>529</v>
      </c>
      <c r="AL37" s="485"/>
      <c r="AM37" s="486" t="str">
        <f t="shared" si="0"/>
        <v>I-FAP-DRR-BIO-ETS_E0</v>
      </c>
      <c r="AN37" s="486" t="str">
        <f t="shared" ref="AN37:AP37" si="36">+AM37</f>
        <v>I-FAP-DRR-BIO-ETS_E0</v>
      </c>
      <c r="AO37" s="486" t="str">
        <f t="shared" si="36"/>
        <v>I-FAP-DRR-BIO-ETS_E0</v>
      </c>
      <c r="AP37" s="486" t="str">
        <f t="shared" si="36"/>
        <v>I-FAP-DRR-BIO-ETS_E0</v>
      </c>
      <c r="AQ37" s="485"/>
    </row>
    <row r="38" spans="2:43">
      <c r="B38" t="str">
        <f t="shared" si="1"/>
        <v>I-FAP-BLR-OIL-ETS_E0</v>
      </c>
      <c r="C38" t="str">
        <f t="shared" si="2"/>
        <v>Industry - Food and Drink - Boiler - Oil - ETS</v>
      </c>
      <c r="D38" t="str">
        <f t="shared" si="3"/>
        <v>INDOIL</v>
      </c>
      <c r="E38" t="str">
        <f t="shared" si="4"/>
        <v>FAPHTH,FAPMTH,FAPLTH,FAPHET</v>
      </c>
      <c r="F38" s="386">
        <f>+NRG_shares!V36</f>
        <v>0.92</v>
      </c>
      <c r="G38">
        <v>25</v>
      </c>
      <c r="H38" s="460">
        <f t="shared" si="5"/>
        <v>1.3555095816641686E-2</v>
      </c>
      <c r="I38">
        <v>31.536000000000001</v>
      </c>
      <c r="J38">
        <v>0.9</v>
      </c>
      <c r="K38" s="386">
        <f>+SUMIFS(NRG_shares!W$113:W$141,NRG_shares!$T$113:$T$141,Techs!$Y38,NRG_shares!$U$113:$U$141,Techs!$AA38)</f>
        <v>0</v>
      </c>
      <c r="L38" s="386">
        <f>+SUMIFS(NRG_shares!X$113:X$141,NRG_shares!$T$113:$T$141,Techs!$Y38,NRG_shares!$U$113:$U$141,Techs!$AA38)</f>
        <v>0.10000000000000002</v>
      </c>
      <c r="M38" s="386">
        <f>+SUMIFS(NRG_shares!Y$113:Y$141,NRG_shares!$T$113:$T$141,Techs!$Y38,NRG_shares!$U$113:$U$141,Techs!$AA38)</f>
        <v>0.60000000000000009</v>
      </c>
      <c r="N38" s="386">
        <f>+SUMIFS(NRG_shares!Z$113:Z$141,NRG_shares!$T$113:$T$141,Techs!$Y38,NRG_shares!$U$113:$U$141,Techs!$AA38)</f>
        <v>0.30000000000000004</v>
      </c>
      <c r="O38">
        <v>3</v>
      </c>
      <c r="P38" s="460">
        <f>NRG_shares!J36*NRG_shares!O36*Conversions!$B$3</f>
        <v>0.35788479209883817</v>
      </c>
      <c r="Q38" s="491"/>
      <c r="R38" s="460" t="str">
        <v>I-CEM-KLN-GAS-ETS_E0</v>
      </c>
      <c r="S38" s="460" t="s">
        <v>554</v>
      </c>
      <c r="T38" s="460" t="str">
        <v>CEMHTH</v>
      </c>
      <c r="U38" s="386">
        <v>1</v>
      </c>
      <c r="V38" s="385">
        <v>3</v>
      </c>
      <c r="W38" s="460"/>
      <c r="X38" s="485" t="s">
        <v>352</v>
      </c>
      <c r="Y38" s="485" t="s">
        <v>377</v>
      </c>
      <c r="Z38" s="485" t="s">
        <v>354</v>
      </c>
      <c r="AA38" s="485" t="s">
        <v>422</v>
      </c>
      <c r="AB38" s="485" t="s">
        <v>358</v>
      </c>
      <c r="AC38" s="485"/>
      <c r="AD38" s="485"/>
      <c r="AE38" s="485" t="s">
        <v>421</v>
      </c>
      <c r="AF38" s="485" t="s">
        <v>421</v>
      </c>
      <c r="AG38" s="485"/>
      <c r="AH38" s="485" t="s">
        <v>526</v>
      </c>
      <c r="AI38" s="485" t="s">
        <v>527</v>
      </c>
      <c r="AJ38" s="485" t="s">
        <v>528</v>
      </c>
      <c r="AK38" s="485" t="s">
        <v>529</v>
      </c>
      <c r="AL38" s="485"/>
      <c r="AM38" s="486" t="str">
        <f t="shared" ref="AM38:AM69" si="37">+B38</f>
        <v>I-FAP-BLR-OIL-ETS_E0</v>
      </c>
      <c r="AN38" s="486" t="str">
        <f t="shared" ref="AN38:AP38" si="38">+AM38</f>
        <v>I-FAP-BLR-OIL-ETS_E0</v>
      </c>
      <c r="AO38" s="486" t="str">
        <f t="shared" si="38"/>
        <v>I-FAP-BLR-OIL-ETS_E0</v>
      </c>
      <c r="AP38" s="486" t="str">
        <f t="shared" si="38"/>
        <v>I-FAP-BLR-OIL-ETS_E0</v>
      </c>
      <c r="AQ38" s="485"/>
    </row>
    <row r="39" spans="2:43">
      <c r="B39" t="str">
        <f t="shared" si="1"/>
        <v>I-FAP-CHP-OIL-ETS_E0</v>
      </c>
      <c r="C39" t="str">
        <f t="shared" si="2"/>
        <v>Industry - Food and Drink - CHP - Oil - ETS</v>
      </c>
      <c r="D39" t="str">
        <f t="shared" si="3"/>
        <v>INDOIL</v>
      </c>
      <c r="E39" t="str">
        <f t="shared" si="4"/>
        <v>FAPHTH,FAPMTH,FAPLTH,FAPHET</v>
      </c>
      <c r="F39" s="386">
        <f>+NRG_shares!V37</f>
        <v>0.5</v>
      </c>
      <c r="G39">
        <v>25</v>
      </c>
      <c r="H39" s="460">
        <f t="shared" si="5"/>
        <v>8.2877623878923317E-3</v>
      </c>
      <c r="I39">
        <v>31.536000000000001</v>
      </c>
      <c r="J39">
        <v>0.9</v>
      </c>
      <c r="K39" s="386">
        <f>+SUMIFS(NRG_shares!W$113:W$141,NRG_shares!$T$113:$T$141,Techs!$Y39,NRG_shares!$U$113:$U$141,Techs!$AA39)</f>
        <v>0</v>
      </c>
      <c r="L39" s="386">
        <f>+SUMIFS(NRG_shares!X$113:X$141,NRG_shares!$T$113:$T$141,Techs!$Y39,NRG_shares!$U$113:$U$141,Techs!$AA39)</f>
        <v>0</v>
      </c>
      <c r="M39" s="386">
        <f>+SUMIFS(NRG_shares!Y$113:Y$141,NRG_shares!$T$113:$T$141,Techs!$Y39,NRG_shares!$U$113:$U$141,Techs!$AA39)</f>
        <v>1</v>
      </c>
      <c r="N39" s="386">
        <f>+SUMIFS(NRG_shares!Z$113:Z$141,NRG_shares!$T$113:$T$141,Techs!$Y39,NRG_shares!$U$113:$U$141,Techs!$AA39)</f>
        <v>0</v>
      </c>
      <c r="O39">
        <v>3</v>
      </c>
      <c r="P39" s="460">
        <f>NRG_shares!J37*NRG_shares!O37*Conversions!$B$3</f>
        <v>0.21881542995173522</v>
      </c>
      <c r="Q39" s="491"/>
      <c r="R39" s="460" t="str">
        <v>I-CEM-KLN-GAS-ETS_E0</v>
      </c>
      <c r="S39" s="460" t="s">
        <v>554</v>
      </c>
      <c r="T39" s="460" t="str">
        <v>CEMMTH</v>
      </c>
      <c r="U39" s="386">
        <v>0</v>
      </c>
      <c r="V39" s="385">
        <v>3</v>
      </c>
      <c r="W39" s="460"/>
      <c r="X39" s="485" t="s">
        <v>352</v>
      </c>
      <c r="Y39" s="485" t="s">
        <v>377</v>
      </c>
      <c r="Z39" s="485" t="s">
        <v>354</v>
      </c>
      <c r="AA39" s="485" t="s">
        <v>421</v>
      </c>
      <c r="AB39" s="485" t="s">
        <v>358</v>
      </c>
      <c r="AC39" s="485"/>
      <c r="AD39" s="485"/>
      <c r="AE39" s="485" t="s">
        <v>422</v>
      </c>
      <c r="AF39" s="485" t="s">
        <v>447</v>
      </c>
      <c r="AG39" s="485"/>
      <c r="AH39" s="485" t="s">
        <v>526</v>
      </c>
      <c r="AI39" s="485" t="s">
        <v>527</v>
      </c>
      <c r="AJ39" s="485" t="s">
        <v>528</v>
      </c>
      <c r="AK39" s="485" t="s">
        <v>529</v>
      </c>
      <c r="AL39" s="485"/>
      <c r="AM39" s="486" t="str">
        <f t="shared" si="37"/>
        <v>I-FAP-CHP-OIL-ETS_E0</v>
      </c>
      <c r="AN39" s="486" t="str">
        <f t="shared" ref="AN39:AP39" si="39">+AM39</f>
        <v>I-FAP-CHP-OIL-ETS_E0</v>
      </c>
      <c r="AO39" s="486" t="str">
        <f t="shared" si="39"/>
        <v>I-FAP-CHP-OIL-ETS_E0</v>
      </c>
      <c r="AP39" s="486" t="str">
        <f t="shared" si="39"/>
        <v>I-FAP-CHP-OIL-ETS_E0</v>
      </c>
      <c r="AQ39" s="485"/>
    </row>
    <row r="40" spans="2:43">
      <c r="B40" t="str">
        <f t="shared" si="1"/>
        <v>I-FAP-OVN-OIL-ETS_E0</v>
      </c>
      <c r="C40" t="str">
        <f t="shared" si="2"/>
        <v>Industry - Food and Drink - Oven - Oil - ETS</v>
      </c>
      <c r="D40" t="str">
        <f t="shared" si="3"/>
        <v>INDOIL</v>
      </c>
      <c r="E40" t="str">
        <f t="shared" si="4"/>
        <v>FAPHTH,FAPMTH,FAPLTH,FAPHET</v>
      </c>
      <c r="F40" s="386">
        <f>+NRG_shares!V38</f>
        <v>0.92</v>
      </c>
      <c r="G40">
        <v>25</v>
      </c>
      <c r="H40" s="460">
        <f t="shared" si="5"/>
        <v>3.3887739541604216E-3</v>
      </c>
      <c r="I40">
        <v>31.536000000000001</v>
      </c>
      <c r="J40">
        <v>0.9</v>
      </c>
      <c r="K40" s="386">
        <f>+SUMIFS(NRG_shares!W$113:W$141,NRG_shares!$T$113:$T$141,Techs!$Y40,NRG_shares!$U$113:$U$141,Techs!$AA40)</f>
        <v>0</v>
      </c>
      <c r="L40" s="386">
        <f>+SUMIFS(NRG_shares!X$113:X$141,NRG_shares!$T$113:$T$141,Techs!$Y40,NRG_shares!$U$113:$U$141,Techs!$AA40)</f>
        <v>1</v>
      </c>
      <c r="M40" s="386">
        <f>+SUMIFS(NRG_shares!Y$113:Y$141,NRG_shares!$T$113:$T$141,Techs!$Y40,NRG_shares!$U$113:$U$141,Techs!$AA40)</f>
        <v>0</v>
      </c>
      <c r="N40" s="386">
        <f>+SUMIFS(NRG_shares!Z$113:Z$141,NRG_shares!$T$113:$T$141,Techs!$Y40,NRG_shares!$U$113:$U$141,Techs!$AA40)</f>
        <v>0</v>
      </c>
      <c r="O40">
        <v>3</v>
      </c>
      <c r="P40" s="460">
        <f>NRG_shares!J38*NRG_shares!O38*Conversions!$B$3</f>
        <v>8.9471198024709542E-2</v>
      </c>
      <c r="Q40" s="491"/>
      <c r="R40" s="460" t="str">
        <v>I-CEM-KLN-GAS-ETS_E0</v>
      </c>
      <c r="S40" s="460" t="s">
        <v>554</v>
      </c>
      <c r="T40" s="460" t="str">
        <v>CEMLTH</v>
      </c>
      <c r="U40" s="386">
        <v>0</v>
      </c>
      <c r="V40" s="385">
        <v>3</v>
      </c>
      <c r="W40" s="460"/>
      <c r="X40" s="485" t="s">
        <v>352</v>
      </c>
      <c r="Y40" s="485" t="s">
        <v>377</v>
      </c>
      <c r="Z40" s="485" t="s">
        <v>354</v>
      </c>
      <c r="AA40" s="485" t="s">
        <v>423</v>
      </c>
      <c r="AB40" s="485" t="s">
        <v>358</v>
      </c>
      <c r="AC40" s="485"/>
      <c r="AD40" s="485"/>
      <c r="AE40" s="485" t="s">
        <v>423</v>
      </c>
      <c r="AF40" s="485" t="s">
        <v>446</v>
      </c>
      <c r="AG40" s="485"/>
      <c r="AH40" s="485" t="s">
        <v>526</v>
      </c>
      <c r="AI40" s="485" t="s">
        <v>527</v>
      </c>
      <c r="AJ40" s="485" t="s">
        <v>528</v>
      </c>
      <c r="AK40" s="485" t="s">
        <v>529</v>
      </c>
      <c r="AL40" s="485"/>
      <c r="AM40" s="486" t="str">
        <f t="shared" si="37"/>
        <v>I-FAP-OVN-OIL-ETS_E0</v>
      </c>
      <c r="AN40" s="486" t="str">
        <f t="shared" ref="AN40:AP40" si="40">+AM40</f>
        <v>I-FAP-OVN-OIL-ETS_E0</v>
      </c>
      <c r="AO40" s="486" t="str">
        <f t="shared" si="40"/>
        <v>I-FAP-OVN-OIL-ETS_E0</v>
      </c>
      <c r="AP40" s="486" t="str">
        <f t="shared" si="40"/>
        <v>I-FAP-OVN-OIL-ETS_E0</v>
      </c>
      <c r="AQ40" s="485"/>
    </row>
    <row r="41" spans="2:43">
      <c r="B41" t="str">
        <f t="shared" si="1"/>
        <v>I-FAP-DRR-OIL-ETS_E0</v>
      </c>
      <c r="C41" t="str">
        <f t="shared" si="2"/>
        <v>Industry - Food and Drink - Dryer - Oil - ETS</v>
      </c>
      <c r="D41" t="str">
        <f t="shared" si="3"/>
        <v>INDOIL</v>
      </c>
      <c r="E41" t="str">
        <f t="shared" si="4"/>
        <v>FAPHTH,FAPMTH,FAPLTH,FAPHET</v>
      </c>
      <c r="F41" s="386">
        <f>+NRG_shares!V39</f>
        <v>0.92</v>
      </c>
      <c r="G41">
        <v>25</v>
      </c>
      <c r="H41" s="460">
        <f t="shared" si="5"/>
        <v>1.6943869770802108E-3</v>
      </c>
      <c r="I41">
        <v>31.536000000000001</v>
      </c>
      <c r="J41">
        <v>0.9</v>
      </c>
      <c r="K41" s="386">
        <f>+SUMIFS(NRG_shares!W$113:W$141,NRG_shares!$T$113:$T$141,Techs!$Y41,NRG_shares!$U$113:$U$141,Techs!$AA41)</f>
        <v>0</v>
      </c>
      <c r="L41" s="386">
        <f>+SUMIFS(NRG_shares!X$113:X$141,NRG_shares!$T$113:$T$141,Techs!$Y41,NRG_shares!$U$113:$U$141,Techs!$AA41)</f>
        <v>0</v>
      </c>
      <c r="M41" s="386">
        <f>+SUMIFS(NRG_shares!Y$113:Y$141,NRG_shares!$T$113:$T$141,Techs!$Y41,NRG_shares!$U$113:$U$141,Techs!$AA41)</f>
        <v>0</v>
      </c>
      <c r="N41" s="386">
        <f>+SUMIFS(NRG_shares!Z$113:Z$141,NRG_shares!$T$113:$T$141,Techs!$Y41,NRG_shares!$U$113:$U$141,Techs!$AA41)</f>
        <v>1</v>
      </c>
      <c r="O41">
        <v>3</v>
      </c>
      <c r="P41" s="460">
        <f>NRG_shares!J39*NRG_shares!O39*Conversions!$B$3</f>
        <v>4.4735599012354771E-2</v>
      </c>
      <c r="Q41" s="491"/>
      <c r="R41" s="460" t="str">
        <v>I-CEM-KLN-GAS-ETS_E0</v>
      </c>
      <c r="S41" s="460" t="s">
        <v>554</v>
      </c>
      <c r="T41" s="460" t="str">
        <v>CEMHET</v>
      </c>
      <c r="U41" s="386">
        <v>0</v>
      </c>
      <c r="V41" s="385">
        <v>3</v>
      </c>
      <c r="W41" s="460"/>
      <c r="X41" s="485" t="s">
        <v>352</v>
      </c>
      <c r="Y41" s="485" t="s">
        <v>377</v>
      </c>
      <c r="Z41" s="485" t="s">
        <v>354</v>
      </c>
      <c r="AA41" s="485" t="s">
        <v>420</v>
      </c>
      <c r="AB41" s="485" t="s">
        <v>358</v>
      </c>
      <c r="AC41" s="485"/>
      <c r="AD41" s="485"/>
      <c r="AE41" s="485" t="s">
        <v>420</v>
      </c>
      <c r="AF41" s="485" t="s">
        <v>445</v>
      </c>
      <c r="AG41" s="485"/>
      <c r="AH41" s="485" t="s">
        <v>526</v>
      </c>
      <c r="AI41" s="485" t="s">
        <v>527</v>
      </c>
      <c r="AJ41" s="485" t="s">
        <v>528</v>
      </c>
      <c r="AK41" s="485" t="s">
        <v>529</v>
      </c>
      <c r="AL41" s="485"/>
      <c r="AM41" s="486" t="str">
        <f t="shared" si="37"/>
        <v>I-FAP-DRR-OIL-ETS_E0</v>
      </c>
      <c r="AN41" s="486" t="str">
        <f t="shared" ref="AN41:AP41" si="41">+AM41</f>
        <v>I-FAP-DRR-OIL-ETS_E0</v>
      </c>
      <c r="AO41" s="486" t="str">
        <f t="shared" si="41"/>
        <v>I-FAP-DRR-OIL-ETS_E0</v>
      </c>
      <c r="AP41" s="486" t="str">
        <f t="shared" si="41"/>
        <v>I-FAP-DRR-OIL-ETS_E0</v>
      </c>
      <c r="AQ41" s="485"/>
    </row>
    <row r="42" spans="2:43">
      <c r="B42" t="str">
        <f t="shared" si="1"/>
        <v>I-FAP-BLR-GAS-ETS_E0</v>
      </c>
      <c r="C42" t="str">
        <f t="shared" si="2"/>
        <v>Industry - Food and Drink - Boiler - Gas - ETS</v>
      </c>
      <c r="D42" t="str">
        <f t="shared" si="3"/>
        <v>INDGAS</v>
      </c>
      <c r="E42" t="str">
        <f t="shared" si="4"/>
        <v>FAPHTH,FAPMTH,FAPLTH,FAPHET</v>
      </c>
      <c r="F42" s="386">
        <f>+NRG_shares!V40</f>
        <v>0.92000000000000015</v>
      </c>
      <c r="G42">
        <v>25</v>
      </c>
      <c r="H42" s="460">
        <f t="shared" si="5"/>
        <v>0.18620646518278078</v>
      </c>
      <c r="I42">
        <v>31.536000000000001</v>
      </c>
      <c r="J42">
        <v>0.9</v>
      </c>
      <c r="K42" s="386">
        <f>+SUMIFS(NRG_shares!W$113:W$141,NRG_shares!$T$113:$T$141,Techs!$Y42,NRG_shares!$U$113:$U$141,Techs!$AA42)</f>
        <v>0</v>
      </c>
      <c r="L42" s="386">
        <f>+SUMIFS(NRG_shares!X$113:X$141,NRG_shares!$T$113:$T$141,Techs!$Y42,NRG_shares!$U$113:$U$141,Techs!$AA42)</f>
        <v>0.10000000000000002</v>
      </c>
      <c r="M42" s="386">
        <f>+SUMIFS(NRG_shares!Y$113:Y$141,NRG_shares!$T$113:$T$141,Techs!$Y42,NRG_shares!$U$113:$U$141,Techs!$AA42)</f>
        <v>0.60000000000000009</v>
      </c>
      <c r="N42" s="386">
        <f>+SUMIFS(NRG_shares!Z$113:Z$141,NRG_shares!$T$113:$T$141,Techs!$Y42,NRG_shares!$U$113:$U$141,Techs!$AA42)</f>
        <v>0.30000000000000004</v>
      </c>
      <c r="O42">
        <v>3</v>
      </c>
      <c r="P42" s="460">
        <f>NRG_shares!J40*NRG_shares!O40*Conversions!$B$3</f>
        <v>4.9162663975848906</v>
      </c>
      <c r="Q42" s="491"/>
      <c r="R42" s="460" t="str">
        <v>I-CEM-DRR-GAS-ETS_E0</v>
      </c>
      <c r="S42" s="460" t="s">
        <v>554</v>
      </c>
      <c r="T42" s="460" t="str">
        <v>CEMHTH</v>
      </c>
      <c r="U42" s="386">
        <v>0</v>
      </c>
      <c r="V42" s="385">
        <v>3</v>
      </c>
      <c r="W42" s="460"/>
      <c r="X42" s="485" t="s">
        <v>352</v>
      </c>
      <c r="Y42" s="485" t="s">
        <v>377</v>
      </c>
      <c r="Z42" s="485" t="s">
        <v>354</v>
      </c>
      <c r="AA42" s="485" t="s">
        <v>422</v>
      </c>
      <c r="AB42" s="485" t="s">
        <v>356</v>
      </c>
      <c r="AC42" s="485"/>
      <c r="AD42" s="485"/>
      <c r="AE42" s="485" t="s">
        <v>421</v>
      </c>
      <c r="AF42" s="485" t="s">
        <v>421</v>
      </c>
      <c r="AG42" s="485"/>
      <c r="AH42" s="485" t="s">
        <v>526</v>
      </c>
      <c r="AI42" s="485" t="s">
        <v>527</v>
      </c>
      <c r="AJ42" s="485" t="s">
        <v>528</v>
      </c>
      <c r="AK42" s="485" t="s">
        <v>529</v>
      </c>
      <c r="AL42" s="485"/>
      <c r="AM42" s="486" t="str">
        <f t="shared" si="37"/>
        <v>I-FAP-BLR-GAS-ETS_E0</v>
      </c>
      <c r="AN42" s="486" t="str">
        <f t="shared" ref="AN42:AP42" si="42">+AM42</f>
        <v>I-FAP-BLR-GAS-ETS_E0</v>
      </c>
      <c r="AO42" s="486" t="str">
        <f t="shared" si="42"/>
        <v>I-FAP-BLR-GAS-ETS_E0</v>
      </c>
      <c r="AP42" s="486" t="str">
        <f t="shared" si="42"/>
        <v>I-FAP-BLR-GAS-ETS_E0</v>
      </c>
      <c r="AQ42" s="485"/>
    </row>
    <row r="43" spans="2:43">
      <c r="B43" t="str">
        <f t="shared" si="1"/>
        <v>I-FAP-CHP-GAS-ETS_E0</v>
      </c>
      <c r="C43" t="str">
        <f t="shared" si="2"/>
        <v>Industry - Food and Drink - CHP - Gas - ETS</v>
      </c>
      <c r="D43" t="str">
        <f t="shared" si="3"/>
        <v>INDGAS</v>
      </c>
      <c r="E43" t="str">
        <f t="shared" si="4"/>
        <v>FAPHTH,FAPMTH,FAPLTH,FAPHET</v>
      </c>
      <c r="F43" s="386">
        <f>+NRG_shares!V41</f>
        <v>0.5</v>
      </c>
      <c r="G43">
        <v>25</v>
      </c>
      <c r="H43" s="460">
        <f t="shared" si="5"/>
        <v>0.11384906159273279</v>
      </c>
      <c r="I43">
        <v>31.536000000000001</v>
      </c>
      <c r="J43">
        <v>0.9</v>
      </c>
      <c r="K43" s="386">
        <f>+SUMIFS(NRG_shares!W$113:W$141,NRG_shares!$T$113:$T$141,Techs!$Y43,NRG_shares!$U$113:$U$141,Techs!$AA43)</f>
        <v>0</v>
      </c>
      <c r="L43" s="386">
        <f>+SUMIFS(NRG_shares!X$113:X$141,NRG_shares!$T$113:$T$141,Techs!$Y43,NRG_shares!$U$113:$U$141,Techs!$AA43)</f>
        <v>0</v>
      </c>
      <c r="M43" s="386">
        <f>+SUMIFS(NRG_shares!Y$113:Y$141,NRG_shares!$T$113:$T$141,Techs!$Y43,NRG_shares!$U$113:$U$141,Techs!$AA43)</f>
        <v>1</v>
      </c>
      <c r="N43" s="386">
        <f>+SUMIFS(NRG_shares!Z$113:Z$141,NRG_shares!$T$113:$T$141,Techs!$Y43,NRG_shares!$U$113:$U$141,Techs!$AA43)</f>
        <v>0</v>
      </c>
      <c r="O43">
        <v>3</v>
      </c>
      <c r="P43" s="460">
        <f>NRG_shares!J41*NRG_shares!O41*Conversions!$B$3</f>
        <v>3.005869400697283</v>
      </c>
      <c r="Q43" s="491"/>
      <c r="R43" s="460" t="str">
        <v>I-CEM-DRR-GAS-ETS_E0</v>
      </c>
      <c r="S43" s="460" t="s">
        <v>554</v>
      </c>
      <c r="T43" s="460" t="str">
        <v>CEMMTH</v>
      </c>
      <c r="U43" s="386">
        <v>1</v>
      </c>
      <c r="V43" s="385">
        <v>3</v>
      </c>
      <c r="W43" s="460"/>
      <c r="X43" s="485" t="s">
        <v>352</v>
      </c>
      <c r="Y43" s="485" t="s">
        <v>377</v>
      </c>
      <c r="Z43" s="485" t="s">
        <v>354</v>
      </c>
      <c r="AA43" s="485" t="s">
        <v>421</v>
      </c>
      <c r="AB43" s="485" t="s">
        <v>356</v>
      </c>
      <c r="AC43" s="485"/>
      <c r="AD43" s="485"/>
      <c r="AE43" s="485" t="s">
        <v>422</v>
      </c>
      <c r="AF43" s="485" t="s">
        <v>447</v>
      </c>
      <c r="AG43" s="485"/>
      <c r="AH43" s="485" t="s">
        <v>526</v>
      </c>
      <c r="AI43" s="485" t="s">
        <v>527</v>
      </c>
      <c r="AJ43" s="485" t="s">
        <v>528</v>
      </c>
      <c r="AK43" s="485" t="s">
        <v>529</v>
      </c>
      <c r="AL43" s="485"/>
      <c r="AM43" s="486" t="str">
        <f t="shared" si="37"/>
        <v>I-FAP-CHP-GAS-ETS_E0</v>
      </c>
      <c r="AN43" s="486" t="str">
        <f t="shared" ref="AN43:AP43" si="43">+AM43</f>
        <v>I-FAP-CHP-GAS-ETS_E0</v>
      </c>
      <c r="AO43" s="486" t="str">
        <f t="shared" si="43"/>
        <v>I-FAP-CHP-GAS-ETS_E0</v>
      </c>
      <c r="AP43" s="486" t="str">
        <f t="shared" si="43"/>
        <v>I-FAP-CHP-GAS-ETS_E0</v>
      </c>
      <c r="AQ43" s="485"/>
    </row>
    <row r="44" spans="2:43">
      <c r="B44" t="str">
        <f t="shared" si="1"/>
        <v>I-FAP-OVN-GAS-ETS_E0</v>
      </c>
      <c r="C44" t="str">
        <f t="shared" si="2"/>
        <v>Industry - Food and Drink - Oven - Gas - ETS</v>
      </c>
      <c r="D44" t="str">
        <f t="shared" si="3"/>
        <v>INDGAS</v>
      </c>
      <c r="E44" t="str">
        <f t="shared" si="4"/>
        <v>FAPHTH,FAPMTH,FAPLTH,FAPHET</v>
      </c>
      <c r="F44" s="386">
        <f>+NRG_shares!V42</f>
        <v>0.92000000000000015</v>
      </c>
      <c r="G44">
        <v>25</v>
      </c>
      <c r="H44" s="460">
        <f t="shared" si="5"/>
        <v>4.6551616295695195E-2</v>
      </c>
      <c r="I44">
        <v>31.536000000000001</v>
      </c>
      <c r="J44">
        <v>0.9</v>
      </c>
      <c r="K44" s="386">
        <f>+SUMIFS(NRG_shares!W$113:W$141,NRG_shares!$T$113:$T$141,Techs!$Y44,NRG_shares!$U$113:$U$141,Techs!$AA44)</f>
        <v>0</v>
      </c>
      <c r="L44" s="386">
        <f>+SUMIFS(NRG_shares!X$113:X$141,NRG_shares!$T$113:$T$141,Techs!$Y44,NRG_shares!$U$113:$U$141,Techs!$AA44)</f>
        <v>1</v>
      </c>
      <c r="M44" s="386">
        <f>+SUMIFS(NRG_shares!Y$113:Y$141,NRG_shares!$T$113:$T$141,Techs!$Y44,NRG_shares!$U$113:$U$141,Techs!$AA44)</f>
        <v>0</v>
      </c>
      <c r="N44" s="386">
        <f>+SUMIFS(NRG_shares!Z$113:Z$141,NRG_shares!$T$113:$T$141,Techs!$Y44,NRG_shares!$U$113:$U$141,Techs!$AA44)</f>
        <v>0</v>
      </c>
      <c r="O44">
        <v>3</v>
      </c>
      <c r="P44" s="460">
        <f>NRG_shares!J42*NRG_shares!O42*Conversions!$B$3</f>
        <v>1.2290665993962226</v>
      </c>
      <c r="Q44" s="491"/>
      <c r="R44" s="460" t="str">
        <v>I-CEM-DRR-GAS-ETS_E0</v>
      </c>
      <c r="S44" s="460" t="s">
        <v>554</v>
      </c>
      <c r="T44" s="460" t="str">
        <v>CEMLTH</v>
      </c>
      <c r="U44" s="386">
        <v>0</v>
      </c>
      <c r="V44" s="385">
        <v>3</v>
      </c>
      <c r="W44" s="460"/>
      <c r="X44" s="485" t="s">
        <v>352</v>
      </c>
      <c r="Y44" s="485" t="s">
        <v>377</v>
      </c>
      <c r="Z44" s="485" t="s">
        <v>354</v>
      </c>
      <c r="AA44" s="485" t="s">
        <v>423</v>
      </c>
      <c r="AB44" s="485" t="s">
        <v>356</v>
      </c>
      <c r="AC44" s="485"/>
      <c r="AD44" s="485"/>
      <c r="AE44" s="485" t="s">
        <v>423</v>
      </c>
      <c r="AF44" s="485" t="s">
        <v>446</v>
      </c>
      <c r="AG44" s="485"/>
      <c r="AH44" s="485" t="s">
        <v>526</v>
      </c>
      <c r="AI44" s="485" t="s">
        <v>527</v>
      </c>
      <c r="AJ44" s="485" t="s">
        <v>528</v>
      </c>
      <c r="AK44" s="485" t="s">
        <v>529</v>
      </c>
      <c r="AL44" s="485"/>
      <c r="AM44" s="486" t="str">
        <f t="shared" si="37"/>
        <v>I-FAP-OVN-GAS-ETS_E0</v>
      </c>
      <c r="AN44" s="486" t="str">
        <f t="shared" ref="AN44:AP44" si="44">+AM44</f>
        <v>I-FAP-OVN-GAS-ETS_E0</v>
      </c>
      <c r="AO44" s="486" t="str">
        <f t="shared" si="44"/>
        <v>I-FAP-OVN-GAS-ETS_E0</v>
      </c>
      <c r="AP44" s="486" t="str">
        <f t="shared" si="44"/>
        <v>I-FAP-OVN-GAS-ETS_E0</v>
      </c>
      <c r="AQ44" s="485"/>
    </row>
    <row r="45" spans="2:43">
      <c r="B45" t="str">
        <f t="shared" si="1"/>
        <v>I-FAP-DRR-GAS-ETS_E0</v>
      </c>
      <c r="C45" t="str">
        <f t="shared" si="2"/>
        <v>Industry - Food and Drink - Dryer - Gas - ETS</v>
      </c>
      <c r="D45" t="str">
        <f t="shared" si="3"/>
        <v>INDGAS</v>
      </c>
      <c r="E45" t="str">
        <f t="shared" si="4"/>
        <v>FAPHTH,FAPMTH,FAPLTH,FAPHET</v>
      </c>
      <c r="F45" s="386">
        <f>+NRG_shares!V43</f>
        <v>0.92000000000000015</v>
      </c>
      <c r="G45">
        <v>25</v>
      </c>
      <c r="H45" s="460">
        <f t="shared" si="5"/>
        <v>2.3275808147847597E-2</v>
      </c>
      <c r="I45">
        <v>31.536000000000001</v>
      </c>
      <c r="J45">
        <v>0.9</v>
      </c>
      <c r="K45" s="386">
        <f>+SUMIFS(NRG_shares!W$113:W$141,NRG_shares!$T$113:$T$141,Techs!$Y45,NRG_shares!$U$113:$U$141,Techs!$AA45)</f>
        <v>0</v>
      </c>
      <c r="L45" s="386">
        <f>+SUMIFS(NRG_shares!X$113:X$141,NRG_shares!$T$113:$T$141,Techs!$Y45,NRG_shares!$U$113:$U$141,Techs!$AA45)</f>
        <v>0</v>
      </c>
      <c r="M45" s="386">
        <f>+SUMIFS(NRG_shares!Y$113:Y$141,NRG_shares!$T$113:$T$141,Techs!$Y45,NRG_shares!$U$113:$U$141,Techs!$AA45)</f>
        <v>0</v>
      </c>
      <c r="N45" s="386">
        <f>+SUMIFS(NRG_shares!Z$113:Z$141,NRG_shares!$T$113:$T$141,Techs!$Y45,NRG_shares!$U$113:$U$141,Techs!$AA45)</f>
        <v>1</v>
      </c>
      <c r="O45">
        <v>3</v>
      </c>
      <c r="P45" s="460">
        <f>NRG_shares!J43*NRG_shares!O43*Conversions!$B$3</f>
        <v>0.61453329969811132</v>
      </c>
      <c r="Q45" s="491"/>
      <c r="R45" s="460" t="str">
        <v>I-CEM-DRR-GAS-ETS_E0</v>
      </c>
      <c r="S45" s="460" t="s">
        <v>554</v>
      </c>
      <c r="T45" s="460" t="str">
        <v>CEMHET</v>
      </c>
      <c r="U45" s="386">
        <v>0</v>
      </c>
      <c r="V45" s="385">
        <v>3</v>
      </c>
      <c r="W45" s="460"/>
      <c r="X45" s="485" t="s">
        <v>352</v>
      </c>
      <c r="Y45" s="485" t="s">
        <v>377</v>
      </c>
      <c r="Z45" s="485" t="s">
        <v>354</v>
      </c>
      <c r="AA45" s="485" t="s">
        <v>420</v>
      </c>
      <c r="AB45" s="485" t="s">
        <v>356</v>
      </c>
      <c r="AC45" s="485"/>
      <c r="AD45" s="485"/>
      <c r="AE45" s="485" t="s">
        <v>419</v>
      </c>
      <c r="AF45" s="485" t="s">
        <v>444</v>
      </c>
      <c r="AG45" s="485"/>
      <c r="AH45" s="485" t="s">
        <v>526</v>
      </c>
      <c r="AI45" s="485" t="s">
        <v>527</v>
      </c>
      <c r="AJ45" s="485" t="s">
        <v>528</v>
      </c>
      <c r="AK45" s="485" t="s">
        <v>529</v>
      </c>
      <c r="AL45" s="485"/>
      <c r="AM45" s="486" t="str">
        <f t="shared" si="37"/>
        <v>I-FAP-DRR-GAS-ETS_E0</v>
      </c>
      <c r="AN45" s="486" t="str">
        <f t="shared" ref="AN45:AP45" si="45">+AM45</f>
        <v>I-FAP-DRR-GAS-ETS_E0</v>
      </c>
      <c r="AO45" s="486" t="str">
        <f t="shared" si="45"/>
        <v>I-FAP-DRR-GAS-ETS_E0</v>
      </c>
      <c r="AP45" s="486" t="str">
        <f t="shared" si="45"/>
        <v>I-FAP-DRR-GAS-ETS_E0</v>
      </c>
      <c r="AQ45" s="485"/>
    </row>
    <row r="46" spans="2:43">
      <c r="B46" t="str">
        <f t="shared" si="1"/>
        <v>I-FAP-BLR-BIO-NETS_E0</v>
      </c>
      <c r="C46" t="str">
        <f t="shared" si="2"/>
        <v>Industry - Food and Drink - Boiler - Bio fuel - Non-ETS</v>
      </c>
      <c r="D46" t="str">
        <f t="shared" si="3"/>
        <v>INDBIO</v>
      </c>
      <c r="E46" t="str">
        <f t="shared" si="4"/>
        <v>FAPHTH,FAPMTH,FAPLTH,FAPHET</v>
      </c>
      <c r="F46" s="386">
        <f>+NRG_shares!V44</f>
        <v>0.92</v>
      </c>
      <c r="G46">
        <v>25</v>
      </c>
      <c r="H46" s="460">
        <f t="shared" si="5"/>
        <v>1.4276458474475076E-2</v>
      </c>
      <c r="I46">
        <v>31.536000000000001</v>
      </c>
      <c r="J46">
        <v>0.9</v>
      </c>
      <c r="K46" s="386">
        <f>+SUMIFS(NRG_shares!W$113:W$141,NRG_shares!$T$113:$T$141,Techs!$Y46,NRG_shares!$U$113:$U$141,Techs!$AA46)</f>
        <v>0</v>
      </c>
      <c r="L46" s="386">
        <f>+SUMIFS(NRG_shares!X$113:X$141,NRG_shares!$T$113:$T$141,Techs!$Y46,NRG_shares!$U$113:$U$141,Techs!$AA46)</f>
        <v>0.10000000000000002</v>
      </c>
      <c r="M46" s="386">
        <f>+SUMIFS(NRG_shares!Y$113:Y$141,NRG_shares!$T$113:$T$141,Techs!$Y46,NRG_shares!$U$113:$U$141,Techs!$AA46)</f>
        <v>0.60000000000000009</v>
      </c>
      <c r="N46" s="386">
        <f>+SUMIFS(NRG_shares!Z$113:Z$141,NRG_shares!$T$113:$T$141,Techs!$Y46,NRG_shares!$U$113:$U$141,Techs!$AA46)</f>
        <v>0.30000000000000004</v>
      </c>
      <c r="O46">
        <v>3</v>
      </c>
      <c r="P46" s="460">
        <f>NRG_shares!J44*NRG_shares!O44*Conversions!$B$3</f>
        <v>0.37693037674971297</v>
      </c>
      <c r="Q46" s="491"/>
      <c r="R46" s="460" t="str">
        <v>I-CAF-BLR-OIL-ETS_E0</v>
      </c>
      <c r="S46" s="460" t="s">
        <v>554</v>
      </c>
      <c r="T46" s="460" t="str">
        <v>CAFHTH</v>
      </c>
      <c r="U46" s="386">
        <v>0</v>
      </c>
      <c r="V46" s="385">
        <v>3</v>
      </c>
      <c r="W46" s="460"/>
      <c r="X46" s="485" t="s">
        <v>352</v>
      </c>
      <c r="Y46" s="485" t="s">
        <v>377</v>
      </c>
      <c r="Z46" s="485" t="s">
        <v>394</v>
      </c>
      <c r="AA46" s="485" t="s">
        <v>422</v>
      </c>
      <c r="AB46" s="485" t="s">
        <v>374</v>
      </c>
      <c r="AC46" s="485"/>
      <c r="AD46" s="485"/>
      <c r="AE46" s="485" t="s">
        <v>424</v>
      </c>
      <c r="AF46" s="485" t="s">
        <v>448</v>
      </c>
      <c r="AG46" s="485"/>
      <c r="AH46" s="485" t="s">
        <v>526</v>
      </c>
      <c r="AI46" s="485" t="s">
        <v>527</v>
      </c>
      <c r="AJ46" s="485" t="s">
        <v>528</v>
      </c>
      <c r="AK46" s="485" t="s">
        <v>529</v>
      </c>
      <c r="AL46" s="485"/>
      <c r="AM46" s="486" t="str">
        <f t="shared" si="37"/>
        <v>I-FAP-BLR-BIO-NETS_E0</v>
      </c>
      <c r="AN46" s="486" t="str">
        <f t="shared" ref="AN46:AP46" si="46">+AM46</f>
        <v>I-FAP-BLR-BIO-NETS_E0</v>
      </c>
      <c r="AO46" s="486" t="str">
        <f t="shared" si="46"/>
        <v>I-FAP-BLR-BIO-NETS_E0</v>
      </c>
      <c r="AP46" s="486" t="str">
        <f t="shared" si="46"/>
        <v>I-FAP-BLR-BIO-NETS_E0</v>
      </c>
      <c r="AQ46" s="485"/>
    </row>
    <row r="47" spans="2:43">
      <c r="B47" t="str">
        <f t="shared" si="1"/>
        <v>I-FAP-CHP-BIO-NETS_E0</v>
      </c>
      <c r="C47" t="str">
        <f t="shared" si="2"/>
        <v>Industry - Food and Drink - CHP - Bio fuel - Non-ETS</v>
      </c>
      <c r="D47" t="str">
        <f t="shared" si="3"/>
        <v>INDBIO</v>
      </c>
      <c r="E47" t="str">
        <f t="shared" si="4"/>
        <v>FAPHTH,FAPMTH,FAPLTH,FAPHET</v>
      </c>
      <c r="F47" s="386">
        <f>+NRG_shares!V45</f>
        <v>0.5</v>
      </c>
      <c r="G47">
        <v>25</v>
      </c>
      <c r="H47" s="460">
        <f t="shared" si="5"/>
        <v>1.6626310335180598E-3</v>
      </c>
      <c r="I47">
        <v>31.536000000000001</v>
      </c>
      <c r="J47">
        <v>0.9</v>
      </c>
      <c r="K47" s="386">
        <f>+SUMIFS(NRG_shares!W$113:W$141,NRG_shares!$T$113:$T$141,Techs!$Y47,NRG_shares!$U$113:$U$141,Techs!$AA47)</f>
        <v>0</v>
      </c>
      <c r="L47" s="386">
        <f>+SUMIFS(NRG_shares!X$113:X$141,NRG_shares!$T$113:$T$141,Techs!$Y47,NRG_shares!$U$113:$U$141,Techs!$AA47)</f>
        <v>0</v>
      </c>
      <c r="M47" s="386">
        <f>+SUMIFS(NRG_shares!Y$113:Y$141,NRG_shares!$T$113:$T$141,Techs!$Y47,NRG_shares!$U$113:$U$141,Techs!$AA47)</f>
        <v>1</v>
      </c>
      <c r="N47" s="386">
        <f>+SUMIFS(NRG_shares!Z$113:Z$141,NRG_shares!$T$113:$T$141,Techs!$Y47,NRG_shares!$U$113:$U$141,Techs!$AA47)</f>
        <v>0</v>
      </c>
      <c r="O47">
        <v>3</v>
      </c>
      <c r="P47" s="460">
        <f>NRG_shares!J45*NRG_shares!O45*Conversions!$B$3</f>
        <v>4.3897171205323708E-2</v>
      </c>
      <c r="Q47" s="491"/>
      <c r="R47" s="460" t="str">
        <v>I-CAF-BLR-OIL-ETS_E0</v>
      </c>
      <c r="S47" s="460" t="s">
        <v>554</v>
      </c>
      <c r="T47" s="460" t="str">
        <v>CAFMTH</v>
      </c>
      <c r="U47" s="386">
        <v>0.1</v>
      </c>
      <c r="V47" s="385">
        <v>3</v>
      </c>
      <c r="W47" s="460"/>
      <c r="X47" s="485" t="s">
        <v>352</v>
      </c>
      <c r="Y47" s="485" t="s">
        <v>377</v>
      </c>
      <c r="Z47" s="485" t="s">
        <v>394</v>
      </c>
      <c r="AA47" s="485" t="s">
        <v>421</v>
      </c>
      <c r="AB47" s="485" t="s">
        <v>374</v>
      </c>
      <c r="AC47" s="485"/>
      <c r="AD47" s="485"/>
      <c r="AE47" s="485" t="s">
        <v>425</v>
      </c>
      <c r="AF47" s="485" t="s">
        <v>449</v>
      </c>
      <c r="AG47" s="485"/>
      <c r="AH47" s="485" t="s">
        <v>526</v>
      </c>
      <c r="AI47" s="485" t="s">
        <v>527</v>
      </c>
      <c r="AJ47" s="485" t="s">
        <v>528</v>
      </c>
      <c r="AK47" s="485" t="s">
        <v>529</v>
      </c>
      <c r="AL47" s="485"/>
      <c r="AM47" s="486" t="str">
        <f t="shared" si="37"/>
        <v>I-FAP-CHP-BIO-NETS_E0</v>
      </c>
      <c r="AN47" s="486" t="str">
        <f t="shared" ref="AN47:AP47" si="47">+AM47</f>
        <v>I-FAP-CHP-BIO-NETS_E0</v>
      </c>
      <c r="AO47" s="486" t="str">
        <f t="shared" si="47"/>
        <v>I-FAP-CHP-BIO-NETS_E0</v>
      </c>
      <c r="AP47" s="486" t="str">
        <f t="shared" si="47"/>
        <v>I-FAP-CHP-BIO-NETS_E0</v>
      </c>
      <c r="AQ47" s="485"/>
    </row>
    <row r="48" spans="2:43">
      <c r="B48" t="str">
        <f t="shared" si="1"/>
        <v>I-FAP-OVN-BIO-NETS_E0</v>
      </c>
      <c r="C48" t="str">
        <f t="shared" si="2"/>
        <v>Industry - Food and Drink - Oven - Bio fuel - Non-ETS</v>
      </c>
      <c r="D48" t="str">
        <f t="shared" si="3"/>
        <v>INDBIO</v>
      </c>
      <c r="E48" t="str">
        <f t="shared" si="4"/>
        <v>FAPHTH,FAPMTH,FAPLTH,FAPHET</v>
      </c>
      <c r="F48" s="386">
        <f>+NRG_shares!V46</f>
        <v>0.92</v>
      </c>
      <c r="G48">
        <v>25</v>
      </c>
      <c r="H48" s="460">
        <f t="shared" si="5"/>
        <v>2.0394940677821534E-3</v>
      </c>
      <c r="I48">
        <v>31.536000000000001</v>
      </c>
      <c r="J48">
        <v>0.9</v>
      </c>
      <c r="K48" s="386">
        <f>+SUMIFS(NRG_shares!W$113:W$141,NRG_shares!$T$113:$T$141,Techs!$Y48,NRG_shares!$U$113:$U$141,Techs!$AA48)</f>
        <v>0</v>
      </c>
      <c r="L48" s="386">
        <f>+SUMIFS(NRG_shares!X$113:X$141,NRG_shares!$T$113:$T$141,Techs!$Y48,NRG_shares!$U$113:$U$141,Techs!$AA48)</f>
        <v>1</v>
      </c>
      <c r="M48" s="386">
        <f>+SUMIFS(NRG_shares!Y$113:Y$141,NRG_shares!$T$113:$T$141,Techs!$Y48,NRG_shares!$U$113:$U$141,Techs!$AA48)</f>
        <v>0</v>
      </c>
      <c r="N48" s="386">
        <f>+SUMIFS(NRG_shares!Z$113:Z$141,NRG_shares!$T$113:$T$141,Techs!$Y48,NRG_shares!$U$113:$U$141,Techs!$AA48)</f>
        <v>0</v>
      </c>
      <c r="O48">
        <v>3</v>
      </c>
      <c r="P48" s="460">
        <f>NRG_shares!J46*NRG_shares!O46*Conversions!$B$3</f>
        <v>5.3847196678530419E-2</v>
      </c>
      <c r="Q48" s="491"/>
      <c r="R48" s="460" t="str">
        <v>I-CAF-BLR-OIL-ETS_E0</v>
      </c>
      <c r="S48" s="460" t="s">
        <v>554</v>
      </c>
      <c r="T48" s="460" t="str">
        <v>CAFLTH</v>
      </c>
      <c r="U48" s="386">
        <v>0.7</v>
      </c>
      <c r="V48" s="385">
        <v>3</v>
      </c>
      <c r="W48" s="460"/>
      <c r="X48" s="485" t="s">
        <v>352</v>
      </c>
      <c r="Y48" s="485" t="s">
        <v>377</v>
      </c>
      <c r="Z48" s="485" t="s">
        <v>394</v>
      </c>
      <c r="AA48" s="485" t="s">
        <v>423</v>
      </c>
      <c r="AB48" s="485" t="s">
        <v>374</v>
      </c>
      <c r="AC48" s="485"/>
      <c r="AD48" s="485"/>
      <c r="AE48" s="485" t="s">
        <v>421</v>
      </c>
      <c r="AF48" s="485" t="s">
        <v>421</v>
      </c>
      <c r="AG48" s="485"/>
      <c r="AH48" s="485" t="s">
        <v>526</v>
      </c>
      <c r="AI48" s="485" t="s">
        <v>527</v>
      </c>
      <c r="AJ48" s="485" t="s">
        <v>528</v>
      </c>
      <c r="AK48" s="485" t="s">
        <v>529</v>
      </c>
      <c r="AL48" s="485"/>
      <c r="AM48" s="486" t="str">
        <f t="shared" si="37"/>
        <v>I-FAP-OVN-BIO-NETS_E0</v>
      </c>
      <c r="AN48" s="486" t="str">
        <f t="shared" ref="AN48:AP48" si="48">+AM48</f>
        <v>I-FAP-OVN-BIO-NETS_E0</v>
      </c>
      <c r="AO48" s="486" t="str">
        <f t="shared" si="48"/>
        <v>I-FAP-OVN-BIO-NETS_E0</v>
      </c>
      <c r="AP48" s="486" t="str">
        <f t="shared" si="48"/>
        <v>I-FAP-OVN-BIO-NETS_E0</v>
      </c>
      <c r="AQ48" s="485"/>
    </row>
    <row r="49" spans="2:43">
      <c r="B49" t="str">
        <f t="shared" si="1"/>
        <v>I-FAP-DRR-BIO-NETS_E0</v>
      </c>
      <c r="C49" t="str">
        <f t="shared" si="2"/>
        <v>Industry - Food and Drink - Dryer - Bio fuel - Non-ETS</v>
      </c>
      <c r="D49" t="str">
        <f t="shared" si="3"/>
        <v>INDBIO</v>
      </c>
      <c r="E49" t="str">
        <f t="shared" si="4"/>
        <v>FAPHTH,FAPMTH,FAPLTH,FAPHET</v>
      </c>
      <c r="F49" s="386">
        <f>+NRG_shares!V47</f>
        <v>0.92</v>
      </c>
      <c r="G49">
        <v>25</v>
      </c>
      <c r="H49" s="460">
        <f t="shared" si="5"/>
        <v>1.0197470338910767E-3</v>
      </c>
      <c r="I49">
        <v>31.536000000000001</v>
      </c>
      <c r="J49">
        <v>0.9</v>
      </c>
      <c r="K49" s="386">
        <f>+SUMIFS(NRG_shares!W$113:W$141,NRG_shares!$T$113:$T$141,Techs!$Y49,NRG_shares!$U$113:$U$141,Techs!$AA49)</f>
        <v>0</v>
      </c>
      <c r="L49" s="386">
        <f>+SUMIFS(NRG_shares!X$113:X$141,NRG_shares!$T$113:$T$141,Techs!$Y49,NRG_shares!$U$113:$U$141,Techs!$AA49)</f>
        <v>0</v>
      </c>
      <c r="M49" s="386">
        <f>+SUMIFS(NRG_shares!Y$113:Y$141,NRG_shares!$T$113:$T$141,Techs!$Y49,NRG_shares!$U$113:$U$141,Techs!$AA49)</f>
        <v>0</v>
      </c>
      <c r="N49" s="386">
        <f>+SUMIFS(NRG_shares!Z$113:Z$141,NRG_shares!$T$113:$T$141,Techs!$Y49,NRG_shares!$U$113:$U$141,Techs!$AA49)</f>
        <v>1</v>
      </c>
      <c r="O49">
        <v>3</v>
      </c>
      <c r="P49" s="460">
        <f>NRG_shares!J47*NRG_shares!O47*Conversions!$B$3</f>
        <v>2.692359833926521E-2</v>
      </c>
      <c r="Q49" s="491"/>
      <c r="R49" s="460" t="str">
        <v>I-CAF-BLR-OIL-ETS_E0</v>
      </c>
      <c r="S49" s="460" t="s">
        <v>554</v>
      </c>
      <c r="T49" s="460" t="str">
        <v>CAFHET</v>
      </c>
      <c r="U49" s="386">
        <v>0.2</v>
      </c>
      <c r="V49" s="385">
        <v>3</v>
      </c>
      <c r="W49" s="460"/>
      <c r="X49" s="485" t="s">
        <v>352</v>
      </c>
      <c r="Y49" s="485" t="s">
        <v>377</v>
      </c>
      <c r="Z49" s="485" t="s">
        <v>394</v>
      </c>
      <c r="AA49" s="485" t="s">
        <v>420</v>
      </c>
      <c r="AB49" s="485" t="s">
        <v>374</v>
      </c>
      <c r="AC49" s="485"/>
      <c r="AD49" s="485"/>
      <c r="AE49" s="485" t="s">
        <v>422</v>
      </c>
      <c r="AF49" s="485" t="s">
        <v>447</v>
      </c>
      <c r="AG49" s="485"/>
      <c r="AH49" s="485" t="s">
        <v>526</v>
      </c>
      <c r="AI49" s="485" t="s">
        <v>527</v>
      </c>
      <c r="AJ49" s="485" t="s">
        <v>528</v>
      </c>
      <c r="AK49" s="485" t="s">
        <v>529</v>
      </c>
      <c r="AL49" s="485"/>
      <c r="AM49" s="486" t="str">
        <f t="shared" si="37"/>
        <v>I-FAP-DRR-BIO-NETS_E0</v>
      </c>
      <c r="AN49" s="486" t="str">
        <f t="shared" ref="AN49:AP49" si="49">+AM49</f>
        <v>I-FAP-DRR-BIO-NETS_E0</v>
      </c>
      <c r="AO49" s="486" t="str">
        <f t="shared" si="49"/>
        <v>I-FAP-DRR-BIO-NETS_E0</v>
      </c>
      <c r="AP49" s="486" t="str">
        <f t="shared" si="49"/>
        <v>I-FAP-DRR-BIO-NETS_E0</v>
      </c>
      <c r="AQ49" s="485"/>
    </row>
    <row r="50" spans="2:43">
      <c r="B50" t="str">
        <f t="shared" si="1"/>
        <v>I-FAP-BLR-OIL-NETS_E0</v>
      </c>
      <c r="C50" t="str">
        <f t="shared" si="2"/>
        <v>Industry - Food and Drink - Boiler - Oil - Non-ETS</v>
      </c>
      <c r="D50" t="str">
        <f t="shared" si="3"/>
        <v>INDOIL</v>
      </c>
      <c r="E50" t="str">
        <f t="shared" si="4"/>
        <v>FAPHTH,FAPMTH,FAPLTH,FAPHET</v>
      </c>
      <c r="F50" s="386">
        <f>+NRG_shares!V48</f>
        <v>0.92</v>
      </c>
      <c r="G50">
        <v>25</v>
      </c>
      <c r="H50" s="460">
        <f t="shared" si="5"/>
        <v>4.5801019631822489E-2</v>
      </c>
      <c r="I50">
        <v>31.536000000000001</v>
      </c>
      <c r="J50">
        <v>0.9</v>
      </c>
      <c r="K50" s="386">
        <f>+SUMIFS(NRG_shares!W$113:W$141,NRG_shares!$T$113:$T$141,Techs!$Y50,NRG_shares!$U$113:$U$141,Techs!$AA50)</f>
        <v>0</v>
      </c>
      <c r="L50" s="386">
        <f>+SUMIFS(NRG_shares!X$113:X$141,NRG_shares!$T$113:$T$141,Techs!$Y50,NRG_shares!$U$113:$U$141,Techs!$AA50)</f>
        <v>0.10000000000000002</v>
      </c>
      <c r="M50" s="386">
        <f>+SUMIFS(NRG_shares!Y$113:Y$141,NRG_shares!$T$113:$T$141,Techs!$Y50,NRG_shares!$U$113:$U$141,Techs!$AA50)</f>
        <v>0.60000000000000009</v>
      </c>
      <c r="N50" s="386">
        <f>+SUMIFS(NRG_shares!Z$113:Z$141,NRG_shares!$T$113:$T$141,Techs!$Y50,NRG_shares!$U$113:$U$141,Techs!$AA50)</f>
        <v>0.30000000000000004</v>
      </c>
      <c r="O50">
        <v>3</v>
      </c>
      <c r="P50" s="460">
        <f>NRG_shares!J48*NRG_shares!O48*Conversions!$B$3</f>
        <v>1.2092491717192917</v>
      </c>
      <c r="Q50" s="491"/>
      <c r="R50" s="460" t="str">
        <v>I-CAF-CHP-OIL-ETS_E0</v>
      </c>
      <c r="S50" s="460" t="s">
        <v>554</v>
      </c>
      <c r="T50" s="460" t="str">
        <v>CAFHTH</v>
      </c>
      <c r="U50" s="386">
        <v>0</v>
      </c>
      <c r="V50" s="385">
        <v>3</v>
      </c>
      <c r="W50" s="460"/>
      <c r="X50" s="485" t="s">
        <v>352</v>
      </c>
      <c r="Y50" s="485" t="s">
        <v>377</v>
      </c>
      <c r="Z50" s="485" t="s">
        <v>394</v>
      </c>
      <c r="AA50" s="485" t="s">
        <v>422</v>
      </c>
      <c r="AB50" s="485" t="s">
        <v>358</v>
      </c>
      <c r="AC50" s="485"/>
      <c r="AD50" s="485"/>
      <c r="AE50" s="485" t="s">
        <v>424</v>
      </c>
      <c r="AF50" s="485" t="s">
        <v>448</v>
      </c>
      <c r="AG50" s="485"/>
      <c r="AH50" s="485" t="s">
        <v>526</v>
      </c>
      <c r="AI50" s="485" t="s">
        <v>527</v>
      </c>
      <c r="AJ50" s="485" t="s">
        <v>528</v>
      </c>
      <c r="AK50" s="485" t="s">
        <v>529</v>
      </c>
      <c r="AL50" s="485"/>
      <c r="AM50" s="486" t="str">
        <f t="shared" si="37"/>
        <v>I-FAP-BLR-OIL-NETS_E0</v>
      </c>
      <c r="AN50" s="486" t="str">
        <f t="shared" ref="AN50:AP50" si="50">+AM50</f>
        <v>I-FAP-BLR-OIL-NETS_E0</v>
      </c>
      <c r="AO50" s="486" t="str">
        <f t="shared" si="50"/>
        <v>I-FAP-BLR-OIL-NETS_E0</v>
      </c>
      <c r="AP50" s="486" t="str">
        <f t="shared" si="50"/>
        <v>I-FAP-BLR-OIL-NETS_E0</v>
      </c>
      <c r="AQ50" s="485"/>
    </row>
    <row r="51" spans="2:43">
      <c r="B51" t="str">
        <f t="shared" si="1"/>
        <v>I-FAP-CHP-OIL-NETS_E0</v>
      </c>
      <c r="C51" t="str">
        <f t="shared" si="2"/>
        <v>Industry - Food and Drink - CHP - Oil - Non-ETS</v>
      </c>
      <c r="D51" t="str">
        <f t="shared" si="3"/>
        <v>INDOIL</v>
      </c>
      <c r="E51" t="str">
        <f t="shared" si="4"/>
        <v>FAPHTH,FAPMTH,FAPLTH,FAPHET</v>
      </c>
      <c r="F51" s="386">
        <f>+NRG_shares!V49</f>
        <v>0.5</v>
      </c>
      <c r="G51">
        <v>25</v>
      </c>
      <c r="H51" s="460">
        <f t="shared" si="5"/>
        <v>5.3339696776190781E-3</v>
      </c>
      <c r="I51">
        <v>31.536000000000001</v>
      </c>
      <c r="J51">
        <v>0.9</v>
      </c>
      <c r="K51" s="386">
        <f>+SUMIFS(NRG_shares!W$113:W$141,NRG_shares!$T$113:$T$141,Techs!$Y51,NRG_shares!$U$113:$U$141,Techs!$AA51)</f>
        <v>0</v>
      </c>
      <c r="L51" s="386">
        <f>+SUMIFS(NRG_shares!X$113:X$141,NRG_shares!$T$113:$T$141,Techs!$Y51,NRG_shares!$U$113:$U$141,Techs!$AA51)</f>
        <v>0</v>
      </c>
      <c r="M51" s="386">
        <f>+SUMIFS(NRG_shares!Y$113:Y$141,NRG_shares!$T$113:$T$141,Techs!$Y51,NRG_shares!$U$113:$U$141,Techs!$AA51)</f>
        <v>1</v>
      </c>
      <c r="N51" s="386">
        <f>+SUMIFS(NRG_shares!Z$113:Z$141,NRG_shares!$T$113:$T$141,Techs!$Y51,NRG_shares!$U$113:$U$141,Techs!$AA51)</f>
        <v>0</v>
      </c>
      <c r="O51">
        <v>3</v>
      </c>
      <c r="P51" s="460">
        <f>NRG_shares!J49*NRG_shares!O49*Conversions!$B$3</f>
        <v>0.14082870788656346</v>
      </c>
      <c r="Q51" s="491"/>
      <c r="R51" s="460" t="str">
        <v>I-CAF-CHP-OIL-ETS_E0</v>
      </c>
      <c r="S51" s="460" t="s">
        <v>554</v>
      </c>
      <c r="T51" s="460" t="str">
        <v>CAFMTH</v>
      </c>
      <c r="U51" s="386">
        <v>1</v>
      </c>
      <c r="V51" s="385">
        <v>3</v>
      </c>
      <c r="W51" s="460"/>
      <c r="X51" s="485" t="s">
        <v>352</v>
      </c>
      <c r="Y51" s="485" t="s">
        <v>377</v>
      </c>
      <c r="Z51" s="485" t="s">
        <v>394</v>
      </c>
      <c r="AA51" s="485" t="s">
        <v>421</v>
      </c>
      <c r="AB51" s="485" t="s">
        <v>358</v>
      </c>
      <c r="AC51" s="485"/>
      <c r="AD51" s="485"/>
      <c r="AE51" s="485" t="s">
        <v>422</v>
      </c>
      <c r="AF51" s="485" t="s">
        <v>447</v>
      </c>
      <c r="AG51" s="485"/>
      <c r="AH51" s="485" t="s">
        <v>526</v>
      </c>
      <c r="AI51" s="485" t="s">
        <v>527</v>
      </c>
      <c r="AJ51" s="485" t="s">
        <v>528</v>
      </c>
      <c r="AK51" s="485" t="s">
        <v>529</v>
      </c>
      <c r="AL51" s="485"/>
      <c r="AM51" s="486" t="str">
        <f t="shared" si="37"/>
        <v>I-FAP-CHP-OIL-NETS_E0</v>
      </c>
      <c r="AN51" s="486" t="str">
        <f t="shared" ref="AN51:AP51" si="51">+AM51</f>
        <v>I-FAP-CHP-OIL-NETS_E0</v>
      </c>
      <c r="AO51" s="486" t="str">
        <f t="shared" si="51"/>
        <v>I-FAP-CHP-OIL-NETS_E0</v>
      </c>
      <c r="AP51" s="486" t="str">
        <f t="shared" si="51"/>
        <v>I-FAP-CHP-OIL-NETS_E0</v>
      </c>
      <c r="AQ51" s="485"/>
    </row>
    <row r="52" spans="2:43">
      <c r="B52" t="str">
        <f t="shared" si="1"/>
        <v>I-FAP-OVN-OIL-NETS_E0</v>
      </c>
      <c r="C52" t="str">
        <f t="shared" si="2"/>
        <v>Industry - Food and Drink - Oven - Oil - Non-ETS</v>
      </c>
      <c r="D52" t="str">
        <f t="shared" si="3"/>
        <v>INDOIL</v>
      </c>
      <c r="E52" t="str">
        <f t="shared" si="4"/>
        <v>FAPHTH,FAPMTH,FAPLTH,FAPHET</v>
      </c>
      <c r="F52" s="386">
        <f>+NRG_shares!V50</f>
        <v>0.92</v>
      </c>
      <c r="G52">
        <v>25</v>
      </c>
      <c r="H52" s="460">
        <f t="shared" si="5"/>
        <v>6.5430028045460687E-3</v>
      </c>
      <c r="I52">
        <v>31.536000000000001</v>
      </c>
      <c r="J52">
        <v>0.9</v>
      </c>
      <c r="K52" s="386">
        <f>+SUMIFS(NRG_shares!W$113:W$141,NRG_shares!$T$113:$T$141,Techs!$Y52,NRG_shares!$U$113:$U$141,Techs!$AA52)</f>
        <v>0</v>
      </c>
      <c r="L52" s="386">
        <f>+SUMIFS(NRG_shares!X$113:X$141,NRG_shares!$T$113:$T$141,Techs!$Y52,NRG_shares!$U$113:$U$141,Techs!$AA52)</f>
        <v>1</v>
      </c>
      <c r="M52" s="386">
        <f>+SUMIFS(NRG_shares!Y$113:Y$141,NRG_shares!$T$113:$T$141,Techs!$Y52,NRG_shares!$U$113:$U$141,Techs!$AA52)</f>
        <v>0</v>
      </c>
      <c r="N52" s="386">
        <f>+SUMIFS(NRG_shares!Z$113:Z$141,NRG_shares!$T$113:$T$141,Techs!$Y52,NRG_shares!$U$113:$U$141,Techs!$AA52)</f>
        <v>0</v>
      </c>
      <c r="O52">
        <v>3</v>
      </c>
      <c r="P52" s="460">
        <f>NRG_shares!J50*NRG_shares!O50*Conversions!$B$3</f>
        <v>0.17274988167418451</v>
      </c>
      <c r="Q52" s="491"/>
      <c r="R52" s="460" t="str">
        <v>I-CAF-CHP-OIL-ETS_E0</v>
      </c>
      <c r="S52" s="460" t="s">
        <v>554</v>
      </c>
      <c r="T52" s="460" t="str">
        <v>CAFLTH</v>
      </c>
      <c r="U52" s="386">
        <v>0</v>
      </c>
      <c r="V52" s="385">
        <v>3</v>
      </c>
      <c r="W52" s="460"/>
      <c r="X52" s="485" t="s">
        <v>352</v>
      </c>
      <c r="Y52" s="485" t="s">
        <v>377</v>
      </c>
      <c r="Z52" s="485" t="s">
        <v>394</v>
      </c>
      <c r="AA52" s="485" t="s">
        <v>423</v>
      </c>
      <c r="AB52" s="485" t="s">
        <v>358</v>
      </c>
      <c r="AC52" s="485"/>
      <c r="AD52" s="485"/>
      <c r="AE52" s="485" t="s">
        <v>421</v>
      </c>
      <c r="AF52" s="485" t="s">
        <v>421</v>
      </c>
      <c r="AG52" s="485"/>
      <c r="AH52" s="485" t="s">
        <v>526</v>
      </c>
      <c r="AI52" s="485" t="s">
        <v>527</v>
      </c>
      <c r="AJ52" s="485" t="s">
        <v>528</v>
      </c>
      <c r="AK52" s="485" t="s">
        <v>529</v>
      </c>
      <c r="AL52" s="485"/>
      <c r="AM52" s="486" t="str">
        <f t="shared" si="37"/>
        <v>I-FAP-OVN-OIL-NETS_E0</v>
      </c>
      <c r="AN52" s="486" t="str">
        <f t="shared" ref="AN52:AP52" si="52">+AM52</f>
        <v>I-FAP-OVN-OIL-NETS_E0</v>
      </c>
      <c r="AO52" s="486" t="str">
        <f t="shared" si="52"/>
        <v>I-FAP-OVN-OIL-NETS_E0</v>
      </c>
      <c r="AP52" s="486" t="str">
        <f t="shared" si="52"/>
        <v>I-FAP-OVN-OIL-NETS_E0</v>
      </c>
      <c r="AQ52" s="485"/>
    </row>
    <row r="53" spans="2:43">
      <c r="B53" t="str">
        <f t="shared" si="1"/>
        <v>I-FAP-DRR-OIL-NETS_E0</v>
      </c>
      <c r="C53" t="str">
        <f t="shared" si="2"/>
        <v>Industry - Food and Drink - Dryer - Oil - Non-ETS</v>
      </c>
      <c r="D53" t="str">
        <f t="shared" si="3"/>
        <v>INDOIL</v>
      </c>
      <c r="E53" t="str">
        <f t="shared" si="4"/>
        <v>FAPHTH,FAPMTH,FAPLTH,FAPHET</v>
      </c>
      <c r="F53" s="386">
        <f>+NRG_shares!V51</f>
        <v>0.92</v>
      </c>
      <c r="G53">
        <v>25</v>
      </c>
      <c r="H53" s="460">
        <f t="shared" si="5"/>
        <v>3.2715014022730343E-3</v>
      </c>
      <c r="I53">
        <v>31.536000000000001</v>
      </c>
      <c r="J53">
        <v>0.9</v>
      </c>
      <c r="K53" s="386">
        <f>+SUMIFS(NRG_shares!W$113:W$141,NRG_shares!$T$113:$T$141,Techs!$Y53,NRG_shares!$U$113:$U$141,Techs!$AA53)</f>
        <v>0</v>
      </c>
      <c r="L53" s="386">
        <f>+SUMIFS(NRG_shares!X$113:X$141,NRG_shares!$T$113:$T$141,Techs!$Y53,NRG_shares!$U$113:$U$141,Techs!$AA53)</f>
        <v>0</v>
      </c>
      <c r="M53" s="386">
        <f>+SUMIFS(NRG_shares!Y$113:Y$141,NRG_shares!$T$113:$T$141,Techs!$Y53,NRG_shares!$U$113:$U$141,Techs!$AA53)</f>
        <v>0</v>
      </c>
      <c r="N53" s="386">
        <f>+SUMIFS(NRG_shares!Z$113:Z$141,NRG_shares!$T$113:$T$141,Techs!$Y53,NRG_shares!$U$113:$U$141,Techs!$AA53)</f>
        <v>1</v>
      </c>
      <c r="O53">
        <v>3</v>
      </c>
      <c r="P53" s="460">
        <f>NRG_shares!J51*NRG_shares!O51*Conversions!$B$3</f>
        <v>8.6374940837092254E-2</v>
      </c>
      <c r="Q53" s="491"/>
      <c r="R53" s="460" t="str">
        <v>I-CAF-CHP-OIL-ETS_E0</v>
      </c>
      <c r="S53" s="460" t="s">
        <v>554</v>
      </c>
      <c r="T53" s="460" t="str">
        <v>CAFHET</v>
      </c>
      <c r="U53" s="386">
        <v>0</v>
      </c>
      <c r="V53" s="385">
        <v>3</v>
      </c>
      <c r="W53" s="460"/>
      <c r="X53" s="485" t="s">
        <v>352</v>
      </c>
      <c r="Y53" s="485" t="s">
        <v>377</v>
      </c>
      <c r="Z53" s="485" t="s">
        <v>394</v>
      </c>
      <c r="AA53" s="485" t="s">
        <v>420</v>
      </c>
      <c r="AB53" s="485" t="s">
        <v>358</v>
      </c>
      <c r="AC53" s="485"/>
      <c r="AD53" s="485"/>
      <c r="AE53" s="485" t="s">
        <v>420</v>
      </c>
      <c r="AF53" s="485" t="s">
        <v>445</v>
      </c>
      <c r="AG53" s="485"/>
      <c r="AH53" s="485" t="s">
        <v>526</v>
      </c>
      <c r="AI53" s="485" t="s">
        <v>527</v>
      </c>
      <c r="AJ53" s="485" t="s">
        <v>528</v>
      </c>
      <c r="AK53" s="485" t="s">
        <v>529</v>
      </c>
      <c r="AL53" s="485"/>
      <c r="AM53" s="486" t="str">
        <f t="shared" si="37"/>
        <v>I-FAP-DRR-OIL-NETS_E0</v>
      </c>
      <c r="AN53" s="486" t="str">
        <f t="shared" ref="AN53:AP53" si="53">+AM53</f>
        <v>I-FAP-DRR-OIL-NETS_E0</v>
      </c>
      <c r="AO53" s="486" t="str">
        <f t="shared" si="53"/>
        <v>I-FAP-DRR-OIL-NETS_E0</v>
      </c>
      <c r="AP53" s="486" t="str">
        <f t="shared" si="53"/>
        <v>I-FAP-DRR-OIL-NETS_E0</v>
      </c>
      <c r="AQ53" s="485"/>
    </row>
    <row r="54" spans="2:43">
      <c r="B54" t="str">
        <f t="shared" si="1"/>
        <v>I-FAP-BLR-GAS-NETS_E0</v>
      </c>
      <c r="C54" t="str">
        <f t="shared" si="2"/>
        <v>Industry - Food and Drink - Boiler - Gas - Non-ETS</v>
      </c>
      <c r="D54" t="str">
        <f t="shared" si="3"/>
        <v>INDGAS</v>
      </c>
      <c r="E54" t="str">
        <f t="shared" si="4"/>
        <v>FAPHTH,FAPMTH,FAPLTH,FAPHET</v>
      </c>
      <c r="F54" s="386">
        <f>+NRG_shares!V52</f>
        <v>0.92</v>
      </c>
      <c r="G54">
        <v>25</v>
      </c>
      <c r="H54" s="460">
        <f t="shared" si="5"/>
        <v>1.2813509692799617E-2</v>
      </c>
      <c r="I54">
        <v>31.536000000000001</v>
      </c>
      <c r="J54">
        <v>0.9</v>
      </c>
      <c r="K54" s="386">
        <f>+SUMIFS(NRG_shares!W$113:W$141,NRG_shares!$T$113:$T$141,Techs!$Y54,NRG_shares!$U$113:$U$141,Techs!$AA54)</f>
        <v>0</v>
      </c>
      <c r="L54" s="386">
        <f>+SUMIFS(NRG_shares!X$113:X$141,NRG_shares!$T$113:$T$141,Techs!$Y54,NRG_shares!$U$113:$U$141,Techs!$AA54)</f>
        <v>0.10000000000000002</v>
      </c>
      <c r="M54" s="386">
        <f>+SUMIFS(NRG_shares!Y$113:Y$141,NRG_shares!$T$113:$T$141,Techs!$Y54,NRG_shares!$U$113:$U$141,Techs!$AA54)</f>
        <v>0.60000000000000009</v>
      </c>
      <c r="N54" s="386">
        <f>+SUMIFS(NRG_shares!Z$113:Z$141,NRG_shares!$T$113:$T$141,Techs!$Y54,NRG_shares!$U$113:$U$141,Techs!$AA54)</f>
        <v>0.30000000000000004</v>
      </c>
      <c r="O54">
        <v>3</v>
      </c>
      <c r="P54" s="460">
        <f>NRG_shares!J52*NRG_shares!O52*Conversions!$B$3</f>
        <v>0.33830526279527057</v>
      </c>
      <c r="Q54" s="491"/>
      <c r="R54" s="460" t="str">
        <v>I-CAF-OVN-OIL-ETS_E0</v>
      </c>
      <c r="S54" s="460" t="s">
        <v>554</v>
      </c>
      <c r="T54" s="460" t="str">
        <v>CAFHTH</v>
      </c>
      <c r="U54" s="386">
        <v>0</v>
      </c>
      <c r="V54" s="385">
        <v>3</v>
      </c>
      <c r="W54" s="460"/>
      <c r="X54" s="485" t="s">
        <v>352</v>
      </c>
      <c r="Y54" s="485" t="s">
        <v>377</v>
      </c>
      <c r="Z54" s="485" t="s">
        <v>394</v>
      </c>
      <c r="AA54" s="485" t="s">
        <v>422</v>
      </c>
      <c r="AB54" s="485" t="s">
        <v>356</v>
      </c>
      <c r="AC54" s="485"/>
      <c r="AD54" s="485"/>
      <c r="AE54" s="485" t="s">
        <v>423</v>
      </c>
      <c r="AF54" s="485" t="s">
        <v>446</v>
      </c>
      <c r="AG54" s="485"/>
      <c r="AH54" s="485" t="s">
        <v>526</v>
      </c>
      <c r="AI54" s="485" t="s">
        <v>527</v>
      </c>
      <c r="AJ54" s="485" t="s">
        <v>528</v>
      </c>
      <c r="AK54" s="485" t="s">
        <v>529</v>
      </c>
      <c r="AL54" s="485"/>
      <c r="AM54" s="486" t="str">
        <f t="shared" si="37"/>
        <v>I-FAP-BLR-GAS-NETS_E0</v>
      </c>
      <c r="AN54" s="486" t="str">
        <f t="shared" ref="AN54:AP54" si="54">+AM54</f>
        <v>I-FAP-BLR-GAS-NETS_E0</v>
      </c>
      <c r="AO54" s="486" t="str">
        <f t="shared" si="54"/>
        <v>I-FAP-BLR-GAS-NETS_E0</v>
      </c>
      <c r="AP54" s="486" t="str">
        <f t="shared" si="54"/>
        <v>I-FAP-BLR-GAS-NETS_E0</v>
      </c>
      <c r="AQ54" s="485"/>
    </row>
    <row r="55" spans="2:43">
      <c r="B55" t="str">
        <f t="shared" si="1"/>
        <v>I-FAP-CHP-GAS-NETS_E0</v>
      </c>
      <c r="C55" t="str">
        <f t="shared" si="2"/>
        <v>Industry - Food and Drink - CHP - Gas - Non-ETS</v>
      </c>
      <c r="D55" t="str">
        <f t="shared" si="3"/>
        <v>INDGAS</v>
      </c>
      <c r="E55" t="str">
        <f t="shared" si="4"/>
        <v>FAPHTH,FAPMTH,FAPLTH,FAPHET</v>
      </c>
      <c r="F55" s="386">
        <f>+NRG_shares!V53</f>
        <v>0.5</v>
      </c>
      <c r="G55">
        <v>25</v>
      </c>
      <c r="H55" s="460">
        <f t="shared" si="5"/>
        <v>1.4922565636024396E-3</v>
      </c>
      <c r="I55">
        <v>31.536000000000001</v>
      </c>
      <c r="J55">
        <v>0.9</v>
      </c>
      <c r="K55" s="386">
        <f>+SUMIFS(NRG_shares!W$113:W$141,NRG_shares!$T$113:$T$141,Techs!$Y55,NRG_shares!$U$113:$U$141,Techs!$AA55)</f>
        <v>0</v>
      </c>
      <c r="L55" s="386">
        <f>+SUMIFS(NRG_shares!X$113:X$141,NRG_shares!$T$113:$T$141,Techs!$Y55,NRG_shares!$U$113:$U$141,Techs!$AA55)</f>
        <v>0</v>
      </c>
      <c r="M55" s="386">
        <f>+SUMIFS(NRG_shares!Y$113:Y$141,NRG_shares!$T$113:$T$141,Techs!$Y55,NRG_shares!$U$113:$U$141,Techs!$AA55)</f>
        <v>1</v>
      </c>
      <c r="N55" s="386">
        <f>+SUMIFS(NRG_shares!Z$113:Z$141,NRG_shares!$T$113:$T$141,Techs!$Y55,NRG_shares!$U$113:$U$141,Techs!$AA55)</f>
        <v>0</v>
      </c>
      <c r="O55">
        <v>3</v>
      </c>
      <c r="P55" s="460">
        <f>NRG_shares!J53*NRG_shares!O53*Conversions!$B$3</f>
        <v>3.9398904828641758E-2</v>
      </c>
      <c r="Q55" s="491"/>
      <c r="R55" s="460" t="str">
        <v>I-CAF-OVN-OIL-ETS_E0</v>
      </c>
      <c r="S55" s="460" t="s">
        <v>554</v>
      </c>
      <c r="T55" s="460" t="str">
        <v>CAFMTH</v>
      </c>
      <c r="U55" s="386">
        <v>0</v>
      </c>
      <c r="V55" s="385">
        <v>3</v>
      </c>
      <c r="W55" s="460"/>
      <c r="X55" s="485" t="s">
        <v>352</v>
      </c>
      <c r="Y55" s="485" t="s">
        <v>377</v>
      </c>
      <c r="Z55" s="485" t="s">
        <v>394</v>
      </c>
      <c r="AA55" s="485" t="s">
        <v>421</v>
      </c>
      <c r="AB55" s="485" t="s">
        <v>356</v>
      </c>
      <c r="AC55" s="485"/>
      <c r="AD55" s="485"/>
      <c r="AE55" s="485" t="s">
        <v>424</v>
      </c>
      <c r="AF55" s="485" t="s">
        <v>448</v>
      </c>
      <c r="AG55" s="485"/>
      <c r="AH55" s="485" t="s">
        <v>526</v>
      </c>
      <c r="AI55" s="485" t="s">
        <v>527</v>
      </c>
      <c r="AJ55" s="485" t="s">
        <v>528</v>
      </c>
      <c r="AK55" s="485" t="s">
        <v>529</v>
      </c>
      <c r="AL55" s="485"/>
      <c r="AM55" s="486" t="str">
        <f t="shared" si="37"/>
        <v>I-FAP-CHP-GAS-NETS_E0</v>
      </c>
      <c r="AN55" s="486" t="str">
        <f t="shared" ref="AN55:AP55" si="55">+AM55</f>
        <v>I-FAP-CHP-GAS-NETS_E0</v>
      </c>
      <c r="AO55" s="486" t="str">
        <f t="shared" si="55"/>
        <v>I-FAP-CHP-GAS-NETS_E0</v>
      </c>
      <c r="AP55" s="486" t="str">
        <f t="shared" si="55"/>
        <v>I-FAP-CHP-GAS-NETS_E0</v>
      </c>
      <c r="AQ55" s="485"/>
    </row>
    <row r="56" spans="2:43">
      <c r="B56" t="str">
        <f t="shared" si="1"/>
        <v>I-FAP-OVN-GAS-NETS_E0</v>
      </c>
      <c r="C56" t="str">
        <f t="shared" si="2"/>
        <v>Industry - Food and Drink - Oven - Gas - Non-ETS</v>
      </c>
      <c r="D56" t="str">
        <f t="shared" si="3"/>
        <v>INDGAS</v>
      </c>
      <c r="E56" t="str">
        <f t="shared" si="4"/>
        <v>FAPHTH,FAPMTH,FAPLTH,FAPHET</v>
      </c>
      <c r="F56" s="386">
        <f>+NRG_shares!V54</f>
        <v>0.92</v>
      </c>
      <c r="G56">
        <v>25</v>
      </c>
      <c r="H56" s="460">
        <f t="shared" si="5"/>
        <v>1.8305013846856596E-3</v>
      </c>
      <c r="I56">
        <v>31.536000000000001</v>
      </c>
      <c r="J56">
        <v>0.9</v>
      </c>
      <c r="K56" s="386">
        <f>+SUMIFS(NRG_shares!W$113:W$141,NRG_shares!$T$113:$T$141,Techs!$Y56,NRG_shares!$U$113:$U$141,Techs!$AA56)</f>
        <v>0</v>
      </c>
      <c r="L56" s="386">
        <f>+SUMIFS(NRG_shares!X$113:X$141,NRG_shares!$T$113:$T$141,Techs!$Y56,NRG_shares!$U$113:$U$141,Techs!$AA56)</f>
        <v>1</v>
      </c>
      <c r="M56" s="386">
        <f>+SUMIFS(NRG_shares!Y$113:Y$141,NRG_shares!$T$113:$T$141,Techs!$Y56,NRG_shares!$U$113:$U$141,Techs!$AA56)</f>
        <v>0</v>
      </c>
      <c r="N56" s="386">
        <f>+SUMIFS(NRG_shares!Z$113:Z$141,NRG_shares!$T$113:$T$141,Techs!$Y56,NRG_shares!$U$113:$U$141,Techs!$AA56)</f>
        <v>0</v>
      </c>
      <c r="O56">
        <v>3</v>
      </c>
      <c r="P56" s="460">
        <f>NRG_shares!J54*NRG_shares!O54*Conversions!$B$3</f>
        <v>4.8329323256467223E-2</v>
      </c>
      <c r="Q56" s="491"/>
      <c r="R56" s="460" t="str">
        <v>I-CAF-OVN-OIL-ETS_E0</v>
      </c>
      <c r="S56" s="460" t="s">
        <v>554</v>
      </c>
      <c r="T56" s="460" t="str">
        <v>CAFLTH</v>
      </c>
      <c r="U56" s="386">
        <v>1</v>
      </c>
      <c r="V56" s="385">
        <v>3</v>
      </c>
      <c r="W56" s="460"/>
      <c r="X56" s="485" t="s">
        <v>352</v>
      </c>
      <c r="Y56" s="485" t="s">
        <v>377</v>
      </c>
      <c r="Z56" s="485" t="s">
        <v>394</v>
      </c>
      <c r="AA56" s="485" t="s">
        <v>423</v>
      </c>
      <c r="AB56" s="485" t="s">
        <v>356</v>
      </c>
      <c r="AC56" s="485"/>
      <c r="AD56" s="485"/>
      <c r="AE56" s="485" t="s">
        <v>420</v>
      </c>
      <c r="AF56" s="485" t="s">
        <v>445</v>
      </c>
      <c r="AG56" s="485"/>
      <c r="AH56" s="485" t="s">
        <v>526</v>
      </c>
      <c r="AI56" s="485" t="s">
        <v>527</v>
      </c>
      <c r="AJ56" s="485" t="s">
        <v>528</v>
      </c>
      <c r="AK56" s="485" t="s">
        <v>529</v>
      </c>
      <c r="AL56" s="485"/>
      <c r="AM56" s="486" t="str">
        <f t="shared" si="37"/>
        <v>I-FAP-OVN-GAS-NETS_E0</v>
      </c>
      <c r="AN56" s="486" t="str">
        <f t="shared" ref="AN56:AP56" si="56">+AM56</f>
        <v>I-FAP-OVN-GAS-NETS_E0</v>
      </c>
      <c r="AO56" s="486" t="str">
        <f t="shared" si="56"/>
        <v>I-FAP-OVN-GAS-NETS_E0</v>
      </c>
      <c r="AP56" s="486" t="str">
        <f t="shared" si="56"/>
        <v>I-FAP-OVN-GAS-NETS_E0</v>
      </c>
      <c r="AQ56" s="485"/>
    </row>
    <row r="57" spans="2:43">
      <c r="B57" t="str">
        <f t="shared" si="1"/>
        <v>I-FAP-DRR-GAS-NETS_E0</v>
      </c>
      <c r="C57" t="str">
        <f t="shared" si="2"/>
        <v>Industry - Food and Drink - Dryer - Gas - Non-ETS</v>
      </c>
      <c r="D57" t="str">
        <f t="shared" si="3"/>
        <v>INDGAS</v>
      </c>
      <c r="E57" t="str">
        <f t="shared" si="4"/>
        <v>FAPHTH,FAPMTH,FAPLTH,FAPHET</v>
      </c>
      <c r="F57" s="386">
        <f>+NRG_shares!V55</f>
        <v>0.92</v>
      </c>
      <c r="G57">
        <v>25</v>
      </c>
      <c r="H57" s="460">
        <f t="shared" si="5"/>
        <v>0</v>
      </c>
      <c r="I57">
        <v>31.536000000000001</v>
      </c>
      <c r="J57">
        <v>0.9</v>
      </c>
      <c r="K57" s="386">
        <f>+SUMIFS(NRG_shares!W$113:W$141,NRG_shares!$T$113:$T$141,Techs!$Y57,NRG_shares!$U$113:$U$141,Techs!$AA57)</f>
        <v>0</v>
      </c>
      <c r="L57" s="386">
        <f>+SUMIFS(NRG_shares!X$113:X$141,NRG_shares!$T$113:$T$141,Techs!$Y57,NRG_shares!$U$113:$U$141,Techs!$AA57)</f>
        <v>0</v>
      </c>
      <c r="M57" s="386">
        <f>+SUMIFS(NRG_shares!Y$113:Y$141,NRG_shares!$T$113:$T$141,Techs!$Y57,NRG_shares!$U$113:$U$141,Techs!$AA57)</f>
        <v>0</v>
      </c>
      <c r="N57" s="386">
        <f>+SUMIFS(NRG_shares!Z$113:Z$141,NRG_shares!$T$113:$T$141,Techs!$Y57,NRG_shares!$U$113:$U$141,Techs!$AA57)</f>
        <v>1</v>
      </c>
      <c r="O57">
        <v>3</v>
      </c>
      <c r="P57" s="460">
        <f>NRG_shares!J55*NRG_shares!O55*Conversions!$B$3</f>
        <v>2.4164661628233611E-2</v>
      </c>
      <c r="Q57" s="491"/>
      <c r="R57" s="460" t="str">
        <v>I-CAF-OVN-OIL-ETS_E0</v>
      </c>
      <c r="S57" s="460" t="s">
        <v>554</v>
      </c>
      <c r="T57" s="460" t="str">
        <v>CAFHET</v>
      </c>
      <c r="U57" s="386">
        <v>0</v>
      </c>
      <c r="V57" s="385">
        <v>3</v>
      </c>
      <c r="W57" s="460"/>
      <c r="X57" s="485" t="s">
        <v>352</v>
      </c>
      <c r="Y57" s="485" t="s">
        <v>377</v>
      </c>
      <c r="Z57" s="485" t="s">
        <v>394</v>
      </c>
      <c r="AA57" s="485" t="s">
        <v>420</v>
      </c>
      <c r="AB57" s="485" t="s">
        <v>356</v>
      </c>
      <c r="AC57" s="485"/>
      <c r="AD57" s="485"/>
      <c r="AE57" s="485" t="s">
        <v>422</v>
      </c>
      <c r="AF57" s="485" t="s">
        <v>447</v>
      </c>
      <c r="AG57" s="485"/>
      <c r="AH57" s="485" t="s">
        <v>526</v>
      </c>
      <c r="AI57" s="485" t="s">
        <v>527</v>
      </c>
      <c r="AJ57" s="485" t="s">
        <v>528</v>
      </c>
      <c r="AK57" s="485" t="s">
        <v>529</v>
      </c>
      <c r="AL57" s="485"/>
      <c r="AM57" s="486" t="str">
        <f t="shared" si="37"/>
        <v>I-FAP-DRR-GAS-NETS_E0</v>
      </c>
      <c r="AN57" s="486" t="str">
        <f t="shared" ref="AN57:AP57" si="57">+AM57</f>
        <v>I-FAP-DRR-GAS-NETS_E0</v>
      </c>
      <c r="AO57" s="486" t="str">
        <f t="shared" si="57"/>
        <v>I-FAP-DRR-GAS-NETS_E0</v>
      </c>
      <c r="AP57" s="486" t="str">
        <f t="shared" si="57"/>
        <v>I-FAP-DRR-GAS-NETS_E0</v>
      </c>
      <c r="AQ57" s="485"/>
    </row>
    <row r="58" spans="2:43">
      <c r="B58" t="str">
        <f t="shared" si="1"/>
        <v>I-LIM-KLN-COA-ETS_E0</v>
      </c>
      <c r="C58" t="str">
        <f t="shared" si="2"/>
        <v>Industry - Lime - Cement/Lime Kiln - Solid Fuels - ETS</v>
      </c>
      <c r="D58" t="str">
        <f t="shared" si="3"/>
        <v>INDCOA,INDCOK</v>
      </c>
      <c r="E58" t="str">
        <f t="shared" si="4"/>
        <v>LIMHTH,LIMMTH,LIMLTH,LIMHET</v>
      </c>
      <c r="F58" s="386">
        <f>+NRG_shares!V56</f>
        <v>0.9</v>
      </c>
      <c r="G58">
        <v>25</v>
      </c>
      <c r="H58" s="460">
        <f t="shared" si="5"/>
        <v>1.6860080961544118E-2</v>
      </c>
      <c r="I58">
        <v>31.536000000000001</v>
      </c>
      <c r="J58">
        <v>0.9</v>
      </c>
      <c r="K58" s="386">
        <f>+SUMIFS(NRG_shares!W$113:W$141,NRG_shares!$T$113:$T$141,Techs!$Y58,NRG_shares!$U$113:$U$141,Techs!$AA58)</f>
        <v>1</v>
      </c>
      <c r="L58" s="386">
        <f>+SUMIFS(NRG_shares!X$113:X$141,NRG_shares!$T$113:$T$141,Techs!$Y58,NRG_shares!$U$113:$U$141,Techs!$AA58)</f>
        <v>0</v>
      </c>
      <c r="M58" s="386">
        <f>+SUMIFS(NRG_shares!Y$113:Y$141,NRG_shares!$T$113:$T$141,Techs!$Y58,NRG_shares!$U$113:$U$141,Techs!$AA58)</f>
        <v>0</v>
      </c>
      <c r="N58" s="386">
        <f>+SUMIFS(NRG_shares!Z$113:Z$141,NRG_shares!$T$113:$T$141,Techs!$Y58,NRG_shares!$U$113:$U$141,Techs!$AA58)</f>
        <v>0</v>
      </c>
      <c r="O58">
        <v>3</v>
      </c>
      <c r="P58" s="460">
        <f>NRG_shares!J56*NRG_shares!O56*Conversions!$B$3</f>
        <v>0.44514377849574865</v>
      </c>
      <c r="Q58" s="491"/>
      <c r="R58" s="460" t="str">
        <v>I-CAF-BLR-GAS-ETS_E0</v>
      </c>
      <c r="S58" s="460" t="s">
        <v>554</v>
      </c>
      <c r="T58" s="460" t="str">
        <v>CAFHTH</v>
      </c>
      <c r="U58" s="386">
        <v>0</v>
      </c>
      <c r="V58" s="385">
        <v>3</v>
      </c>
      <c r="W58" s="460"/>
      <c r="X58" s="485" t="s">
        <v>352</v>
      </c>
      <c r="Y58" s="485" t="s">
        <v>370</v>
      </c>
      <c r="Z58" s="485" t="s">
        <v>354</v>
      </c>
      <c r="AA58" s="485" t="s">
        <v>419</v>
      </c>
      <c r="AB58" s="485" t="s">
        <v>365</v>
      </c>
      <c r="AC58" s="485"/>
      <c r="AD58" s="485"/>
      <c r="AE58" s="485" t="s">
        <v>425</v>
      </c>
      <c r="AF58" s="485" t="s">
        <v>449</v>
      </c>
      <c r="AG58" s="485"/>
      <c r="AH58" s="485" t="s">
        <v>530</v>
      </c>
      <c r="AI58" s="485" t="s">
        <v>531</v>
      </c>
      <c r="AJ58" s="485" t="s">
        <v>532</v>
      </c>
      <c r="AK58" s="485" t="s">
        <v>533</v>
      </c>
      <c r="AL58" s="485"/>
      <c r="AM58" s="486" t="str">
        <f t="shared" si="37"/>
        <v>I-LIM-KLN-COA-ETS_E0</v>
      </c>
      <c r="AN58" s="486" t="str">
        <f t="shared" ref="AN58:AP58" si="58">+AM58</f>
        <v>I-LIM-KLN-COA-ETS_E0</v>
      </c>
      <c r="AO58" s="486" t="str">
        <f t="shared" si="58"/>
        <v>I-LIM-KLN-COA-ETS_E0</v>
      </c>
      <c r="AP58" s="486" t="str">
        <f t="shared" si="58"/>
        <v>I-LIM-KLN-COA-ETS_E0</v>
      </c>
      <c r="AQ58" s="485"/>
    </row>
    <row r="59" spans="2:43">
      <c r="B59" t="str">
        <f t="shared" si="1"/>
        <v>I-LIM-OKL-COA-ETS_E0</v>
      </c>
      <c r="C59" t="str">
        <f t="shared" si="2"/>
        <v>Industry - Lime - Other Kiln - Solid Fuels - ETS</v>
      </c>
      <c r="D59" t="str">
        <f t="shared" si="3"/>
        <v>INDCOA,INDCOK</v>
      </c>
      <c r="E59" t="str">
        <f t="shared" si="4"/>
        <v>LIMHTH,LIMMTH,LIMLTH,LIMHET</v>
      </c>
      <c r="F59" s="386">
        <f>+NRG_shares!V57</f>
        <v>0.85</v>
      </c>
      <c r="G59">
        <v>25</v>
      </c>
      <c r="H59" s="460">
        <f t="shared" si="5"/>
        <v>1.0615606531342592E-3</v>
      </c>
      <c r="I59">
        <v>31.536000000000001</v>
      </c>
      <c r="J59">
        <v>0.9</v>
      </c>
      <c r="K59" s="386">
        <f>+SUMIFS(NRG_shares!W$113:W$141,NRG_shares!$T$113:$T$141,Techs!$Y59,NRG_shares!$U$113:$U$141,Techs!$AA59)</f>
        <v>1</v>
      </c>
      <c r="L59" s="386">
        <f>+SUMIFS(NRG_shares!X$113:X$141,NRG_shares!$T$113:$T$141,Techs!$Y59,NRG_shares!$U$113:$U$141,Techs!$AA59)</f>
        <v>0</v>
      </c>
      <c r="M59" s="386">
        <f>+SUMIFS(NRG_shares!Y$113:Y$141,NRG_shares!$T$113:$T$141,Techs!$Y59,NRG_shares!$U$113:$U$141,Techs!$AA59)</f>
        <v>0</v>
      </c>
      <c r="N59" s="386">
        <f>+SUMIFS(NRG_shares!Z$113:Z$141,NRG_shares!$T$113:$T$141,Techs!$Y59,NRG_shares!$U$113:$U$141,Techs!$AA59)</f>
        <v>0</v>
      </c>
      <c r="O59">
        <v>3</v>
      </c>
      <c r="P59" s="460">
        <f>NRG_shares!J57*NRG_shares!O57*Conversions!$B$3</f>
        <v>2.8027571238621214E-2</v>
      </c>
      <c r="Q59" s="491"/>
      <c r="R59" s="460" t="str">
        <v>I-CAF-BLR-GAS-ETS_E0</v>
      </c>
      <c r="S59" s="460" t="s">
        <v>554</v>
      </c>
      <c r="T59" s="460" t="str">
        <v>CAFMTH</v>
      </c>
      <c r="U59" s="386">
        <v>0.1</v>
      </c>
      <c r="V59" s="385">
        <v>3</v>
      </c>
      <c r="W59" s="460"/>
      <c r="X59" s="485" t="s">
        <v>352</v>
      </c>
      <c r="Y59" s="485" t="s">
        <v>370</v>
      </c>
      <c r="Z59" s="485" t="s">
        <v>354</v>
      </c>
      <c r="AA59" s="485" t="s">
        <v>425</v>
      </c>
      <c r="AB59" s="485" t="s">
        <v>365</v>
      </c>
      <c r="AC59" s="485"/>
      <c r="AD59" s="485"/>
      <c r="AE59" s="485" t="s">
        <v>421</v>
      </c>
      <c r="AF59" s="485" t="s">
        <v>421</v>
      </c>
      <c r="AG59" s="485"/>
      <c r="AH59" s="485" t="s">
        <v>530</v>
      </c>
      <c r="AI59" s="485" t="s">
        <v>531</v>
      </c>
      <c r="AJ59" s="485" t="s">
        <v>532</v>
      </c>
      <c r="AK59" s="485" t="s">
        <v>533</v>
      </c>
      <c r="AL59" s="485"/>
      <c r="AM59" s="486" t="str">
        <f t="shared" si="37"/>
        <v>I-LIM-OKL-COA-ETS_E0</v>
      </c>
      <c r="AN59" s="486" t="str">
        <f t="shared" ref="AN59:AP59" si="59">+AM59</f>
        <v>I-LIM-OKL-COA-ETS_E0</v>
      </c>
      <c r="AO59" s="486" t="str">
        <f t="shared" si="59"/>
        <v>I-LIM-OKL-COA-ETS_E0</v>
      </c>
      <c r="AP59" s="486" t="str">
        <f t="shared" si="59"/>
        <v>I-LIM-OKL-COA-ETS_E0</v>
      </c>
      <c r="AQ59" s="485"/>
    </row>
    <row r="60" spans="2:43">
      <c r="B60" t="str">
        <f t="shared" si="1"/>
        <v>I-LIM-FRN-COA-ETS_E0</v>
      </c>
      <c r="C60" t="str">
        <f t="shared" si="2"/>
        <v>Industry - Lime - Furnace - Solid Fuels - ETS</v>
      </c>
      <c r="D60" t="str">
        <f t="shared" si="3"/>
        <v>INDCOA,INDCOK</v>
      </c>
      <c r="E60" t="str">
        <f t="shared" si="4"/>
        <v>LIMHTH,LIMMTH,LIMLTH,LIMHET</v>
      </c>
      <c r="F60" s="386">
        <f>+NRG_shares!V58</f>
        <v>0.85</v>
      </c>
      <c r="G60">
        <v>25</v>
      </c>
      <c r="H60" s="460">
        <f t="shared" si="5"/>
        <v>4.2462426125370366E-3</v>
      </c>
      <c r="I60">
        <v>31.536000000000001</v>
      </c>
      <c r="J60">
        <v>0.9</v>
      </c>
      <c r="K60" s="386">
        <f>+SUMIFS(NRG_shares!W$113:W$141,NRG_shares!$T$113:$T$141,Techs!$Y60,NRG_shares!$U$113:$U$141,Techs!$AA60)</f>
        <v>1</v>
      </c>
      <c r="L60" s="386">
        <f>+SUMIFS(NRG_shares!X$113:X$141,NRG_shares!$T$113:$T$141,Techs!$Y60,NRG_shares!$U$113:$U$141,Techs!$AA60)</f>
        <v>0</v>
      </c>
      <c r="M60" s="386">
        <f>+SUMIFS(NRG_shares!Y$113:Y$141,NRG_shares!$T$113:$T$141,Techs!$Y60,NRG_shares!$U$113:$U$141,Techs!$AA60)</f>
        <v>0</v>
      </c>
      <c r="N60" s="386">
        <f>+SUMIFS(NRG_shares!Z$113:Z$141,NRG_shares!$T$113:$T$141,Techs!$Y60,NRG_shares!$U$113:$U$141,Techs!$AA60)</f>
        <v>0</v>
      </c>
      <c r="O60">
        <v>3</v>
      </c>
      <c r="P60" s="460">
        <f>NRG_shares!J58*NRG_shares!O58*Conversions!$B$3</f>
        <v>0.11211028495448486</v>
      </c>
      <c r="Q60" s="491"/>
      <c r="R60" s="460" t="str">
        <v>I-CAF-BLR-GAS-ETS_E0</v>
      </c>
      <c r="S60" s="460" t="s">
        <v>554</v>
      </c>
      <c r="T60" s="460" t="str">
        <v>CAFLTH</v>
      </c>
      <c r="U60" s="386">
        <v>0.7</v>
      </c>
      <c r="V60" s="385">
        <v>3</v>
      </c>
      <c r="W60" s="460"/>
      <c r="X60" s="485" t="s">
        <v>352</v>
      </c>
      <c r="Y60" s="485" t="s">
        <v>370</v>
      </c>
      <c r="Z60" s="485" t="s">
        <v>354</v>
      </c>
      <c r="AA60" s="485" t="s">
        <v>424</v>
      </c>
      <c r="AB60" s="485" t="s">
        <v>365</v>
      </c>
      <c r="AC60" s="485"/>
      <c r="AD60" s="485"/>
      <c r="AE60" s="485" t="s">
        <v>422</v>
      </c>
      <c r="AF60" s="485" t="s">
        <v>447</v>
      </c>
      <c r="AG60" s="485"/>
      <c r="AH60" s="485" t="s">
        <v>530</v>
      </c>
      <c r="AI60" s="485" t="s">
        <v>531</v>
      </c>
      <c r="AJ60" s="485" t="s">
        <v>532</v>
      </c>
      <c r="AK60" s="485" t="s">
        <v>533</v>
      </c>
      <c r="AL60" s="485"/>
      <c r="AM60" s="486" t="str">
        <f t="shared" si="37"/>
        <v>I-LIM-FRN-COA-ETS_E0</v>
      </c>
      <c r="AN60" s="486" t="str">
        <f t="shared" ref="AN60:AP60" si="60">+AM60</f>
        <v>I-LIM-FRN-COA-ETS_E0</v>
      </c>
      <c r="AO60" s="486" t="str">
        <f t="shared" si="60"/>
        <v>I-LIM-FRN-COA-ETS_E0</v>
      </c>
      <c r="AP60" s="486" t="str">
        <f t="shared" si="60"/>
        <v>I-LIM-FRN-COA-ETS_E0</v>
      </c>
      <c r="AQ60" s="485"/>
    </row>
    <row r="61" spans="2:43">
      <c r="B61" t="str">
        <f t="shared" si="1"/>
        <v>I-LIM-KLN-GAS-ETS_E0</v>
      </c>
      <c r="C61" t="str">
        <f t="shared" si="2"/>
        <v>Industry - Lime - Cement/Lime Kiln - Gas - ETS</v>
      </c>
      <c r="D61" t="str">
        <f t="shared" si="3"/>
        <v>INDGAS</v>
      </c>
      <c r="E61" t="str">
        <f t="shared" si="4"/>
        <v>LIMHTH,LIMMTH,LIMLTH,LIMHET</v>
      </c>
      <c r="F61" s="386">
        <f>+NRG_shares!V59</f>
        <v>0.9</v>
      </c>
      <c r="G61">
        <v>25</v>
      </c>
      <c r="H61" s="460">
        <f t="shared" si="5"/>
        <v>2.0688313308538438E-2</v>
      </c>
      <c r="I61">
        <v>31.536000000000001</v>
      </c>
      <c r="J61">
        <v>0.9</v>
      </c>
      <c r="K61" s="386">
        <f>+SUMIFS(NRG_shares!W$113:W$141,NRG_shares!$T$113:$T$141,Techs!$Y61,NRG_shares!$U$113:$U$141,Techs!$AA61)</f>
        <v>1</v>
      </c>
      <c r="L61" s="386">
        <f>+SUMIFS(NRG_shares!X$113:X$141,NRG_shares!$T$113:$T$141,Techs!$Y61,NRG_shares!$U$113:$U$141,Techs!$AA61)</f>
        <v>0</v>
      </c>
      <c r="M61" s="386">
        <f>+SUMIFS(NRG_shares!Y$113:Y$141,NRG_shares!$T$113:$T$141,Techs!$Y61,NRG_shares!$U$113:$U$141,Techs!$AA61)</f>
        <v>0</v>
      </c>
      <c r="N61" s="386">
        <f>+SUMIFS(NRG_shares!Z$113:Z$141,NRG_shares!$T$113:$T$141,Techs!$Y61,NRG_shares!$U$113:$U$141,Techs!$AA61)</f>
        <v>0</v>
      </c>
      <c r="O61">
        <v>3</v>
      </c>
      <c r="P61" s="460">
        <f>NRG_shares!J59*NRG_shares!O59*Conversions!$B$3</f>
        <v>0.54621765920768506</v>
      </c>
      <c r="Q61" s="491"/>
      <c r="R61" s="460" t="str">
        <v>I-CAF-BLR-GAS-ETS_E0</v>
      </c>
      <c r="S61" s="460" t="s">
        <v>554</v>
      </c>
      <c r="T61" s="460" t="str">
        <v>CAFHET</v>
      </c>
      <c r="U61" s="386">
        <v>0.2</v>
      </c>
      <c r="V61" s="385">
        <v>3</v>
      </c>
      <c r="W61" s="460"/>
      <c r="X61" s="485" t="s">
        <v>352</v>
      </c>
      <c r="Y61" s="485" t="s">
        <v>370</v>
      </c>
      <c r="Z61" s="485" t="s">
        <v>354</v>
      </c>
      <c r="AA61" s="485" t="s">
        <v>419</v>
      </c>
      <c r="AB61" s="485" t="s">
        <v>356</v>
      </c>
      <c r="AC61" s="485"/>
      <c r="AD61" s="485"/>
      <c r="AE61" s="485" t="s">
        <v>424</v>
      </c>
      <c r="AF61" s="485" t="s">
        <v>448</v>
      </c>
      <c r="AG61" s="485"/>
      <c r="AH61" s="485" t="s">
        <v>530</v>
      </c>
      <c r="AI61" s="485" t="s">
        <v>531</v>
      </c>
      <c r="AJ61" s="485" t="s">
        <v>532</v>
      </c>
      <c r="AK61" s="485" t="s">
        <v>533</v>
      </c>
      <c r="AL61" s="485"/>
      <c r="AM61" s="486" t="str">
        <f t="shared" si="37"/>
        <v>I-LIM-KLN-GAS-ETS_E0</v>
      </c>
      <c r="AN61" s="486" t="str">
        <f t="shared" ref="AN61:AP61" si="61">+AM61</f>
        <v>I-LIM-KLN-GAS-ETS_E0</v>
      </c>
      <c r="AO61" s="486" t="str">
        <f t="shared" si="61"/>
        <v>I-LIM-KLN-GAS-ETS_E0</v>
      </c>
      <c r="AP61" s="486" t="str">
        <f t="shared" si="61"/>
        <v>I-LIM-KLN-GAS-ETS_E0</v>
      </c>
      <c r="AQ61" s="485"/>
    </row>
    <row r="62" spans="2:43">
      <c r="B62" t="str">
        <f t="shared" si="1"/>
        <v>I-LIM-OKL-GAS-ETS_E0</v>
      </c>
      <c r="C62" t="str">
        <f t="shared" si="2"/>
        <v>Industry - Lime - Other Kiln - Gas - ETS</v>
      </c>
      <c r="D62" t="str">
        <f t="shared" si="3"/>
        <v>INDGAS</v>
      </c>
      <c r="E62" t="str">
        <f t="shared" si="4"/>
        <v>LIMHTH,LIMMTH,LIMLTH,LIMHET</v>
      </c>
      <c r="F62" s="386">
        <f>+NRG_shares!V60</f>
        <v>0.85</v>
      </c>
      <c r="G62">
        <v>25</v>
      </c>
      <c r="H62" s="460">
        <f t="shared" si="5"/>
        <v>1.3025975046116794E-3</v>
      </c>
      <c r="I62">
        <v>31.536000000000001</v>
      </c>
      <c r="J62">
        <v>0.9</v>
      </c>
      <c r="K62" s="386">
        <f>+SUMIFS(NRG_shares!W$113:W$141,NRG_shares!$T$113:$T$141,Techs!$Y62,NRG_shares!$U$113:$U$141,Techs!$AA62)</f>
        <v>1</v>
      </c>
      <c r="L62" s="386">
        <f>+SUMIFS(NRG_shares!X$113:X$141,NRG_shares!$T$113:$T$141,Techs!$Y62,NRG_shares!$U$113:$U$141,Techs!$AA62)</f>
        <v>0</v>
      </c>
      <c r="M62" s="386">
        <f>+SUMIFS(NRG_shares!Y$113:Y$141,NRG_shares!$T$113:$T$141,Techs!$Y62,NRG_shares!$U$113:$U$141,Techs!$AA62)</f>
        <v>0</v>
      </c>
      <c r="N62" s="386">
        <f>+SUMIFS(NRG_shares!Z$113:Z$141,NRG_shares!$T$113:$T$141,Techs!$Y62,NRG_shares!$U$113:$U$141,Techs!$AA62)</f>
        <v>0</v>
      </c>
      <c r="O62">
        <v>3</v>
      </c>
      <c r="P62" s="460">
        <f>NRG_shares!J60*NRG_shares!O60*Conversions!$B$3</f>
        <v>3.4391482246409803E-2</v>
      </c>
      <c r="Q62" s="491"/>
      <c r="R62" s="460" t="str">
        <v>I-CAF-CHP-GAS-ETS_E0</v>
      </c>
      <c r="S62" s="460" t="s">
        <v>554</v>
      </c>
      <c r="T62" s="460" t="str">
        <v>CAFHTH</v>
      </c>
      <c r="U62" s="386">
        <v>0</v>
      </c>
      <c r="V62" s="385">
        <v>3</v>
      </c>
      <c r="W62" s="460"/>
      <c r="X62" s="485" t="s">
        <v>352</v>
      </c>
      <c r="Y62" s="485" t="s">
        <v>370</v>
      </c>
      <c r="Z62" s="485" t="s">
        <v>354</v>
      </c>
      <c r="AA62" s="485" t="s">
        <v>425</v>
      </c>
      <c r="AB62" s="485" t="s">
        <v>356</v>
      </c>
      <c r="AC62" s="485"/>
      <c r="AD62" s="485"/>
      <c r="AE62" s="485" t="s">
        <v>420</v>
      </c>
      <c r="AF62" s="485" t="s">
        <v>445</v>
      </c>
      <c r="AG62" s="485"/>
      <c r="AH62" s="485" t="s">
        <v>530</v>
      </c>
      <c r="AI62" s="485" t="s">
        <v>531</v>
      </c>
      <c r="AJ62" s="485" t="s">
        <v>532</v>
      </c>
      <c r="AK62" s="485" t="s">
        <v>533</v>
      </c>
      <c r="AL62" s="485"/>
      <c r="AM62" s="486" t="str">
        <f t="shared" si="37"/>
        <v>I-LIM-OKL-GAS-ETS_E0</v>
      </c>
      <c r="AN62" s="486" t="str">
        <f t="shared" ref="AN62:AP62" si="62">+AM62</f>
        <v>I-LIM-OKL-GAS-ETS_E0</v>
      </c>
      <c r="AO62" s="486" t="str">
        <f t="shared" si="62"/>
        <v>I-LIM-OKL-GAS-ETS_E0</v>
      </c>
      <c r="AP62" s="486" t="str">
        <f t="shared" si="62"/>
        <v>I-LIM-OKL-GAS-ETS_E0</v>
      </c>
      <c r="AQ62" s="485"/>
    </row>
    <row r="63" spans="2:43">
      <c r="B63" t="str">
        <f t="shared" si="1"/>
        <v>I-LIM-FRN-GAS-ETS_E0</v>
      </c>
      <c r="C63" t="str">
        <f t="shared" si="2"/>
        <v>Industry - Lime - Furnace - Gas - ETS</v>
      </c>
      <c r="D63" t="str">
        <f t="shared" si="3"/>
        <v>INDGAS</v>
      </c>
      <c r="E63" t="str">
        <f t="shared" si="4"/>
        <v>LIMHTH,LIMMTH,LIMLTH,LIMHET</v>
      </c>
      <c r="F63" s="386">
        <f>+NRG_shares!V61</f>
        <v>0.85</v>
      </c>
      <c r="G63">
        <v>25</v>
      </c>
      <c r="H63" s="460">
        <f t="shared" si="5"/>
        <v>5.2103900184467178E-3</v>
      </c>
      <c r="I63">
        <v>31.536000000000001</v>
      </c>
      <c r="J63">
        <v>0.9</v>
      </c>
      <c r="K63" s="386">
        <f>+SUMIFS(NRG_shares!W$113:W$141,NRG_shares!$T$113:$T$141,Techs!$Y63,NRG_shares!$U$113:$U$141,Techs!$AA63)</f>
        <v>1</v>
      </c>
      <c r="L63" s="386">
        <f>+SUMIFS(NRG_shares!X$113:X$141,NRG_shares!$T$113:$T$141,Techs!$Y63,NRG_shares!$U$113:$U$141,Techs!$AA63)</f>
        <v>0</v>
      </c>
      <c r="M63" s="386">
        <f>+SUMIFS(NRG_shares!Y$113:Y$141,NRG_shares!$T$113:$T$141,Techs!$Y63,NRG_shares!$U$113:$U$141,Techs!$AA63)</f>
        <v>0</v>
      </c>
      <c r="N63" s="386">
        <f>+SUMIFS(NRG_shares!Z$113:Z$141,NRG_shares!$T$113:$T$141,Techs!$Y63,NRG_shares!$U$113:$U$141,Techs!$AA63)</f>
        <v>0</v>
      </c>
      <c r="O63">
        <v>3</v>
      </c>
      <c r="P63" s="460">
        <f>NRG_shares!J61*NRG_shares!O61*Conversions!$B$3</f>
        <v>0.13756592898563921</v>
      </c>
      <c r="Q63" s="491"/>
      <c r="R63" s="460" t="str">
        <v>I-CAF-CHP-GAS-ETS_E0</v>
      </c>
      <c r="S63" s="460" t="s">
        <v>554</v>
      </c>
      <c r="T63" s="460" t="str">
        <v>CAFMTH</v>
      </c>
      <c r="U63" s="386">
        <v>1</v>
      </c>
      <c r="V63" s="385">
        <v>3</v>
      </c>
      <c r="W63" s="460"/>
      <c r="X63" s="485" t="s">
        <v>352</v>
      </c>
      <c r="Y63" s="485" t="s">
        <v>370</v>
      </c>
      <c r="Z63" s="485" t="s">
        <v>354</v>
      </c>
      <c r="AA63" s="485" t="s">
        <v>424</v>
      </c>
      <c r="AB63" s="485" t="s">
        <v>356</v>
      </c>
      <c r="AC63" s="485"/>
      <c r="AD63" s="485"/>
      <c r="AE63" s="485" t="s">
        <v>422</v>
      </c>
      <c r="AF63" s="485" t="s">
        <v>447</v>
      </c>
      <c r="AG63" s="485"/>
      <c r="AH63" s="485" t="s">
        <v>530</v>
      </c>
      <c r="AI63" s="485" t="s">
        <v>531</v>
      </c>
      <c r="AJ63" s="485" t="s">
        <v>532</v>
      </c>
      <c r="AK63" s="485" t="s">
        <v>533</v>
      </c>
      <c r="AL63" s="485"/>
      <c r="AM63" s="486" t="str">
        <f t="shared" si="37"/>
        <v>I-LIM-FRN-GAS-ETS_E0</v>
      </c>
      <c r="AN63" s="486" t="str">
        <f t="shared" ref="AN63:AP63" si="63">+AM63</f>
        <v>I-LIM-FRN-GAS-ETS_E0</v>
      </c>
      <c r="AO63" s="486" t="str">
        <f t="shared" si="63"/>
        <v>I-LIM-FRN-GAS-ETS_E0</v>
      </c>
      <c r="AP63" s="486" t="str">
        <f t="shared" si="63"/>
        <v>I-LIM-FRN-GAS-ETS_E0</v>
      </c>
      <c r="AQ63" s="485"/>
    </row>
    <row r="64" spans="2:43">
      <c r="B64" t="str">
        <f t="shared" si="1"/>
        <v>I-MAP-CHP-OIL-ETS_E0</v>
      </c>
      <c r="C64" t="str">
        <f t="shared" si="2"/>
        <v>Industry - Metals - CHP - Oil - ETS</v>
      </c>
      <c r="D64" t="str">
        <f t="shared" si="3"/>
        <v>INDOIL</v>
      </c>
      <c r="E64" t="str">
        <f t="shared" si="4"/>
        <v>MAPHTH,MAPMTH,MAPLTH,MAPHET</v>
      </c>
      <c r="F64" s="386">
        <f>+NRG_shares!V62</f>
        <v>0.5</v>
      </c>
      <c r="G64">
        <v>25</v>
      </c>
      <c r="H64" s="460">
        <f t="shared" si="5"/>
        <v>1.6612375737910688E-3</v>
      </c>
      <c r="I64">
        <v>31.536000000000001</v>
      </c>
      <c r="J64">
        <v>0.9</v>
      </c>
      <c r="K64" s="386">
        <f>+SUMIFS(NRG_shares!W$113:W$141,NRG_shares!$T$113:$T$141,Techs!$Y64,NRG_shares!$U$113:$U$141,Techs!$AA64)</f>
        <v>0</v>
      </c>
      <c r="L64" s="386">
        <f>+SUMIFS(NRG_shares!X$113:X$141,NRG_shares!$T$113:$T$141,Techs!$Y64,NRG_shares!$U$113:$U$141,Techs!$AA64)</f>
        <v>1</v>
      </c>
      <c r="M64" s="386">
        <f>+SUMIFS(NRG_shares!Y$113:Y$141,NRG_shares!$T$113:$T$141,Techs!$Y64,NRG_shares!$U$113:$U$141,Techs!$AA64)</f>
        <v>0</v>
      </c>
      <c r="N64" s="386">
        <f>+SUMIFS(NRG_shares!Z$113:Z$141,NRG_shares!$T$113:$T$141,Techs!$Y64,NRG_shares!$U$113:$U$141,Techs!$AA64)</f>
        <v>0</v>
      </c>
      <c r="O64">
        <v>3</v>
      </c>
      <c r="P64" s="460">
        <f>NRG_shares!J62*NRG_shares!O62*Conversions!$B$3</f>
        <v>4.386038075755129E-2</v>
      </c>
      <c r="Q64" s="491"/>
      <c r="R64" s="460" t="str">
        <v>I-CAF-CHP-GAS-ETS_E0</v>
      </c>
      <c r="S64" s="460" t="s">
        <v>554</v>
      </c>
      <c r="T64" s="460" t="str">
        <v>CAFLTH</v>
      </c>
      <c r="U64" s="386">
        <v>0</v>
      </c>
      <c r="V64" s="385">
        <v>3</v>
      </c>
      <c r="W64" s="460"/>
      <c r="X64" s="485" t="s">
        <v>352</v>
      </c>
      <c r="Y64" s="485" t="s">
        <v>353</v>
      </c>
      <c r="Z64" s="485" t="s">
        <v>354</v>
      </c>
      <c r="AA64" s="485" t="s">
        <v>421</v>
      </c>
      <c r="AB64" s="485" t="s">
        <v>358</v>
      </c>
      <c r="AC64" s="485"/>
      <c r="AD64" s="485"/>
      <c r="AE64" s="485" t="s">
        <v>363</v>
      </c>
      <c r="AF64" s="485" t="s">
        <v>452</v>
      </c>
      <c r="AG64" s="485" t="s">
        <v>295</v>
      </c>
      <c r="AH64" s="485" t="s">
        <v>534</v>
      </c>
      <c r="AI64" s="485" t="s">
        <v>535</v>
      </c>
      <c r="AJ64" s="485" t="s">
        <v>536</v>
      </c>
      <c r="AK64" s="485" t="s">
        <v>537</v>
      </c>
      <c r="AL64" s="485"/>
      <c r="AM64" s="486" t="str">
        <f t="shared" si="37"/>
        <v>I-MAP-CHP-OIL-ETS_E0</v>
      </c>
      <c r="AN64" s="486" t="str">
        <f t="shared" ref="AN64:AP64" si="64">+AM64</f>
        <v>I-MAP-CHP-OIL-ETS_E0</v>
      </c>
      <c r="AO64" s="486" t="str">
        <f t="shared" si="64"/>
        <v>I-MAP-CHP-OIL-ETS_E0</v>
      </c>
      <c r="AP64" s="486" t="str">
        <f t="shared" si="64"/>
        <v>I-MAP-CHP-OIL-ETS_E0</v>
      </c>
      <c r="AQ64" s="485"/>
    </row>
    <row r="65" spans="2:43">
      <c r="B65" t="str">
        <f t="shared" si="1"/>
        <v>I-MAP-FRN-OIL-ETS_E0</v>
      </c>
      <c r="C65" t="str">
        <f t="shared" si="2"/>
        <v>Industry - Metals - Furnace - Oil - ETS</v>
      </c>
      <c r="D65" t="str">
        <f t="shared" si="3"/>
        <v>INDOIL</v>
      </c>
      <c r="E65" t="str">
        <f t="shared" si="4"/>
        <v>MAPHTH,MAPMTH,MAPLTH,MAPHET</v>
      </c>
      <c r="F65" s="386">
        <f>+NRG_shares!V63</f>
        <v>0.84999999999999987</v>
      </c>
      <c r="G65">
        <v>25</v>
      </c>
      <c r="H65" s="460">
        <f t="shared" si="5"/>
        <v>0</v>
      </c>
      <c r="I65">
        <v>31.536000000000001</v>
      </c>
      <c r="J65">
        <v>0.9</v>
      </c>
      <c r="K65" s="386">
        <f>+SUMIFS(NRG_shares!W$113:W$141,NRG_shares!$T$113:$T$141,Techs!$Y65,NRG_shares!$U$113:$U$141,Techs!$AA65)</f>
        <v>1</v>
      </c>
      <c r="L65" s="386">
        <f>+SUMIFS(NRG_shares!X$113:X$141,NRG_shares!$T$113:$T$141,Techs!$Y65,NRG_shares!$U$113:$U$141,Techs!$AA65)</f>
        <v>0</v>
      </c>
      <c r="M65" s="386">
        <f>+SUMIFS(NRG_shares!Y$113:Y$141,NRG_shares!$T$113:$T$141,Techs!$Y65,NRG_shares!$U$113:$U$141,Techs!$AA65)</f>
        <v>0</v>
      </c>
      <c r="N65" s="386">
        <f>+SUMIFS(NRG_shares!Z$113:Z$141,NRG_shares!$T$113:$T$141,Techs!$Y65,NRG_shares!$U$113:$U$141,Techs!$AA65)</f>
        <v>0</v>
      </c>
      <c r="O65">
        <v>3</v>
      </c>
      <c r="P65" s="460">
        <f>NRG_shares!J63*NRG_shares!O63*Conversions!$B$3</f>
        <v>1.9883372610089919E-2</v>
      </c>
      <c r="Q65" s="491"/>
      <c r="R65" s="460" t="str">
        <v>I-CAF-CHP-GAS-ETS_E0</v>
      </c>
      <c r="S65" s="460" t="s">
        <v>554</v>
      </c>
      <c r="T65" s="460" t="str">
        <v>CAFHET</v>
      </c>
      <c r="U65" s="386">
        <v>0</v>
      </c>
      <c r="V65" s="385">
        <v>3</v>
      </c>
      <c r="W65" s="460"/>
      <c r="X65" s="485" t="s">
        <v>352</v>
      </c>
      <c r="Y65" s="485" t="s">
        <v>353</v>
      </c>
      <c r="Z65" s="485" t="s">
        <v>354</v>
      </c>
      <c r="AA65" s="485" t="s">
        <v>424</v>
      </c>
      <c r="AB65" s="485" t="s">
        <v>358</v>
      </c>
      <c r="AC65" s="485"/>
      <c r="AD65" s="485"/>
      <c r="AE65" s="485" t="s">
        <v>361</v>
      </c>
      <c r="AF65" s="485" t="s">
        <v>453</v>
      </c>
      <c r="AG65" s="485" t="s">
        <v>294</v>
      </c>
      <c r="AH65" s="485" t="s">
        <v>534</v>
      </c>
      <c r="AI65" s="485" t="s">
        <v>535</v>
      </c>
      <c r="AJ65" s="485" t="s">
        <v>536</v>
      </c>
      <c r="AK65" s="485" t="s">
        <v>537</v>
      </c>
      <c r="AL65" s="485"/>
      <c r="AM65" s="486" t="str">
        <f t="shared" si="37"/>
        <v>I-MAP-FRN-OIL-ETS_E0</v>
      </c>
      <c r="AN65" s="486" t="str">
        <f t="shared" ref="AN65:AP65" si="65">+AM65</f>
        <v>I-MAP-FRN-OIL-ETS_E0</v>
      </c>
      <c r="AO65" s="486" t="str">
        <f t="shared" si="65"/>
        <v>I-MAP-FRN-OIL-ETS_E0</v>
      </c>
      <c r="AP65" s="486" t="str">
        <f t="shared" si="65"/>
        <v>I-MAP-FRN-OIL-ETS_E0</v>
      </c>
      <c r="AQ65" s="485"/>
    </row>
    <row r="66" spans="2:43">
      <c r="B66" t="str">
        <f t="shared" si="1"/>
        <v>I-MAP-BLR-GAS-ETS_E0</v>
      </c>
      <c r="C66" t="str">
        <f t="shared" si="2"/>
        <v>Industry - Metals - Boiler - Gas - ETS</v>
      </c>
      <c r="D66" t="str">
        <f t="shared" si="3"/>
        <v>INDGAS</v>
      </c>
      <c r="E66" t="str">
        <f t="shared" si="4"/>
        <v>MAPHTH,MAPMTH,MAPLTH,MAPHET</v>
      </c>
      <c r="F66" s="386">
        <f>+NRG_shares!V64</f>
        <v>0.92</v>
      </c>
      <c r="G66">
        <v>25</v>
      </c>
      <c r="H66" s="460">
        <f t="shared" si="5"/>
        <v>0.18279273269470334</v>
      </c>
      <c r="I66">
        <v>31.536000000000001</v>
      </c>
      <c r="J66">
        <v>0.9</v>
      </c>
      <c r="K66" s="386">
        <f>+SUMIFS(NRG_shares!W$113:W$141,NRG_shares!$T$113:$T$141,Techs!$Y66,NRG_shares!$U$113:$U$141,Techs!$AA66)</f>
        <v>0</v>
      </c>
      <c r="L66" s="386">
        <f>+SUMIFS(NRG_shares!X$113:X$141,NRG_shares!$T$113:$T$141,Techs!$Y66,NRG_shares!$U$113:$U$141,Techs!$AA66)</f>
        <v>1</v>
      </c>
      <c r="M66" s="386">
        <f>+SUMIFS(NRG_shares!Y$113:Y$141,NRG_shares!$T$113:$T$141,Techs!$Y66,NRG_shares!$U$113:$U$141,Techs!$AA66)</f>
        <v>0</v>
      </c>
      <c r="N66" s="386">
        <f>+SUMIFS(NRG_shares!Z$113:Z$141,NRG_shares!$T$113:$T$141,Techs!$Y66,NRG_shares!$U$113:$U$141,Techs!$AA66)</f>
        <v>0</v>
      </c>
      <c r="O66">
        <v>3</v>
      </c>
      <c r="P66" s="460">
        <f>NRG_shares!J64*NRG_shares!O64*Conversions!$B$3</f>
        <v>4.8261362385433939</v>
      </c>
      <c r="Q66" s="491"/>
      <c r="R66" s="460" t="str">
        <v>I-CAF-OVN-GAS-ETS_E0</v>
      </c>
      <c r="S66" s="460" t="s">
        <v>554</v>
      </c>
      <c r="T66" s="460" t="str">
        <v>CAFHTH</v>
      </c>
      <c r="U66" s="386">
        <v>0</v>
      </c>
      <c r="V66" s="385">
        <v>3</v>
      </c>
      <c r="W66" s="460"/>
      <c r="X66" s="485" t="s">
        <v>352</v>
      </c>
      <c r="Y66" s="485" t="s">
        <v>353</v>
      </c>
      <c r="Z66" s="485" t="s">
        <v>354</v>
      </c>
      <c r="AA66" s="485" t="s">
        <v>422</v>
      </c>
      <c r="AB66" s="485" t="s">
        <v>356</v>
      </c>
      <c r="AC66" s="485"/>
      <c r="AD66" s="485"/>
      <c r="AE66" s="485" t="s">
        <v>365</v>
      </c>
      <c r="AF66" s="485" t="s">
        <v>454</v>
      </c>
      <c r="AG66" s="485" t="s">
        <v>481</v>
      </c>
      <c r="AH66" s="485" t="s">
        <v>534</v>
      </c>
      <c r="AI66" s="485" t="s">
        <v>535</v>
      </c>
      <c r="AJ66" s="485" t="s">
        <v>536</v>
      </c>
      <c r="AK66" s="485" t="s">
        <v>537</v>
      </c>
      <c r="AL66" s="485"/>
      <c r="AM66" s="486" t="str">
        <f t="shared" si="37"/>
        <v>I-MAP-BLR-GAS-ETS_E0</v>
      </c>
      <c r="AN66" s="486" t="str">
        <f t="shared" ref="AN66:AP66" si="66">+AM66</f>
        <v>I-MAP-BLR-GAS-ETS_E0</v>
      </c>
      <c r="AO66" s="486" t="str">
        <f t="shared" si="66"/>
        <v>I-MAP-BLR-GAS-ETS_E0</v>
      </c>
      <c r="AP66" s="486" t="str">
        <f t="shared" si="66"/>
        <v>I-MAP-BLR-GAS-ETS_E0</v>
      </c>
      <c r="AQ66" s="485"/>
    </row>
    <row r="67" spans="2:43">
      <c r="B67" s="481" t="str">
        <f>" I-"&amp;VLOOKUP(Y67,$AE$6:$AF$71,2,FALSE)&amp;"-"&amp;VLOOKUP(AA67,$AE$6:$AF$71,2,FALSE)&amp;"-"&amp;VLOOKUP(AB67,$AE$6:$AF$71,2,FALSE)&amp;"-"&amp;VLOOKUP(Z67,$AE$6:$AF$71,2,FALSE)&amp;"_E0"</f>
        <v xml:space="preserve"> I-MAP-CHP-GAS-ETS_E0</v>
      </c>
      <c r="C67" t="str">
        <f t="shared" si="2"/>
        <v>Industry - Metals - CHP - Gas - ETS</v>
      </c>
      <c r="D67" t="str">
        <f t="shared" si="3"/>
        <v>INDGAS</v>
      </c>
      <c r="E67" t="str">
        <f t="shared" si="4"/>
        <v>MAPHTH,MAPMTH,MAPLTH,MAPHET</v>
      </c>
      <c r="F67" s="386">
        <f>+NRG_shares!V65</f>
        <v>0.5</v>
      </c>
      <c r="G67">
        <v>25</v>
      </c>
      <c r="H67" s="460">
        <f t="shared" si="5"/>
        <v>5.8981766813798769E-2</v>
      </c>
      <c r="I67">
        <v>31.536000000000001</v>
      </c>
      <c r="J67">
        <v>0.9</v>
      </c>
      <c r="K67" s="386">
        <f>+SUMIFS(NRG_shares!W$113:W$141,NRG_shares!$T$113:$T$141,Techs!$Y67,NRG_shares!$U$113:$U$141,Techs!$AA67)</f>
        <v>0</v>
      </c>
      <c r="L67" s="386">
        <f>+SUMIFS(NRG_shares!X$113:X$141,NRG_shares!$T$113:$T$141,Techs!$Y67,NRG_shares!$U$113:$U$141,Techs!$AA67)</f>
        <v>1</v>
      </c>
      <c r="M67" s="386">
        <f>+SUMIFS(NRG_shares!Y$113:Y$141,NRG_shares!$T$113:$T$141,Techs!$Y67,NRG_shares!$U$113:$U$141,Techs!$AA67)</f>
        <v>0</v>
      </c>
      <c r="N67" s="386">
        <f>+SUMIFS(NRG_shares!Z$113:Z$141,NRG_shares!$T$113:$T$141,Techs!$Y67,NRG_shares!$U$113:$U$141,Techs!$AA67)</f>
        <v>0</v>
      </c>
      <c r="O67">
        <v>3</v>
      </c>
      <c r="P67" s="487">
        <f>NRG_shares!J65*NRG_shares!O65*Conversions!$B$3-5</f>
        <v>1.5572503241078719</v>
      </c>
      <c r="Q67" s="491"/>
      <c r="R67" s="460" t="str">
        <v>I-CAF-OVN-GAS-ETS_E0</v>
      </c>
      <c r="S67" s="460" t="s">
        <v>554</v>
      </c>
      <c r="T67" s="460" t="str">
        <v>CAFMTH</v>
      </c>
      <c r="U67" s="386">
        <v>0</v>
      </c>
      <c r="V67" s="385">
        <v>3</v>
      </c>
      <c r="W67" s="460"/>
      <c r="X67" s="485" t="s">
        <v>352</v>
      </c>
      <c r="Y67" s="485" t="s">
        <v>353</v>
      </c>
      <c r="Z67" s="485" t="s">
        <v>354</v>
      </c>
      <c r="AA67" s="485" t="s">
        <v>421</v>
      </c>
      <c r="AB67" s="485" t="s">
        <v>356</v>
      </c>
      <c r="AC67" s="485"/>
      <c r="AD67" s="485"/>
      <c r="AE67" s="485" t="s">
        <v>358</v>
      </c>
      <c r="AF67" s="485" t="s">
        <v>455</v>
      </c>
      <c r="AG67" s="485" t="s">
        <v>459</v>
      </c>
      <c r="AH67" s="485" t="s">
        <v>534</v>
      </c>
      <c r="AI67" s="485" t="s">
        <v>535</v>
      </c>
      <c r="AJ67" s="485" t="s">
        <v>536</v>
      </c>
      <c r="AK67" s="485" t="s">
        <v>537</v>
      </c>
      <c r="AL67" s="485"/>
      <c r="AM67" s="486" t="str">
        <f t="shared" si="37"/>
        <v xml:space="preserve"> I-MAP-CHP-GAS-ETS_E0</v>
      </c>
      <c r="AN67" s="486" t="str">
        <f t="shared" ref="AN67:AP67" si="67">+AM67</f>
        <v xml:space="preserve"> I-MAP-CHP-GAS-ETS_E0</v>
      </c>
      <c r="AO67" s="486" t="str">
        <f t="shared" si="67"/>
        <v xml:space="preserve"> I-MAP-CHP-GAS-ETS_E0</v>
      </c>
      <c r="AP67" s="486" t="str">
        <f t="shared" si="67"/>
        <v xml:space="preserve"> I-MAP-CHP-GAS-ETS_E0</v>
      </c>
      <c r="AQ67" s="485"/>
    </row>
    <row r="68" spans="2:43">
      <c r="B68" t="str">
        <f t="shared" si="1"/>
        <v>I-MAP-FRN-GAS-ETS_E0</v>
      </c>
      <c r="C68" t="str">
        <f t="shared" si="2"/>
        <v>Industry - Metals - Furnace - Gas - ETS</v>
      </c>
      <c r="D68" t="str">
        <f t="shared" si="3"/>
        <v>INDGAS</v>
      </c>
      <c r="E68" t="str">
        <f t="shared" si="4"/>
        <v>MAPHTH,MAPMTH,MAPLTH,MAPHET</v>
      </c>
      <c r="F68" s="386">
        <f>+NRG_shares!V66</f>
        <v>0.84999999999999987</v>
      </c>
      <c r="G68">
        <v>25</v>
      </c>
      <c r="H68" s="460">
        <f t="shared" si="5"/>
        <v>0.11258972665978101</v>
      </c>
      <c r="I68">
        <v>31.536000000000001</v>
      </c>
      <c r="J68">
        <v>0.9</v>
      </c>
      <c r="K68" s="386">
        <f>+SUMIFS(NRG_shares!W$113:W$141,NRG_shares!$T$113:$T$141,Techs!$Y68,NRG_shares!$U$113:$U$141,Techs!$AA68)</f>
        <v>1</v>
      </c>
      <c r="L68" s="386">
        <f>+SUMIFS(NRG_shares!X$113:X$141,NRG_shares!$T$113:$T$141,Techs!$Y68,NRG_shares!$U$113:$U$141,Techs!$AA68)</f>
        <v>0</v>
      </c>
      <c r="M68" s="386">
        <f>+SUMIFS(NRG_shares!Y$113:Y$141,NRG_shares!$T$113:$T$141,Techs!$Y68,NRG_shares!$U$113:$U$141,Techs!$AA68)</f>
        <v>0</v>
      </c>
      <c r="N68" s="386">
        <f>+SUMIFS(NRG_shares!Z$113:Z$141,NRG_shares!$T$113:$T$141,Techs!$Y68,NRG_shares!$U$113:$U$141,Techs!$AA68)</f>
        <v>0</v>
      </c>
      <c r="O68">
        <v>3</v>
      </c>
      <c r="P68" s="460">
        <f>NRG_shares!J66*NRG_shares!O66*Conversions!$B$3</f>
        <v>2.9726201469289015</v>
      </c>
      <c r="Q68" s="491"/>
      <c r="R68" s="460" t="str">
        <v>I-CAF-OVN-GAS-ETS_E0</v>
      </c>
      <c r="S68" s="460" t="s">
        <v>554</v>
      </c>
      <c r="T68" s="460" t="str">
        <v>CAFLTH</v>
      </c>
      <c r="U68" s="386">
        <v>1</v>
      </c>
      <c r="V68" s="385">
        <v>3</v>
      </c>
      <c r="W68" s="460"/>
      <c r="X68" s="485" t="s">
        <v>352</v>
      </c>
      <c r="Y68" s="485" t="s">
        <v>353</v>
      </c>
      <c r="Z68" s="485" t="s">
        <v>354</v>
      </c>
      <c r="AA68" s="485" t="s">
        <v>424</v>
      </c>
      <c r="AB68" s="485" t="s">
        <v>356</v>
      </c>
      <c r="AC68" s="485"/>
      <c r="AD68" s="485"/>
      <c r="AE68" s="485" t="s">
        <v>356</v>
      </c>
      <c r="AF68" s="485" t="s">
        <v>456</v>
      </c>
      <c r="AG68" s="485" t="s">
        <v>202</v>
      </c>
      <c r="AH68" s="485" t="s">
        <v>534</v>
      </c>
      <c r="AI68" s="485" t="s">
        <v>535</v>
      </c>
      <c r="AJ68" s="485" t="s">
        <v>536</v>
      </c>
      <c r="AK68" s="485" t="s">
        <v>537</v>
      </c>
      <c r="AL68" s="485"/>
      <c r="AM68" s="486" t="str">
        <f t="shared" si="37"/>
        <v>I-MAP-FRN-GAS-ETS_E0</v>
      </c>
      <c r="AN68" s="486" t="str">
        <f t="shared" ref="AN68:AP68" si="68">+AM68</f>
        <v>I-MAP-FRN-GAS-ETS_E0</v>
      </c>
      <c r="AO68" s="486" t="str">
        <f t="shared" si="68"/>
        <v>I-MAP-FRN-GAS-ETS_E0</v>
      </c>
      <c r="AP68" s="486" t="str">
        <f t="shared" si="68"/>
        <v>I-MAP-FRN-GAS-ETS_E0</v>
      </c>
      <c r="AQ68" s="485"/>
    </row>
    <row r="69" spans="2:43">
      <c r="B69" t="str">
        <f t="shared" si="1"/>
        <v>I-MAP-BLR-COA-NETS_E0</v>
      </c>
      <c r="C69" t="str">
        <f t="shared" si="2"/>
        <v>Industry - Metals - Boiler - Solid Fuels - Non-ETS</v>
      </c>
      <c r="D69" t="str">
        <f t="shared" si="3"/>
        <v>INDCOA,INDCOK</v>
      </c>
      <c r="E69" t="str">
        <f t="shared" si="4"/>
        <v>MAPHTH,MAPMTH,MAPLTH,MAPHET</v>
      </c>
      <c r="F69" s="386">
        <f>+NRG_shares!V67</f>
        <v>0.91999999999999993</v>
      </c>
      <c r="G69">
        <v>25</v>
      </c>
      <c r="H69" s="460">
        <f t="shared" si="5"/>
        <v>0</v>
      </c>
      <c r="I69">
        <v>31.536000000000001</v>
      </c>
      <c r="J69">
        <v>0.9</v>
      </c>
      <c r="K69" s="386">
        <f>+SUMIFS(NRG_shares!W$113:W$141,NRG_shares!$T$113:$T$141,Techs!$Y69,NRG_shares!$U$113:$U$141,Techs!$AA69)</f>
        <v>0</v>
      </c>
      <c r="L69" s="386">
        <f>+SUMIFS(NRG_shares!X$113:X$141,NRG_shares!$T$113:$T$141,Techs!$Y69,NRG_shares!$U$113:$U$141,Techs!$AA69)</f>
        <v>1</v>
      </c>
      <c r="M69" s="386">
        <f>+SUMIFS(NRG_shares!Y$113:Y$141,NRG_shares!$T$113:$T$141,Techs!$Y69,NRG_shares!$U$113:$U$141,Techs!$AA69)</f>
        <v>0</v>
      </c>
      <c r="N69" s="386">
        <f>+SUMIFS(NRG_shares!Z$113:Z$141,NRG_shares!$T$113:$T$141,Techs!$Y69,NRG_shares!$U$113:$U$141,Techs!$AA69)</f>
        <v>0</v>
      </c>
      <c r="O69">
        <v>3</v>
      </c>
      <c r="P69" s="460">
        <f>NRG_shares!J67*NRG_shares!O67*Conversions!$B$3</f>
        <v>2.0947933976366963E-3</v>
      </c>
      <c r="Q69" s="491"/>
      <c r="R69" s="460" t="str">
        <v>I-CAF-OVN-GAS-ETS_E0</v>
      </c>
      <c r="S69" s="460" t="s">
        <v>554</v>
      </c>
      <c r="T69" s="460" t="str">
        <v>CAFHET</v>
      </c>
      <c r="U69" s="386">
        <v>0</v>
      </c>
      <c r="V69" s="385">
        <v>3</v>
      </c>
      <c r="W69" s="460"/>
      <c r="X69" s="485" t="s">
        <v>352</v>
      </c>
      <c r="Y69" s="485" t="s">
        <v>353</v>
      </c>
      <c r="Z69" s="485" t="s">
        <v>394</v>
      </c>
      <c r="AA69" s="485" t="s">
        <v>422</v>
      </c>
      <c r="AB69" s="485" t="s">
        <v>365</v>
      </c>
      <c r="AC69" s="485"/>
      <c r="AD69" s="485"/>
      <c r="AE69" s="485" t="s">
        <v>374</v>
      </c>
      <c r="AF69" s="485" t="s">
        <v>457</v>
      </c>
      <c r="AG69" s="485" t="s">
        <v>293</v>
      </c>
      <c r="AH69" s="485" t="s">
        <v>534</v>
      </c>
      <c r="AI69" s="485" t="s">
        <v>535</v>
      </c>
      <c r="AJ69" s="485" t="s">
        <v>536</v>
      </c>
      <c r="AK69" s="485" t="s">
        <v>537</v>
      </c>
      <c r="AL69" s="485"/>
      <c r="AM69" s="486" t="str">
        <f t="shared" si="37"/>
        <v>I-MAP-BLR-COA-NETS_E0</v>
      </c>
      <c r="AN69" s="486" t="str">
        <f t="shared" ref="AN69:AP69" si="69">+AM69</f>
        <v>I-MAP-BLR-COA-NETS_E0</v>
      </c>
      <c r="AO69" s="486" t="str">
        <f t="shared" si="69"/>
        <v>I-MAP-BLR-COA-NETS_E0</v>
      </c>
      <c r="AP69" s="486" t="str">
        <f t="shared" si="69"/>
        <v>I-MAP-BLR-COA-NETS_E0</v>
      </c>
      <c r="AQ69" s="485"/>
    </row>
    <row r="70" spans="2:43">
      <c r="B70" t="str">
        <f t="shared" si="1"/>
        <v>I-MAP-FRN-COA-NETS_E0</v>
      </c>
      <c r="C70" t="str">
        <f t="shared" si="2"/>
        <v>Industry - Metals - Furnace - Solid Fuels - Non-ETS</v>
      </c>
      <c r="D70" t="str">
        <f t="shared" si="3"/>
        <v>INDCOA,INDCOK</v>
      </c>
      <c r="E70" t="str">
        <f t="shared" si="4"/>
        <v>MAPHTH,MAPMTH,MAPLTH,MAPHET</v>
      </c>
      <c r="F70" s="386">
        <f>+NRG_shares!V68</f>
        <v>0.85</v>
      </c>
      <c r="G70">
        <v>25</v>
      </c>
      <c r="H70" s="460">
        <f t="shared" si="5"/>
        <v>0</v>
      </c>
      <c r="I70">
        <v>31.536000000000001</v>
      </c>
      <c r="J70">
        <v>0.9</v>
      </c>
      <c r="K70" s="386">
        <f>+SUMIFS(NRG_shares!W$113:W$141,NRG_shares!$T$113:$T$141,Techs!$Y70,NRG_shares!$U$113:$U$141,Techs!$AA70)</f>
        <v>1</v>
      </c>
      <c r="L70" s="386">
        <f>+SUMIFS(NRG_shares!X$113:X$141,NRG_shares!$T$113:$T$141,Techs!$Y70,NRG_shares!$U$113:$U$141,Techs!$AA70)</f>
        <v>0</v>
      </c>
      <c r="M70" s="386">
        <f>+SUMIFS(NRG_shares!Y$113:Y$141,NRG_shares!$T$113:$T$141,Techs!$Y70,NRG_shares!$U$113:$U$141,Techs!$AA70)</f>
        <v>0</v>
      </c>
      <c r="N70" s="386">
        <f>+SUMIFS(NRG_shares!Z$113:Z$141,NRG_shares!$T$113:$T$141,Techs!$Y70,NRG_shares!$U$113:$U$141,Techs!$AA70)</f>
        <v>0</v>
      </c>
      <c r="O70">
        <v>3</v>
      </c>
      <c r="P70" s="460">
        <f>NRG_shares!J68*NRG_shares!O68*Conversions!$B$3</f>
        <v>2.9031104152030304E-3</v>
      </c>
      <c r="Q70" s="491"/>
      <c r="R70" s="460" t="str">
        <v>I-CAF-BLR-COA-NETS_E0</v>
      </c>
      <c r="S70" s="460" t="s">
        <v>554</v>
      </c>
      <c r="T70" s="460" t="str">
        <v>CAFHTH</v>
      </c>
      <c r="U70" s="386">
        <v>0</v>
      </c>
      <c r="V70" s="385">
        <v>3</v>
      </c>
      <c r="W70" s="460"/>
      <c r="X70" s="485" t="s">
        <v>352</v>
      </c>
      <c r="Y70" s="485" t="s">
        <v>353</v>
      </c>
      <c r="Z70" s="485" t="s">
        <v>394</v>
      </c>
      <c r="AA70" s="485" t="s">
        <v>424</v>
      </c>
      <c r="AB70" s="485" t="s">
        <v>365</v>
      </c>
      <c r="AC70" s="485"/>
      <c r="AD70" s="485"/>
      <c r="AE70" s="485" t="s">
        <v>394</v>
      </c>
      <c r="AF70" s="485" t="s">
        <v>458</v>
      </c>
      <c r="AG70" s="485"/>
      <c r="AH70" s="485" t="s">
        <v>534</v>
      </c>
      <c r="AI70" s="485" t="s">
        <v>535</v>
      </c>
      <c r="AJ70" s="485" t="s">
        <v>536</v>
      </c>
      <c r="AK70" s="485" t="s">
        <v>537</v>
      </c>
      <c r="AL70" s="485"/>
      <c r="AM70" s="486" t="str">
        <f t="shared" ref="AM70:AM101" si="70">+B70</f>
        <v>I-MAP-FRN-COA-NETS_E0</v>
      </c>
      <c r="AN70" s="486" t="str">
        <f t="shared" ref="AN70:AP70" si="71">+AM70</f>
        <v>I-MAP-FRN-COA-NETS_E0</v>
      </c>
      <c r="AO70" s="486" t="str">
        <f t="shared" si="71"/>
        <v>I-MAP-FRN-COA-NETS_E0</v>
      </c>
      <c r="AP70" s="486" t="str">
        <f t="shared" si="71"/>
        <v>I-MAP-FRN-COA-NETS_E0</v>
      </c>
      <c r="AQ70" s="485"/>
    </row>
    <row r="71" spans="2:43">
      <c r="B71" t="str">
        <f t="shared" ref="B71:B109" si="72">"I-"&amp;VLOOKUP(Y71,$AE$6:$AF$71,2,FALSE)&amp;"-"&amp;VLOOKUP(AA71,$AE$6:$AF$71,2,FALSE)&amp;"-"&amp;VLOOKUP(AB71,$AE$6:$AF$71,2,FALSE)&amp;"-"&amp;VLOOKUP(Z71,$AE$6:$AF$71,2,FALSE)&amp;"_E0"</f>
        <v>I-MAP-BLR-OIL-NETS_E0</v>
      </c>
      <c r="C71" t="str">
        <f t="shared" ref="C71:C109" si="73">_xlfn.TEXTJOIN(" - ",TRUE,X71,Y71,AA71,AB71,Z71)</f>
        <v>Industry - Metals - Boiler - Oil - Non-ETS</v>
      </c>
      <c r="D71" t="str">
        <f t="shared" ref="D71:D109" si="74">VLOOKUP(AB71,$AE$64:$AG$69,3,FALSE)</f>
        <v>INDOIL</v>
      </c>
      <c r="E71" t="str">
        <f t="shared" ref="E71:E109" si="75">VLOOKUP(Y71,$AE$6:$AF$71,2,FALSE)&amp;"HTH,"&amp;VLOOKUP(Y71,$AE$6:$AF$71,2,FALSE)&amp;"MTH,"&amp;VLOOKUP(Y71,$AE$6:$AF$71,2,FALSE)&amp;"LTH,"&amp;VLOOKUP(Y71,$AE$6:$AF$71,2,FALSE)&amp;"HET"</f>
        <v>MAPHTH,MAPMTH,MAPLTH,MAPHET</v>
      </c>
      <c r="F71" s="386">
        <f>+NRG_shares!V69</f>
        <v>0.91999999999999993</v>
      </c>
      <c r="G71">
        <v>25</v>
      </c>
      <c r="H71" s="460">
        <f t="shared" ref="H71:H109" si="76">IF(P71/I71/J71*1.075&lt;0.001,0,P71/I71/J71*1.075)</f>
        <v>4.5624435811892376E-3</v>
      </c>
      <c r="I71">
        <v>31.536000000000001</v>
      </c>
      <c r="J71">
        <v>0.9</v>
      </c>
      <c r="K71" s="386">
        <f>+SUMIFS(NRG_shares!W$113:W$141,NRG_shares!$T$113:$T$141,Techs!$Y71,NRG_shares!$U$113:$U$141,Techs!$AA71)</f>
        <v>0</v>
      </c>
      <c r="L71" s="386">
        <f>+SUMIFS(NRG_shares!X$113:X$141,NRG_shares!$T$113:$T$141,Techs!$Y71,NRG_shares!$U$113:$U$141,Techs!$AA71)</f>
        <v>1</v>
      </c>
      <c r="M71" s="386">
        <f>+SUMIFS(NRG_shares!Y$113:Y$141,NRG_shares!$T$113:$T$141,Techs!$Y71,NRG_shares!$U$113:$U$141,Techs!$AA71)</f>
        <v>0</v>
      </c>
      <c r="N71" s="386">
        <f>+SUMIFS(NRG_shares!Z$113:Z$141,NRG_shares!$T$113:$T$141,Techs!$Y71,NRG_shares!$U$113:$U$141,Techs!$AA71)</f>
        <v>0</v>
      </c>
      <c r="O71">
        <v>3</v>
      </c>
      <c r="P71" s="460">
        <f>NRG_shares!J69*NRG_shares!O69*Conversions!$B$3</f>
        <v>0.12045869646394923</v>
      </c>
      <c r="Q71" s="491"/>
      <c r="R71" s="460" t="str">
        <v>I-CAF-BLR-COA-NETS_E0</v>
      </c>
      <c r="S71" s="460" t="s">
        <v>554</v>
      </c>
      <c r="T71" s="460" t="str">
        <v>CAFMTH</v>
      </c>
      <c r="U71" s="386">
        <v>0.1</v>
      </c>
      <c r="V71" s="385">
        <v>3</v>
      </c>
      <c r="W71" s="460"/>
      <c r="X71" s="485" t="s">
        <v>352</v>
      </c>
      <c r="Y71" s="485" t="s">
        <v>353</v>
      </c>
      <c r="Z71" s="485" t="s">
        <v>394</v>
      </c>
      <c r="AA71" s="485" t="s">
        <v>422</v>
      </c>
      <c r="AB71" s="485" t="s">
        <v>358</v>
      </c>
      <c r="AC71" s="485"/>
      <c r="AD71" s="485"/>
      <c r="AE71" s="485" t="s">
        <v>354</v>
      </c>
      <c r="AF71" s="485" t="s">
        <v>354</v>
      </c>
      <c r="AG71" s="485"/>
      <c r="AH71" s="485" t="s">
        <v>534</v>
      </c>
      <c r="AI71" s="485" t="s">
        <v>535</v>
      </c>
      <c r="AJ71" s="485" t="s">
        <v>536</v>
      </c>
      <c r="AK71" s="485" t="s">
        <v>537</v>
      </c>
      <c r="AL71" s="485"/>
      <c r="AM71" s="486" t="str">
        <f t="shared" si="70"/>
        <v>I-MAP-BLR-OIL-NETS_E0</v>
      </c>
      <c r="AN71" s="486" t="str">
        <f t="shared" ref="AN71:AP71" si="77">+AM71</f>
        <v>I-MAP-BLR-OIL-NETS_E0</v>
      </c>
      <c r="AO71" s="486" t="str">
        <f t="shared" si="77"/>
        <v>I-MAP-BLR-OIL-NETS_E0</v>
      </c>
      <c r="AP71" s="486" t="str">
        <f t="shared" si="77"/>
        <v>I-MAP-BLR-OIL-NETS_E0</v>
      </c>
      <c r="AQ71" s="485"/>
    </row>
    <row r="72" spans="2:43">
      <c r="B72" t="str">
        <f t="shared" si="72"/>
        <v>I-MAP-FRN-OIL-NETS_E0</v>
      </c>
      <c r="C72" t="str">
        <f t="shared" si="73"/>
        <v>Industry - Metals - Furnace - Oil - Non-ETS</v>
      </c>
      <c r="D72" t="str">
        <f t="shared" si="74"/>
        <v>INDOIL</v>
      </c>
      <c r="E72" t="str">
        <f t="shared" si="75"/>
        <v>MAPHTH,MAPMTH,MAPLTH,MAPHET</v>
      </c>
      <c r="F72" s="386">
        <f>+NRG_shares!V70</f>
        <v>0.85</v>
      </c>
      <c r="G72">
        <v>25</v>
      </c>
      <c r="H72" s="460">
        <f t="shared" si="76"/>
        <v>6.3229517021916063E-3</v>
      </c>
      <c r="I72">
        <v>31.536000000000001</v>
      </c>
      <c r="J72">
        <v>0.9</v>
      </c>
      <c r="K72" s="386">
        <f>+SUMIFS(NRG_shares!W$113:W$141,NRG_shares!$T$113:$T$141,Techs!$Y72,NRG_shares!$U$113:$U$141,Techs!$AA72)</f>
        <v>1</v>
      </c>
      <c r="L72" s="386">
        <f>+SUMIFS(NRG_shares!X$113:X$141,NRG_shares!$T$113:$T$141,Techs!$Y72,NRG_shares!$U$113:$U$141,Techs!$AA72)</f>
        <v>0</v>
      </c>
      <c r="M72" s="386">
        <f>+SUMIFS(NRG_shares!Y$113:Y$141,NRG_shares!$T$113:$T$141,Techs!$Y72,NRG_shares!$U$113:$U$141,Techs!$AA72)</f>
        <v>0</v>
      </c>
      <c r="N72" s="386">
        <f>+SUMIFS(NRG_shares!Z$113:Z$141,NRG_shares!$T$113:$T$141,Techs!$Y72,NRG_shares!$U$113:$U$141,Techs!$AA72)</f>
        <v>0</v>
      </c>
      <c r="O72">
        <v>3</v>
      </c>
      <c r="P72" s="460">
        <f>NRG_shares!J70*NRG_shares!O70*Conversions!$B$3</f>
        <v>0.16694004129514703</v>
      </c>
      <c r="Q72" s="491"/>
      <c r="R72" s="460" t="str">
        <v>I-CAF-BLR-COA-NETS_E0</v>
      </c>
      <c r="S72" s="460" t="s">
        <v>554</v>
      </c>
      <c r="T72" s="460" t="str">
        <v>CAFLTH</v>
      </c>
      <c r="U72" s="386">
        <v>0.7</v>
      </c>
      <c r="V72" s="385">
        <v>3</v>
      </c>
      <c r="W72" s="460"/>
      <c r="X72" s="485" t="s">
        <v>352</v>
      </c>
      <c r="Y72" s="485" t="s">
        <v>353</v>
      </c>
      <c r="Z72" s="485" t="s">
        <v>394</v>
      </c>
      <c r="AA72" s="485" t="s">
        <v>424</v>
      </c>
      <c r="AB72" s="485" t="s">
        <v>358</v>
      </c>
      <c r="AC72" s="485"/>
      <c r="AD72" s="485"/>
      <c r="AE72" s="485"/>
      <c r="AF72" s="485"/>
      <c r="AG72" s="485"/>
      <c r="AH72" s="485" t="s">
        <v>534</v>
      </c>
      <c r="AI72" s="485" t="s">
        <v>535</v>
      </c>
      <c r="AJ72" s="485" t="s">
        <v>536</v>
      </c>
      <c r="AK72" s="485" t="s">
        <v>537</v>
      </c>
      <c r="AL72" s="485"/>
      <c r="AM72" s="486" t="str">
        <f t="shared" si="70"/>
        <v>I-MAP-FRN-OIL-NETS_E0</v>
      </c>
      <c r="AN72" s="486" t="str">
        <f t="shared" ref="AN72:AP72" si="78">+AM72</f>
        <v>I-MAP-FRN-OIL-NETS_E0</v>
      </c>
      <c r="AO72" s="486" t="str">
        <f t="shared" si="78"/>
        <v>I-MAP-FRN-OIL-NETS_E0</v>
      </c>
      <c r="AP72" s="486" t="str">
        <f t="shared" si="78"/>
        <v>I-MAP-FRN-OIL-NETS_E0</v>
      </c>
      <c r="AQ72" s="485"/>
    </row>
    <row r="73" spans="2:43">
      <c r="B73" t="str">
        <f t="shared" si="72"/>
        <v>I-MAP-BLR-GAS-NETS_E0</v>
      </c>
      <c r="C73" t="str">
        <f t="shared" si="73"/>
        <v>Industry - Metals - Boiler - Gas - Non-ETS</v>
      </c>
      <c r="D73" t="str">
        <f t="shared" si="74"/>
        <v>INDGAS</v>
      </c>
      <c r="E73" t="str">
        <f t="shared" si="75"/>
        <v>MAPHTH,MAPMTH,MAPLTH,MAPHET</v>
      </c>
      <c r="F73" s="386">
        <f>+NRG_shares!V71</f>
        <v>0.91999999999999993</v>
      </c>
      <c r="G73">
        <v>25</v>
      </c>
      <c r="H73" s="460">
        <f t="shared" si="76"/>
        <v>2.8833271830397762E-2</v>
      </c>
      <c r="I73">
        <v>31.536000000000001</v>
      </c>
      <c r="J73">
        <v>0.9</v>
      </c>
      <c r="K73" s="386">
        <f>+SUMIFS(NRG_shares!W$113:W$141,NRG_shares!$T$113:$T$141,Techs!$Y73,NRG_shares!$U$113:$U$141,Techs!$AA73)</f>
        <v>0</v>
      </c>
      <c r="L73" s="386">
        <f>+SUMIFS(NRG_shares!X$113:X$141,NRG_shares!$T$113:$T$141,Techs!$Y73,NRG_shares!$U$113:$U$141,Techs!$AA73)</f>
        <v>1</v>
      </c>
      <c r="M73" s="386">
        <f>+SUMIFS(NRG_shares!Y$113:Y$141,NRG_shares!$T$113:$T$141,Techs!$Y73,NRG_shares!$U$113:$U$141,Techs!$AA73)</f>
        <v>0</v>
      </c>
      <c r="N73" s="386">
        <f>+SUMIFS(NRG_shares!Z$113:Z$141,NRG_shares!$T$113:$T$141,Techs!$Y73,NRG_shares!$U$113:$U$141,Techs!$AA73)</f>
        <v>0</v>
      </c>
      <c r="O73">
        <v>3</v>
      </c>
      <c r="P73" s="460">
        <f>NRG_shares!J71*NRG_shares!O71*Conversions!$B$3</f>
        <v>0.76126274827821538</v>
      </c>
      <c r="Q73" s="491"/>
      <c r="R73" s="460" t="str">
        <v>I-CAF-BLR-COA-NETS_E0</v>
      </c>
      <c r="S73" s="460" t="s">
        <v>554</v>
      </c>
      <c r="T73" s="460" t="str">
        <v>CAFHET</v>
      </c>
      <c r="U73" s="386">
        <v>0.2</v>
      </c>
      <c r="V73" s="385">
        <v>3</v>
      </c>
      <c r="W73" s="460"/>
      <c r="X73" s="485" t="s">
        <v>352</v>
      </c>
      <c r="Y73" s="485" t="s">
        <v>353</v>
      </c>
      <c r="Z73" s="485" t="s">
        <v>394</v>
      </c>
      <c r="AA73" s="485" t="s">
        <v>422</v>
      </c>
      <c r="AB73" s="485" t="s">
        <v>356</v>
      </c>
      <c r="AC73" s="485"/>
      <c r="AD73" s="485"/>
      <c r="AE73" s="485"/>
      <c r="AF73" s="485"/>
      <c r="AG73" s="485"/>
      <c r="AH73" s="485" t="s">
        <v>534</v>
      </c>
      <c r="AI73" s="485" t="s">
        <v>535</v>
      </c>
      <c r="AJ73" s="485" t="s">
        <v>536</v>
      </c>
      <c r="AK73" s="485" t="s">
        <v>537</v>
      </c>
      <c r="AL73" s="485"/>
      <c r="AM73" s="486" t="str">
        <f t="shared" si="70"/>
        <v>I-MAP-BLR-GAS-NETS_E0</v>
      </c>
      <c r="AN73" s="486" t="str">
        <f t="shared" ref="AN73:AP73" si="79">+AM73</f>
        <v>I-MAP-BLR-GAS-NETS_E0</v>
      </c>
      <c r="AO73" s="486" t="str">
        <f t="shared" si="79"/>
        <v>I-MAP-BLR-GAS-NETS_E0</v>
      </c>
      <c r="AP73" s="486" t="str">
        <f t="shared" si="79"/>
        <v>I-MAP-BLR-GAS-NETS_E0</v>
      </c>
      <c r="AQ73" s="485"/>
    </row>
    <row r="74" spans="2:43">
      <c r="B74" t="str">
        <f t="shared" si="72"/>
        <v>I-MAP-FRN-GAS-NETS_E0</v>
      </c>
      <c r="C74" t="str">
        <f t="shared" si="73"/>
        <v>Industry - Metals - Furnace - Gas - Non-ETS</v>
      </c>
      <c r="D74" t="str">
        <f t="shared" si="74"/>
        <v>INDGAS</v>
      </c>
      <c r="E74" t="str">
        <f t="shared" si="75"/>
        <v>MAPHTH,MAPMTH,MAPLTH,MAPHET</v>
      </c>
      <c r="F74" s="386">
        <f>+NRG_shares!V72</f>
        <v>0.85</v>
      </c>
      <c r="G74">
        <v>25</v>
      </c>
      <c r="H74" s="460">
        <f t="shared" si="76"/>
        <v>3.9959153895388198E-2</v>
      </c>
      <c r="I74">
        <v>31.536000000000001</v>
      </c>
      <c r="J74">
        <v>0.9</v>
      </c>
      <c r="K74" s="386">
        <f>+SUMIFS(NRG_shares!W$113:W$141,NRG_shares!$T$113:$T$141,Techs!$Y74,NRG_shares!$U$113:$U$141,Techs!$AA74)</f>
        <v>1</v>
      </c>
      <c r="L74" s="386">
        <f>+SUMIFS(NRG_shares!X$113:X$141,NRG_shares!$T$113:$T$141,Techs!$Y74,NRG_shares!$U$113:$U$141,Techs!$AA74)</f>
        <v>0</v>
      </c>
      <c r="M74" s="386">
        <f>+SUMIFS(NRG_shares!Y$113:Y$141,NRG_shares!$T$113:$T$141,Techs!$Y74,NRG_shares!$U$113:$U$141,Techs!$AA74)</f>
        <v>0</v>
      </c>
      <c r="N74" s="386">
        <f>+SUMIFS(NRG_shares!Z$113:Z$141,NRG_shares!$T$113:$T$141,Techs!$Y74,NRG_shares!$U$113:$U$141,Techs!$AA74)</f>
        <v>0</v>
      </c>
      <c r="O74">
        <v>3</v>
      </c>
      <c r="P74" s="460">
        <f>NRG_shares!J72*NRG_shares!O72*Conversions!$B$3</f>
        <v>1.0550108739725266</v>
      </c>
      <c r="Q74" s="491"/>
      <c r="R74" s="460" t="str">
        <v>I-CAF-CHP-COA-NETS_E0</v>
      </c>
      <c r="S74" s="460" t="s">
        <v>554</v>
      </c>
      <c r="T74" s="460" t="str">
        <v>CAFHTH</v>
      </c>
      <c r="U74" s="386">
        <v>0</v>
      </c>
      <c r="V74" s="385">
        <v>3</v>
      </c>
      <c r="W74" s="460"/>
      <c r="X74" s="485" t="s">
        <v>352</v>
      </c>
      <c r="Y74" s="485" t="s">
        <v>353</v>
      </c>
      <c r="Z74" s="485" t="s">
        <v>394</v>
      </c>
      <c r="AA74" s="485" t="s">
        <v>424</v>
      </c>
      <c r="AB74" s="485" t="s">
        <v>356</v>
      </c>
      <c r="AC74" s="485"/>
      <c r="AD74" s="485"/>
      <c r="AE74" s="485"/>
      <c r="AF74" s="485"/>
      <c r="AG74" s="485"/>
      <c r="AH74" s="485" t="s">
        <v>534</v>
      </c>
      <c r="AI74" s="485" t="s">
        <v>535</v>
      </c>
      <c r="AJ74" s="485" t="s">
        <v>536</v>
      </c>
      <c r="AK74" s="485" t="s">
        <v>537</v>
      </c>
      <c r="AL74" s="485"/>
      <c r="AM74" s="486" t="str">
        <f t="shared" si="70"/>
        <v>I-MAP-FRN-GAS-NETS_E0</v>
      </c>
      <c r="AN74" s="486" t="str">
        <f t="shared" ref="AN74:AP74" si="80">+AM74</f>
        <v>I-MAP-FRN-GAS-NETS_E0</v>
      </c>
      <c r="AO74" s="486" t="str">
        <f t="shared" si="80"/>
        <v>I-MAP-FRN-GAS-NETS_E0</v>
      </c>
      <c r="AP74" s="486" t="str">
        <f t="shared" si="80"/>
        <v>I-MAP-FRN-GAS-NETS_E0</v>
      </c>
      <c r="AQ74" s="485"/>
    </row>
    <row r="75" spans="2:43">
      <c r="B75" t="str">
        <f t="shared" si="72"/>
        <v>I-OMA-BLR-GAS-ETS_E0</v>
      </c>
      <c r="C75" t="str">
        <f t="shared" si="73"/>
        <v>Industry - Other Industry - Boiler - Gas - ETS</v>
      </c>
      <c r="D75" t="str">
        <f t="shared" si="74"/>
        <v>INDGAS</v>
      </c>
      <c r="E75" t="str">
        <f t="shared" si="75"/>
        <v>OMAHTH,OMAMTH,OMALTH,OMAHET</v>
      </c>
      <c r="F75" s="386">
        <f>+NRG_shares!V73</f>
        <v>0.92</v>
      </c>
      <c r="G75">
        <v>25</v>
      </c>
      <c r="H75" s="460">
        <f t="shared" si="76"/>
        <v>2.7482117604145696E-2</v>
      </c>
      <c r="I75">
        <v>31.536000000000001</v>
      </c>
      <c r="J75">
        <v>0.9</v>
      </c>
      <c r="K75" s="386">
        <f>+SUMIFS(NRG_shares!W$113:W$141,NRG_shares!$T$113:$T$141,Techs!$Y75,NRG_shares!$U$113:$U$141,Techs!$AA75)</f>
        <v>0</v>
      </c>
      <c r="L75" s="386">
        <f>+SUMIFS(NRG_shares!X$113:X$141,NRG_shares!$T$113:$T$141,Techs!$Y75,NRG_shares!$U$113:$U$141,Techs!$AA75)</f>
        <v>0</v>
      </c>
      <c r="M75" s="386">
        <f>+SUMIFS(NRG_shares!Y$113:Y$141,NRG_shares!$T$113:$T$141,Techs!$Y75,NRG_shares!$U$113:$U$141,Techs!$AA75)</f>
        <v>0.59999999999999987</v>
      </c>
      <c r="N75" s="386">
        <f>+SUMIFS(NRG_shares!Z$113:Z$141,NRG_shares!$T$113:$T$141,Techs!$Y75,NRG_shares!$U$113:$U$141,Techs!$AA75)</f>
        <v>0.4</v>
      </c>
      <c r="O75">
        <v>3</v>
      </c>
      <c r="P75" s="460">
        <f>NRG_shares!J73*NRG_shares!O73*Conversions!$B$3</f>
        <v>0.72558926017479519</v>
      </c>
      <c r="Q75" s="491"/>
      <c r="R75" s="460" t="str">
        <v>I-CAF-CHP-COA-NETS_E0</v>
      </c>
      <c r="S75" s="460" t="s">
        <v>554</v>
      </c>
      <c r="T75" s="460" t="str">
        <v>CAFMTH</v>
      </c>
      <c r="U75" s="386">
        <v>1</v>
      </c>
      <c r="V75" s="385">
        <v>3</v>
      </c>
      <c r="W75" s="460"/>
      <c r="X75" s="485" t="s">
        <v>352</v>
      </c>
      <c r="Y75" s="485" t="s">
        <v>375</v>
      </c>
      <c r="Z75" s="485" t="s">
        <v>354</v>
      </c>
      <c r="AA75" s="485" t="s">
        <v>422</v>
      </c>
      <c r="AB75" s="485" t="s">
        <v>356</v>
      </c>
      <c r="AC75" s="485"/>
      <c r="AD75" s="485"/>
      <c r="AE75" s="485"/>
      <c r="AF75" s="485"/>
      <c r="AG75" s="485"/>
      <c r="AH75" s="485" t="s">
        <v>538</v>
      </c>
      <c r="AI75" s="485" t="s">
        <v>539</v>
      </c>
      <c r="AJ75" s="485" t="s">
        <v>540</v>
      </c>
      <c r="AK75" s="485" t="s">
        <v>541</v>
      </c>
      <c r="AL75" s="485"/>
      <c r="AM75" s="486" t="str">
        <f t="shared" si="70"/>
        <v>I-OMA-BLR-GAS-ETS_E0</v>
      </c>
      <c r="AN75" s="486" t="str">
        <f t="shared" ref="AN75:AP75" si="81">+AM75</f>
        <v>I-OMA-BLR-GAS-ETS_E0</v>
      </c>
      <c r="AO75" s="486" t="str">
        <f t="shared" si="81"/>
        <v>I-OMA-BLR-GAS-ETS_E0</v>
      </c>
      <c r="AP75" s="486" t="str">
        <f t="shared" si="81"/>
        <v>I-OMA-BLR-GAS-ETS_E0</v>
      </c>
      <c r="AQ75" s="485"/>
    </row>
    <row r="76" spans="2:43">
      <c r="B76" t="str">
        <f t="shared" si="72"/>
        <v>I-OMA-CHP-GAS-ETS_E0</v>
      </c>
      <c r="C76" t="str">
        <f t="shared" si="73"/>
        <v>Industry - Other Industry - CHP - Gas - ETS</v>
      </c>
      <c r="D76" t="str">
        <f t="shared" si="74"/>
        <v>INDGAS</v>
      </c>
      <c r="E76" t="str">
        <f t="shared" si="75"/>
        <v>OMAHTH,OMAMTH,OMALTH,OMAHET</v>
      </c>
      <c r="F76" s="386">
        <f>+NRG_shares!V74</f>
        <v>0.5</v>
      </c>
      <c r="G76">
        <v>25</v>
      </c>
      <c r="H76" s="460">
        <f t="shared" si="76"/>
        <v>1.3442340132462571E-2</v>
      </c>
      <c r="I76">
        <v>31.536000000000001</v>
      </c>
      <c r="J76">
        <v>0.9</v>
      </c>
      <c r="K76" s="386">
        <f>+SUMIFS(NRG_shares!W$113:W$141,NRG_shares!$T$113:$T$141,Techs!$Y76,NRG_shares!$U$113:$U$141,Techs!$AA76)</f>
        <v>0</v>
      </c>
      <c r="L76" s="386">
        <f>+SUMIFS(NRG_shares!X$113:X$141,NRG_shares!$T$113:$T$141,Techs!$Y76,NRG_shares!$U$113:$U$141,Techs!$AA76)</f>
        <v>0</v>
      </c>
      <c r="M76" s="386">
        <f>+SUMIFS(NRG_shares!Y$113:Y$141,NRG_shares!$T$113:$T$141,Techs!$Y76,NRG_shares!$U$113:$U$141,Techs!$AA76)</f>
        <v>1</v>
      </c>
      <c r="N76" s="386">
        <f>+SUMIFS(NRG_shares!Z$113:Z$141,NRG_shares!$T$113:$T$141,Techs!$Y76,NRG_shares!$U$113:$U$141,Techs!$AA76)</f>
        <v>0</v>
      </c>
      <c r="O76">
        <v>3</v>
      </c>
      <c r="P76" s="460">
        <f>NRG_shares!J74*NRG_shares!O74*Conversions!$B$3</f>
        <v>0.35490779030288899</v>
      </c>
      <c r="Q76" s="491"/>
      <c r="R76" s="460" t="str">
        <v>I-CAF-CHP-COA-NETS_E0</v>
      </c>
      <c r="S76" s="460" t="s">
        <v>554</v>
      </c>
      <c r="T76" s="460" t="str">
        <v>CAFLTH</v>
      </c>
      <c r="U76" s="386">
        <v>0</v>
      </c>
      <c r="V76" s="385">
        <v>3</v>
      </c>
      <c r="W76" s="460"/>
      <c r="X76" s="485" t="s">
        <v>352</v>
      </c>
      <c r="Y76" s="485" t="s">
        <v>375</v>
      </c>
      <c r="Z76" s="485" t="s">
        <v>354</v>
      </c>
      <c r="AA76" s="485" t="s">
        <v>421</v>
      </c>
      <c r="AB76" s="485" t="s">
        <v>356</v>
      </c>
      <c r="AC76" s="485"/>
      <c r="AD76" s="485"/>
      <c r="AE76" s="485"/>
      <c r="AF76" s="485"/>
      <c r="AG76" s="485"/>
      <c r="AH76" s="485" t="s">
        <v>538</v>
      </c>
      <c r="AI76" s="485" t="s">
        <v>539</v>
      </c>
      <c r="AJ76" s="485" t="s">
        <v>540</v>
      </c>
      <c r="AK76" s="485" t="s">
        <v>541</v>
      </c>
      <c r="AL76" s="485"/>
      <c r="AM76" s="486" t="str">
        <f t="shared" si="70"/>
        <v>I-OMA-CHP-GAS-ETS_E0</v>
      </c>
      <c r="AN76" s="486" t="str">
        <f t="shared" ref="AN76:AP76" si="82">+AM76</f>
        <v>I-OMA-CHP-GAS-ETS_E0</v>
      </c>
      <c r="AO76" s="486" t="str">
        <f t="shared" si="82"/>
        <v>I-OMA-CHP-GAS-ETS_E0</v>
      </c>
      <c r="AP76" s="486" t="str">
        <f t="shared" si="82"/>
        <v>I-OMA-CHP-GAS-ETS_E0</v>
      </c>
      <c r="AQ76" s="485"/>
    </row>
    <row r="77" spans="2:43">
      <c r="B77" t="str">
        <f t="shared" si="72"/>
        <v>I-OMA-DRR-GAS-ETS_E0</v>
      </c>
      <c r="C77" t="str">
        <f t="shared" si="73"/>
        <v>Industry - Other Industry - Dryer - Gas - ETS</v>
      </c>
      <c r="D77" t="str">
        <f t="shared" si="74"/>
        <v>INDGAS</v>
      </c>
      <c r="E77" t="str">
        <f t="shared" si="75"/>
        <v>OMAHTH,OMAMTH,OMALTH,OMAHET</v>
      </c>
      <c r="F77" s="386">
        <f>+NRG_shares!V75</f>
        <v>0.92</v>
      </c>
      <c r="G77">
        <v>25</v>
      </c>
      <c r="H77" s="460">
        <f t="shared" si="76"/>
        <v>2.7482117604145698E-3</v>
      </c>
      <c r="I77">
        <v>31.536000000000001</v>
      </c>
      <c r="J77">
        <v>0.9</v>
      </c>
      <c r="K77" s="386">
        <f>+SUMIFS(NRG_shares!W$113:W$141,NRG_shares!$T$113:$T$141,Techs!$Y77,NRG_shares!$U$113:$U$141,Techs!$AA77)</f>
        <v>0</v>
      </c>
      <c r="L77" s="386">
        <f>+SUMIFS(NRG_shares!X$113:X$141,NRG_shares!$T$113:$T$141,Techs!$Y77,NRG_shares!$U$113:$U$141,Techs!$AA77)</f>
        <v>0</v>
      </c>
      <c r="M77" s="386">
        <f>+SUMIFS(NRG_shares!Y$113:Y$141,NRG_shares!$T$113:$T$141,Techs!$Y77,NRG_shares!$U$113:$U$141,Techs!$AA77)</f>
        <v>1</v>
      </c>
      <c r="N77" s="386">
        <f>+SUMIFS(NRG_shares!Z$113:Z$141,NRG_shares!$T$113:$T$141,Techs!$Y77,NRG_shares!$U$113:$U$141,Techs!$AA77)</f>
        <v>0</v>
      </c>
      <c r="O77">
        <v>3</v>
      </c>
      <c r="P77" s="460">
        <f>NRG_shares!J75*NRG_shares!O75*Conversions!$B$3</f>
        <v>7.2558926017479528E-2</v>
      </c>
      <c r="Q77" s="491"/>
      <c r="R77" s="460" t="str">
        <v>I-CAF-CHP-COA-NETS_E0</v>
      </c>
      <c r="S77" s="460" t="s">
        <v>554</v>
      </c>
      <c r="T77" s="460" t="str">
        <v>CAFHET</v>
      </c>
      <c r="U77" s="386">
        <v>0</v>
      </c>
      <c r="V77" s="385">
        <v>3</v>
      </c>
      <c r="W77" s="460"/>
      <c r="X77" s="485" t="s">
        <v>352</v>
      </c>
      <c r="Y77" s="485" t="s">
        <v>375</v>
      </c>
      <c r="Z77" s="485" t="s">
        <v>354</v>
      </c>
      <c r="AA77" s="485" t="s">
        <v>420</v>
      </c>
      <c r="AB77" s="485" t="s">
        <v>356</v>
      </c>
      <c r="AC77" s="485"/>
      <c r="AD77" s="485"/>
      <c r="AE77" s="485"/>
      <c r="AF77" s="485"/>
      <c r="AG77" s="485"/>
      <c r="AH77" s="485" t="s">
        <v>538</v>
      </c>
      <c r="AI77" s="485" t="s">
        <v>539</v>
      </c>
      <c r="AJ77" s="485" t="s">
        <v>540</v>
      </c>
      <c r="AK77" s="485" t="s">
        <v>541</v>
      </c>
      <c r="AL77" s="485"/>
      <c r="AM77" s="486" t="str">
        <f t="shared" si="70"/>
        <v>I-OMA-DRR-GAS-ETS_E0</v>
      </c>
      <c r="AN77" s="486" t="str">
        <f t="shared" ref="AN77:AP77" si="83">+AM77</f>
        <v>I-OMA-DRR-GAS-ETS_E0</v>
      </c>
      <c r="AO77" s="486" t="str">
        <f t="shared" si="83"/>
        <v>I-OMA-DRR-GAS-ETS_E0</v>
      </c>
      <c r="AP77" s="486" t="str">
        <f t="shared" si="83"/>
        <v>I-OMA-DRR-GAS-ETS_E0</v>
      </c>
      <c r="AQ77" s="485"/>
    </row>
    <row r="78" spans="2:43">
      <c r="B78" t="str">
        <f t="shared" si="72"/>
        <v>I-OMA-BLR-OIL-NETS_E0</v>
      </c>
      <c r="C78" t="str">
        <f t="shared" si="73"/>
        <v>Industry - Other Industry - Boiler - Oil - Non-ETS</v>
      </c>
      <c r="D78" t="str">
        <f t="shared" si="74"/>
        <v>INDOIL</v>
      </c>
      <c r="E78" t="str">
        <f t="shared" si="75"/>
        <v>OMAHTH,OMAMTH,OMALTH,OMAHET</v>
      </c>
      <c r="F78" s="386">
        <f>+NRG_shares!V76</f>
        <v>0.92</v>
      </c>
      <c r="G78">
        <v>25</v>
      </c>
      <c r="H78" s="460">
        <f t="shared" si="76"/>
        <v>2.3102087149389355E-2</v>
      </c>
      <c r="I78">
        <v>31.536000000000001</v>
      </c>
      <c r="J78">
        <v>0.9</v>
      </c>
      <c r="K78" s="386">
        <f>+SUMIFS(NRG_shares!W$113:W$141,NRG_shares!$T$113:$T$141,Techs!$Y78,NRG_shares!$U$113:$U$141,Techs!$AA78)</f>
        <v>0</v>
      </c>
      <c r="L78" s="386">
        <f>+SUMIFS(NRG_shares!X$113:X$141,NRG_shares!$T$113:$T$141,Techs!$Y78,NRG_shares!$U$113:$U$141,Techs!$AA78)</f>
        <v>0</v>
      </c>
      <c r="M78" s="386">
        <f>+SUMIFS(NRG_shares!Y$113:Y$141,NRG_shares!$T$113:$T$141,Techs!$Y78,NRG_shares!$U$113:$U$141,Techs!$AA78)</f>
        <v>0.59999999999999987</v>
      </c>
      <c r="N78" s="386">
        <f>+SUMIFS(NRG_shares!Z$113:Z$141,NRG_shares!$T$113:$T$141,Techs!$Y78,NRG_shares!$U$113:$U$141,Techs!$AA78)</f>
        <v>0.4</v>
      </c>
      <c r="O78">
        <v>3</v>
      </c>
      <c r="P78" s="460">
        <f>NRG_shares!J76*NRG_shares!O76*Conversions!$B$3</f>
        <v>0.6099466774965846</v>
      </c>
      <c r="Q78" s="491"/>
      <c r="R78" s="460" t="str">
        <v>I-CAF-OVN-COA-NETS_E0</v>
      </c>
      <c r="S78" s="460" t="s">
        <v>554</v>
      </c>
      <c r="T78" s="460" t="str">
        <v>CAFHTH</v>
      </c>
      <c r="U78" s="386">
        <v>0</v>
      </c>
      <c r="V78" s="385">
        <v>3</v>
      </c>
      <c r="W78" s="460"/>
      <c r="X78" s="485" t="s">
        <v>352</v>
      </c>
      <c r="Y78" s="485" t="s">
        <v>375</v>
      </c>
      <c r="Z78" s="485" t="s">
        <v>394</v>
      </c>
      <c r="AA78" s="485" t="s">
        <v>422</v>
      </c>
      <c r="AB78" s="485" t="s">
        <v>358</v>
      </c>
      <c r="AC78" s="485"/>
      <c r="AD78" s="485"/>
      <c r="AE78" s="485"/>
      <c r="AF78" s="485"/>
      <c r="AG78" s="485"/>
      <c r="AH78" s="485" t="s">
        <v>538</v>
      </c>
      <c r="AI78" s="485" t="s">
        <v>539</v>
      </c>
      <c r="AJ78" s="485" t="s">
        <v>540</v>
      </c>
      <c r="AK78" s="485" t="s">
        <v>541</v>
      </c>
      <c r="AL78" s="485"/>
      <c r="AM78" s="486" t="str">
        <f t="shared" si="70"/>
        <v>I-OMA-BLR-OIL-NETS_E0</v>
      </c>
      <c r="AN78" s="486" t="str">
        <f t="shared" ref="AN78:AP78" si="84">+AM78</f>
        <v>I-OMA-BLR-OIL-NETS_E0</v>
      </c>
      <c r="AO78" s="486" t="str">
        <f t="shared" si="84"/>
        <v>I-OMA-BLR-OIL-NETS_E0</v>
      </c>
      <c r="AP78" s="486" t="str">
        <f t="shared" si="84"/>
        <v>I-OMA-BLR-OIL-NETS_E0</v>
      </c>
      <c r="AQ78" s="485"/>
    </row>
    <row r="79" spans="2:43">
      <c r="B79" t="str">
        <f t="shared" si="72"/>
        <v>I-OMA-CHP-OIL-NETS_E0</v>
      </c>
      <c r="C79" t="str">
        <f t="shared" si="73"/>
        <v>Industry - Other Industry - CHP - Oil - Non-ETS</v>
      </c>
      <c r="D79" t="str">
        <f t="shared" si="74"/>
        <v>INDOIL</v>
      </c>
      <c r="E79" t="str">
        <f t="shared" si="75"/>
        <v>OMAHTH,OMAMTH,OMALTH,OMAHET</v>
      </c>
      <c r="F79" s="386">
        <f>+NRG_shares!V77</f>
        <v>0.5</v>
      </c>
      <c r="G79">
        <v>25</v>
      </c>
      <c r="H79" s="460">
        <f t="shared" si="76"/>
        <v>3.138870536601814E-3</v>
      </c>
      <c r="I79">
        <v>31.536000000000001</v>
      </c>
      <c r="J79">
        <v>0.9</v>
      </c>
      <c r="K79" s="386">
        <f>+SUMIFS(NRG_shares!W$113:W$141,NRG_shares!$T$113:$T$141,Techs!$Y79,NRG_shares!$U$113:$U$141,Techs!$AA79)</f>
        <v>0</v>
      </c>
      <c r="L79" s="386">
        <f>+SUMIFS(NRG_shares!X$113:X$141,NRG_shares!$T$113:$T$141,Techs!$Y79,NRG_shares!$U$113:$U$141,Techs!$AA79)</f>
        <v>0</v>
      </c>
      <c r="M79" s="386">
        <f>+SUMIFS(NRG_shares!Y$113:Y$141,NRG_shares!$T$113:$T$141,Techs!$Y79,NRG_shares!$U$113:$U$141,Techs!$AA79)</f>
        <v>1</v>
      </c>
      <c r="N79" s="386">
        <f>+SUMIFS(NRG_shares!Z$113:Z$141,NRG_shares!$T$113:$T$141,Techs!$Y79,NRG_shares!$U$113:$U$141,Techs!$AA79)</f>
        <v>0</v>
      </c>
      <c r="O79">
        <v>3</v>
      </c>
      <c r="P79" s="460">
        <f>NRG_shares!J77*NRG_shares!O77*Conversions!$B$3</f>
        <v>8.2873189877253339E-2</v>
      </c>
      <c r="Q79" s="491"/>
      <c r="R79" s="460" t="str">
        <v>I-CAF-OVN-COA-NETS_E0</v>
      </c>
      <c r="S79" s="460" t="s">
        <v>554</v>
      </c>
      <c r="T79" s="460" t="str">
        <v>CAFMTH</v>
      </c>
      <c r="U79" s="386">
        <v>0</v>
      </c>
      <c r="V79" s="385">
        <v>3</v>
      </c>
      <c r="W79" s="460"/>
      <c r="X79" s="485" t="s">
        <v>352</v>
      </c>
      <c r="Y79" s="485" t="s">
        <v>375</v>
      </c>
      <c r="Z79" s="485" t="s">
        <v>394</v>
      </c>
      <c r="AA79" s="485" t="s">
        <v>421</v>
      </c>
      <c r="AB79" s="485" t="s">
        <v>358</v>
      </c>
      <c r="AC79" s="485"/>
      <c r="AD79" s="485"/>
      <c r="AE79" s="485"/>
      <c r="AF79" s="485"/>
      <c r="AG79" s="485"/>
      <c r="AH79" s="485" t="s">
        <v>538</v>
      </c>
      <c r="AI79" s="485" t="s">
        <v>539</v>
      </c>
      <c r="AJ79" s="485" t="s">
        <v>540</v>
      </c>
      <c r="AK79" s="485" t="s">
        <v>541</v>
      </c>
      <c r="AL79" s="485"/>
      <c r="AM79" s="486" t="str">
        <f t="shared" si="70"/>
        <v>I-OMA-CHP-OIL-NETS_E0</v>
      </c>
      <c r="AN79" s="486" t="str">
        <f t="shared" ref="AN79:AP79" si="85">+AM79</f>
        <v>I-OMA-CHP-OIL-NETS_E0</v>
      </c>
      <c r="AO79" s="486" t="str">
        <f t="shared" si="85"/>
        <v>I-OMA-CHP-OIL-NETS_E0</v>
      </c>
      <c r="AP79" s="486" t="str">
        <f t="shared" si="85"/>
        <v>I-OMA-CHP-OIL-NETS_E0</v>
      </c>
      <c r="AQ79" s="485"/>
    </row>
    <row r="80" spans="2:43">
      <c r="B80" t="str">
        <f t="shared" si="72"/>
        <v>I-OMA-OVN-OIL-NETS_E0</v>
      </c>
      <c r="C80" t="str">
        <f t="shared" si="73"/>
        <v>Industry - Other Industry - Oven - Oil - Non-ETS</v>
      </c>
      <c r="D80" t="str">
        <f t="shared" si="74"/>
        <v>INDOIL</v>
      </c>
      <c r="E80" t="str">
        <f t="shared" si="75"/>
        <v>OMAHTH,OMAMTH,OMALTH,OMAHET</v>
      </c>
      <c r="F80" s="386">
        <f>+NRG_shares!V78</f>
        <v>0.91999999999999993</v>
      </c>
      <c r="G80">
        <v>25</v>
      </c>
      <c r="H80" s="460">
        <f t="shared" si="76"/>
        <v>3.8503478582315597E-3</v>
      </c>
      <c r="I80">
        <v>31.536000000000001</v>
      </c>
      <c r="J80">
        <v>0.9</v>
      </c>
      <c r="K80" s="386">
        <f>+SUMIFS(NRG_shares!W$113:W$141,NRG_shares!$T$113:$T$141,Techs!$Y80,NRG_shares!$U$113:$U$141,Techs!$AA80)</f>
        <v>0</v>
      </c>
      <c r="L80" s="386">
        <f>+SUMIFS(NRG_shares!X$113:X$141,NRG_shares!$T$113:$T$141,Techs!$Y80,NRG_shares!$U$113:$U$141,Techs!$AA80)</f>
        <v>0</v>
      </c>
      <c r="M80" s="386">
        <f>+SUMIFS(NRG_shares!Y$113:Y$141,NRG_shares!$T$113:$T$141,Techs!$Y80,NRG_shares!$U$113:$U$141,Techs!$AA80)</f>
        <v>1</v>
      </c>
      <c r="N80" s="386">
        <f>+SUMIFS(NRG_shares!Z$113:Z$141,NRG_shares!$T$113:$T$141,Techs!$Y80,NRG_shares!$U$113:$U$141,Techs!$AA80)</f>
        <v>0</v>
      </c>
      <c r="O80">
        <v>3</v>
      </c>
      <c r="P80" s="460">
        <f>NRG_shares!J78*NRG_shares!O78*Conversions!$B$3</f>
        <v>0.10165777958276412</v>
      </c>
      <c r="Q80" s="491"/>
      <c r="R80" s="460" t="str">
        <v>I-CAF-OVN-COA-NETS_E0</v>
      </c>
      <c r="S80" s="460" t="s">
        <v>554</v>
      </c>
      <c r="T80" s="460" t="str">
        <v>CAFLTH</v>
      </c>
      <c r="U80" s="386">
        <v>1</v>
      </c>
      <c r="V80" s="385">
        <v>3</v>
      </c>
      <c r="W80" s="460"/>
      <c r="X80" s="485" t="s">
        <v>352</v>
      </c>
      <c r="Y80" s="485" t="s">
        <v>375</v>
      </c>
      <c r="Z80" s="485" t="s">
        <v>394</v>
      </c>
      <c r="AA80" s="485" t="s">
        <v>423</v>
      </c>
      <c r="AB80" s="485" t="s">
        <v>358</v>
      </c>
      <c r="AC80" s="485"/>
      <c r="AD80" s="485"/>
      <c r="AE80" s="485"/>
      <c r="AF80" s="485"/>
      <c r="AG80" s="485"/>
      <c r="AH80" s="485" t="s">
        <v>538</v>
      </c>
      <c r="AI80" s="485" t="s">
        <v>539</v>
      </c>
      <c r="AJ80" s="485" t="s">
        <v>540</v>
      </c>
      <c r="AK80" s="485" t="s">
        <v>541</v>
      </c>
      <c r="AL80" s="485"/>
      <c r="AM80" s="486" t="str">
        <f t="shared" si="70"/>
        <v>I-OMA-OVN-OIL-NETS_E0</v>
      </c>
      <c r="AN80" s="486" t="str">
        <f t="shared" ref="AN80:AP80" si="86">+AM80</f>
        <v>I-OMA-OVN-OIL-NETS_E0</v>
      </c>
      <c r="AO80" s="486" t="str">
        <f t="shared" si="86"/>
        <v>I-OMA-OVN-OIL-NETS_E0</v>
      </c>
      <c r="AP80" s="486" t="str">
        <f t="shared" si="86"/>
        <v>I-OMA-OVN-OIL-NETS_E0</v>
      </c>
      <c r="AQ80" s="485"/>
    </row>
    <row r="81" spans="2:43">
      <c r="B81" t="str">
        <f t="shared" si="72"/>
        <v>I-OMA-FRN-OIL-NETS_E0</v>
      </c>
      <c r="C81" t="str">
        <f t="shared" si="73"/>
        <v>Industry - Other Industry - Furnace - Oil - Non-ETS</v>
      </c>
      <c r="D81" t="str">
        <f t="shared" si="74"/>
        <v>INDOIL</v>
      </c>
      <c r="E81" t="str">
        <f t="shared" si="75"/>
        <v>OMAHTH,OMAMTH,OMALTH,OMAHET</v>
      </c>
      <c r="F81" s="386">
        <f>+NRG_shares!V79</f>
        <v>0.84999999999999987</v>
      </c>
      <c r="G81">
        <v>25</v>
      </c>
      <c r="H81" s="460">
        <f t="shared" si="76"/>
        <v>1.7786933040743619E-3</v>
      </c>
      <c r="I81">
        <v>31.536000000000001</v>
      </c>
      <c r="J81">
        <v>0.9</v>
      </c>
      <c r="K81" s="386">
        <f>+SUMIFS(NRG_shares!W$113:W$141,NRG_shares!$T$113:$T$141,Techs!$Y81,NRG_shares!$U$113:$U$141,Techs!$AA81)</f>
        <v>1</v>
      </c>
      <c r="L81" s="386">
        <f>+SUMIFS(NRG_shares!X$113:X$141,NRG_shares!$T$113:$T$141,Techs!$Y81,NRG_shares!$U$113:$U$141,Techs!$AA81)</f>
        <v>0</v>
      </c>
      <c r="M81" s="386">
        <f>+SUMIFS(NRG_shares!Y$113:Y$141,NRG_shares!$T$113:$T$141,Techs!$Y81,NRG_shares!$U$113:$U$141,Techs!$AA81)</f>
        <v>0</v>
      </c>
      <c r="N81" s="386">
        <f>+SUMIFS(NRG_shares!Z$113:Z$141,NRG_shares!$T$113:$T$141,Techs!$Y81,NRG_shares!$U$113:$U$141,Techs!$AA81)</f>
        <v>0</v>
      </c>
      <c r="O81">
        <v>3</v>
      </c>
      <c r="P81" s="460">
        <f>NRG_shares!J79*NRG_shares!O79*Conversions!$B$3</f>
        <v>4.6961474263776906E-2</v>
      </c>
      <c r="Q81" s="491"/>
      <c r="R81" s="460" t="str">
        <v>I-CAF-OVN-COA-NETS_E0</v>
      </c>
      <c r="S81" s="460" t="s">
        <v>554</v>
      </c>
      <c r="T81" s="460" t="str">
        <v>CAFHET</v>
      </c>
      <c r="U81" s="386">
        <v>0</v>
      </c>
      <c r="V81" s="385">
        <v>3</v>
      </c>
      <c r="W81" s="460"/>
      <c r="X81" s="485" t="s">
        <v>352</v>
      </c>
      <c r="Y81" s="485" t="s">
        <v>375</v>
      </c>
      <c r="Z81" s="485" t="s">
        <v>394</v>
      </c>
      <c r="AA81" s="485" t="s">
        <v>424</v>
      </c>
      <c r="AB81" s="485" t="s">
        <v>358</v>
      </c>
      <c r="AC81" s="485"/>
      <c r="AD81" s="485"/>
      <c r="AE81" s="485"/>
      <c r="AF81" s="485"/>
      <c r="AG81" s="485"/>
      <c r="AH81" s="485" t="s">
        <v>538</v>
      </c>
      <c r="AI81" s="485" t="s">
        <v>539</v>
      </c>
      <c r="AJ81" s="485" t="s">
        <v>540</v>
      </c>
      <c r="AK81" s="485" t="s">
        <v>541</v>
      </c>
      <c r="AL81" s="485"/>
      <c r="AM81" s="486" t="str">
        <f t="shared" si="70"/>
        <v>I-OMA-FRN-OIL-NETS_E0</v>
      </c>
      <c r="AN81" s="486" t="str">
        <f t="shared" ref="AN81:AP81" si="87">+AM81</f>
        <v>I-OMA-FRN-OIL-NETS_E0</v>
      </c>
      <c r="AO81" s="486" t="str">
        <f t="shared" si="87"/>
        <v>I-OMA-FRN-OIL-NETS_E0</v>
      </c>
      <c r="AP81" s="486" t="str">
        <f t="shared" si="87"/>
        <v>I-OMA-FRN-OIL-NETS_E0</v>
      </c>
      <c r="AQ81" s="485"/>
    </row>
    <row r="82" spans="2:43">
      <c r="B82" t="str">
        <f t="shared" si="72"/>
        <v>I-OMA-DRR-OIL-NETS_E0</v>
      </c>
      <c r="C82" t="str">
        <f t="shared" si="73"/>
        <v>Industry - Other Industry - Dryer - Oil - Non-ETS</v>
      </c>
      <c r="D82" t="str">
        <f t="shared" si="74"/>
        <v>INDOIL</v>
      </c>
      <c r="E82" t="str">
        <f t="shared" si="75"/>
        <v>OMAHTH,OMAMTH,OMALTH,OMAHET</v>
      </c>
      <c r="F82" s="386">
        <f>+NRG_shares!V80</f>
        <v>0.91999999999999993</v>
      </c>
      <c r="G82">
        <v>25</v>
      </c>
      <c r="H82" s="460">
        <f t="shared" si="76"/>
        <v>3.8503478582315597E-3</v>
      </c>
      <c r="I82">
        <v>31.536000000000001</v>
      </c>
      <c r="J82">
        <v>0.9</v>
      </c>
      <c r="K82" s="386">
        <f>+SUMIFS(NRG_shares!W$113:W$141,NRG_shares!$T$113:$T$141,Techs!$Y82,NRG_shares!$U$113:$U$141,Techs!$AA82)</f>
        <v>0</v>
      </c>
      <c r="L82" s="386">
        <f>+SUMIFS(NRG_shares!X$113:X$141,NRG_shares!$T$113:$T$141,Techs!$Y82,NRG_shares!$U$113:$U$141,Techs!$AA82)</f>
        <v>0</v>
      </c>
      <c r="M82" s="386">
        <f>+SUMIFS(NRG_shares!Y$113:Y$141,NRG_shares!$T$113:$T$141,Techs!$Y82,NRG_shares!$U$113:$U$141,Techs!$AA82)</f>
        <v>1</v>
      </c>
      <c r="N82" s="386">
        <f>+SUMIFS(NRG_shares!Z$113:Z$141,NRG_shares!$T$113:$T$141,Techs!$Y82,NRG_shares!$U$113:$U$141,Techs!$AA82)</f>
        <v>0</v>
      </c>
      <c r="O82">
        <v>3</v>
      </c>
      <c r="P82" s="460">
        <f>NRG_shares!J80*NRG_shares!O80*Conversions!$B$3</f>
        <v>0.10165777958276412</v>
      </c>
      <c r="Q82" s="491"/>
      <c r="R82" s="460" t="str">
        <v>I-CAF-DRR-COA-NETS_E0</v>
      </c>
      <c r="S82" s="460" t="s">
        <v>554</v>
      </c>
      <c r="T82" s="460" t="str">
        <v>CAFHTH</v>
      </c>
      <c r="U82" s="386">
        <v>0</v>
      </c>
      <c r="V82" s="385">
        <v>3</v>
      </c>
      <c r="W82" s="460"/>
      <c r="X82" s="485" t="s">
        <v>352</v>
      </c>
      <c r="Y82" s="485" t="s">
        <v>375</v>
      </c>
      <c r="Z82" s="485" t="s">
        <v>394</v>
      </c>
      <c r="AA82" s="485" t="s">
        <v>420</v>
      </c>
      <c r="AB82" s="485" t="s">
        <v>358</v>
      </c>
      <c r="AC82" s="485"/>
      <c r="AD82" s="485"/>
      <c r="AE82" s="485"/>
      <c r="AF82" s="485"/>
      <c r="AG82" s="485"/>
      <c r="AH82" s="485" t="s">
        <v>538</v>
      </c>
      <c r="AI82" s="485" t="s">
        <v>539</v>
      </c>
      <c r="AJ82" s="485" t="s">
        <v>540</v>
      </c>
      <c r="AK82" s="485" t="s">
        <v>541</v>
      </c>
      <c r="AL82" s="485"/>
      <c r="AM82" s="486" t="str">
        <f t="shared" si="70"/>
        <v>I-OMA-DRR-OIL-NETS_E0</v>
      </c>
      <c r="AN82" s="486" t="str">
        <f t="shared" ref="AN82:AP82" si="88">+AM82</f>
        <v>I-OMA-DRR-OIL-NETS_E0</v>
      </c>
      <c r="AO82" s="486" t="str">
        <f t="shared" si="88"/>
        <v>I-OMA-DRR-OIL-NETS_E0</v>
      </c>
      <c r="AP82" s="486" t="str">
        <f t="shared" si="88"/>
        <v>I-OMA-DRR-OIL-NETS_E0</v>
      </c>
      <c r="AQ82" s="485"/>
    </row>
    <row r="83" spans="2:43">
      <c r="B83" t="str">
        <f t="shared" si="72"/>
        <v>I-OMA-BLR-GAS-NETS_E0</v>
      </c>
      <c r="C83" t="str">
        <f t="shared" si="73"/>
        <v>Industry - Other Industry - Boiler - Gas - Non-ETS</v>
      </c>
      <c r="D83" t="str">
        <f t="shared" si="74"/>
        <v>INDGAS</v>
      </c>
      <c r="E83" t="str">
        <f t="shared" si="75"/>
        <v>OMAHTH,OMAMTH,OMALTH,OMAHET</v>
      </c>
      <c r="F83" s="386">
        <f>+NRG_shares!V81</f>
        <v>0.92</v>
      </c>
      <c r="G83">
        <v>25</v>
      </c>
      <c r="H83" s="460">
        <f t="shared" si="76"/>
        <v>4.2234075473492935E-2</v>
      </c>
      <c r="I83">
        <v>31.536000000000001</v>
      </c>
      <c r="J83">
        <v>0.9</v>
      </c>
      <c r="K83" s="386">
        <f>+SUMIFS(NRG_shares!W$113:W$141,NRG_shares!$T$113:$T$141,Techs!$Y83,NRG_shares!$U$113:$U$141,Techs!$AA83)</f>
        <v>0</v>
      </c>
      <c r="L83" s="386">
        <f>+SUMIFS(NRG_shares!X$113:X$141,NRG_shares!$T$113:$T$141,Techs!$Y83,NRG_shares!$U$113:$U$141,Techs!$AA83)</f>
        <v>0</v>
      </c>
      <c r="M83" s="386">
        <f>+SUMIFS(NRG_shares!Y$113:Y$141,NRG_shares!$T$113:$T$141,Techs!$Y83,NRG_shares!$U$113:$U$141,Techs!$AA83)</f>
        <v>0.59999999999999987</v>
      </c>
      <c r="N83" s="386">
        <f>+SUMIFS(NRG_shares!Z$113:Z$141,NRG_shares!$T$113:$T$141,Techs!$Y83,NRG_shares!$U$113:$U$141,Techs!$AA83)</f>
        <v>0.4</v>
      </c>
      <c r="O83">
        <v>3</v>
      </c>
      <c r="P83" s="460">
        <f>NRG_shares!J81*NRG_shares!O81*Conversions!$B$3</f>
        <v>1.1150738825291779</v>
      </c>
      <c r="Q83" s="491"/>
      <c r="R83" s="460" t="str">
        <v>I-CAF-DRR-COA-NETS_E0</v>
      </c>
      <c r="S83" s="460" t="s">
        <v>554</v>
      </c>
      <c r="T83" s="460" t="str">
        <v>CAFMTH</v>
      </c>
      <c r="U83" s="386">
        <v>0</v>
      </c>
      <c r="V83" s="385">
        <v>3</v>
      </c>
      <c r="W83" s="460"/>
      <c r="X83" s="485" t="s">
        <v>352</v>
      </c>
      <c r="Y83" s="485" t="s">
        <v>375</v>
      </c>
      <c r="Z83" s="485" t="s">
        <v>394</v>
      </c>
      <c r="AA83" s="485" t="s">
        <v>422</v>
      </c>
      <c r="AB83" s="485" t="s">
        <v>356</v>
      </c>
      <c r="AC83" s="485"/>
      <c r="AD83" s="485"/>
      <c r="AE83" s="485"/>
      <c r="AF83" s="485"/>
      <c r="AG83" s="485"/>
      <c r="AH83" s="485" t="s">
        <v>538</v>
      </c>
      <c r="AI83" s="485" t="s">
        <v>539</v>
      </c>
      <c r="AJ83" s="485" t="s">
        <v>540</v>
      </c>
      <c r="AK83" s="485" t="s">
        <v>541</v>
      </c>
      <c r="AL83" s="485"/>
      <c r="AM83" s="486" t="str">
        <f t="shared" si="70"/>
        <v>I-OMA-BLR-GAS-NETS_E0</v>
      </c>
      <c r="AN83" s="486" t="str">
        <f t="shared" ref="AN83:AP83" si="89">+AM83</f>
        <v>I-OMA-BLR-GAS-NETS_E0</v>
      </c>
      <c r="AO83" s="486" t="str">
        <f t="shared" si="89"/>
        <v>I-OMA-BLR-GAS-NETS_E0</v>
      </c>
      <c r="AP83" s="486" t="str">
        <f t="shared" si="89"/>
        <v>I-OMA-BLR-GAS-NETS_E0</v>
      </c>
      <c r="AQ83" s="485"/>
    </row>
    <row r="84" spans="2:43">
      <c r="B84" t="str">
        <f t="shared" si="72"/>
        <v>I-OMA-CHP-GAS-NETS_E0</v>
      </c>
      <c r="C84" t="str">
        <f t="shared" si="73"/>
        <v>Industry - Other Industry - CHP - Gas - Non-ETS</v>
      </c>
      <c r="D84" t="str">
        <f t="shared" si="74"/>
        <v>INDGAS</v>
      </c>
      <c r="E84" t="str">
        <f t="shared" si="75"/>
        <v>OMAHTH,OMAMTH,OMALTH,OMAHET</v>
      </c>
      <c r="F84" s="386">
        <f>+NRG_shares!V82</f>
        <v>0.5</v>
      </c>
      <c r="G84">
        <v>25</v>
      </c>
      <c r="H84" s="460">
        <f t="shared" si="76"/>
        <v>5.7383254719419758E-3</v>
      </c>
      <c r="I84">
        <v>31.536000000000001</v>
      </c>
      <c r="J84">
        <v>0.9</v>
      </c>
      <c r="K84" s="386">
        <f>+SUMIFS(NRG_shares!W$113:W$141,NRG_shares!$T$113:$T$141,Techs!$Y84,NRG_shares!$U$113:$U$141,Techs!$AA84)</f>
        <v>0</v>
      </c>
      <c r="L84" s="386">
        <f>+SUMIFS(NRG_shares!X$113:X$141,NRG_shares!$T$113:$T$141,Techs!$Y84,NRG_shares!$U$113:$U$141,Techs!$AA84)</f>
        <v>0</v>
      </c>
      <c r="M84" s="386">
        <f>+SUMIFS(NRG_shares!Y$113:Y$141,NRG_shares!$T$113:$T$141,Techs!$Y84,NRG_shares!$U$113:$U$141,Techs!$AA84)</f>
        <v>1</v>
      </c>
      <c r="N84" s="386">
        <f>+SUMIFS(NRG_shares!Z$113:Z$141,NRG_shares!$T$113:$T$141,Techs!$Y84,NRG_shares!$U$113:$U$141,Techs!$AA84)</f>
        <v>0</v>
      </c>
      <c r="O84">
        <v>3</v>
      </c>
      <c r="P84" s="460">
        <f>NRG_shares!J82*NRG_shares!O82*Conversions!$B$3</f>
        <v>0.15150460360450785</v>
      </c>
      <c r="Q84" s="491"/>
      <c r="R84" s="460" t="str">
        <v>I-CAF-DRR-COA-NETS_E0</v>
      </c>
      <c r="S84" s="460" t="s">
        <v>554</v>
      </c>
      <c r="T84" s="460" t="str">
        <v>CAFLTH</v>
      </c>
      <c r="U84" s="386">
        <v>1</v>
      </c>
      <c r="V84" s="385">
        <v>3</v>
      </c>
      <c r="W84" s="460"/>
      <c r="X84" s="485" t="s">
        <v>352</v>
      </c>
      <c r="Y84" s="485" t="s">
        <v>375</v>
      </c>
      <c r="Z84" s="485" t="s">
        <v>394</v>
      </c>
      <c r="AA84" s="485" t="s">
        <v>421</v>
      </c>
      <c r="AB84" s="485" t="s">
        <v>356</v>
      </c>
      <c r="AC84" s="485"/>
      <c r="AD84" s="485"/>
      <c r="AE84" s="485"/>
      <c r="AF84" s="485"/>
      <c r="AG84" s="485"/>
      <c r="AH84" s="485" t="s">
        <v>538</v>
      </c>
      <c r="AI84" s="485" t="s">
        <v>539</v>
      </c>
      <c r="AJ84" s="485" t="s">
        <v>540</v>
      </c>
      <c r="AK84" s="485" t="s">
        <v>541</v>
      </c>
      <c r="AL84" s="485"/>
      <c r="AM84" s="486" t="str">
        <f t="shared" si="70"/>
        <v>I-OMA-CHP-GAS-NETS_E0</v>
      </c>
      <c r="AN84" s="486" t="str">
        <f t="shared" ref="AN84:AP84" si="90">+AM84</f>
        <v>I-OMA-CHP-GAS-NETS_E0</v>
      </c>
      <c r="AO84" s="486" t="str">
        <f t="shared" si="90"/>
        <v>I-OMA-CHP-GAS-NETS_E0</v>
      </c>
      <c r="AP84" s="486" t="str">
        <f t="shared" si="90"/>
        <v>I-OMA-CHP-GAS-NETS_E0</v>
      </c>
      <c r="AQ84" s="485"/>
    </row>
    <row r="85" spans="2:43">
      <c r="B85" t="str">
        <f t="shared" si="72"/>
        <v>I-OMA-OVN-GAS-NETS_E0</v>
      </c>
      <c r="C85" t="str">
        <f t="shared" si="73"/>
        <v>Industry - Other Industry - Oven - Gas - Non-ETS</v>
      </c>
      <c r="D85" t="str">
        <f t="shared" si="74"/>
        <v>INDGAS</v>
      </c>
      <c r="E85" t="str">
        <f t="shared" si="75"/>
        <v>OMAHTH,OMAMTH,OMALTH,OMAHET</v>
      </c>
      <c r="F85" s="386">
        <f>+NRG_shares!V83</f>
        <v>0.91999999999999993</v>
      </c>
      <c r="G85">
        <v>25</v>
      </c>
      <c r="H85" s="460">
        <f t="shared" si="76"/>
        <v>7.0390125789154909E-3</v>
      </c>
      <c r="I85">
        <v>31.536000000000001</v>
      </c>
      <c r="J85">
        <v>0.9</v>
      </c>
      <c r="K85" s="386">
        <f>+SUMIFS(NRG_shares!W$113:W$141,NRG_shares!$T$113:$T$141,Techs!$Y85,NRG_shares!$U$113:$U$141,Techs!$AA85)</f>
        <v>0</v>
      </c>
      <c r="L85" s="386">
        <f>+SUMIFS(NRG_shares!X$113:X$141,NRG_shares!$T$113:$T$141,Techs!$Y85,NRG_shares!$U$113:$U$141,Techs!$AA85)</f>
        <v>0</v>
      </c>
      <c r="M85" s="386">
        <f>+SUMIFS(NRG_shares!Y$113:Y$141,NRG_shares!$T$113:$T$141,Techs!$Y85,NRG_shares!$U$113:$U$141,Techs!$AA85)</f>
        <v>1</v>
      </c>
      <c r="N85" s="386">
        <f>+SUMIFS(NRG_shares!Z$113:Z$141,NRG_shares!$T$113:$T$141,Techs!$Y85,NRG_shares!$U$113:$U$141,Techs!$AA85)</f>
        <v>0</v>
      </c>
      <c r="O85">
        <v>3</v>
      </c>
      <c r="P85" s="460">
        <f>NRG_shares!J83*NRG_shares!O83*Conversions!$B$3</f>
        <v>0.18584564708819634</v>
      </c>
      <c r="Q85" s="491"/>
      <c r="R85" s="460" t="str">
        <v>I-CAF-DRR-COA-NETS_E0</v>
      </c>
      <c r="S85" s="460" t="s">
        <v>554</v>
      </c>
      <c r="T85" s="460" t="str">
        <v>CAFHET</v>
      </c>
      <c r="U85" s="386">
        <v>0</v>
      </c>
      <c r="V85" s="385">
        <v>3</v>
      </c>
      <c r="W85" s="460"/>
      <c r="X85" s="485" t="s">
        <v>352</v>
      </c>
      <c r="Y85" s="485" t="s">
        <v>375</v>
      </c>
      <c r="Z85" s="485" t="s">
        <v>394</v>
      </c>
      <c r="AA85" s="485" t="s">
        <v>423</v>
      </c>
      <c r="AB85" s="485" t="s">
        <v>356</v>
      </c>
      <c r="AC85" s="485"/>
      <c r="AD85" s="485"/>
      <c r="AE85" s="485"/>
      <c r="AF85" s="485"/>
      <c r="AG85" s="485"/>
      <c r="AH85" s="485" t="s">
        <v>538</v>
      </c>
      <c r="AI85" s="485" t="s">
        <v>539</v>
      </c>
      <c r="AJ85" s="485" t="s">
        <v>540</v>
      </c>
      <c r="AK85" s="485" t="s">
        <v>541</v>
      </c>
      <c r="AL85" s="485"/>
      <c r="AM85" s="486" t="str">
        <f t="shared" si="70"/>
        <v>I-OMA-OVN-GAS-NETS_E0</v>
      </c>
      <c r="AN85" s="486" t="str">
        <f t="shared" ref="AN85:AP85" si="91">+AM85</f>
        <v>I-OMA-OVN-GAS-NETS_E0</v>
      </c>
      <c r="AO85" s="486" t="str">
        <f t="shared" si="91"/>
        <v>I-OMA-OVN-GAS-NETS_E0</v>
      </c>
      <c r="AP85" s="486" t="str">
        <f t="shared" si="91"/>
        <v>I-OMA-OVN-GAS-NETS_E0</v>
      </c>
      <c r="AQ85" s="485"/>
    </row>
    <row r="86" spans="2:43">
      <c r="B86" t="str">
        <f t="shared" si="72"/>
        <v>I-OMA-FRN-GAS-NETS_E0</v>
      </c>
      <c r="C86" t="str">
        <f t="shared" si="73"/>
        <v>Industry - Other Industry - Furnace - Gas - Non-ETS</v>
      </c>
      <c r="D86" t="str">
        <f t="shared" si="74"/>
        <v>INDGAS</v>
      </c>
      <c r="E86" t="str">
        <f t="shared" si="75"/>
        <v>OMAHTH,OMAMTH,OMALTH,OMAHET</v>
      </c>
      <c r="F86" s="386">
        <f>+NRG_shares!V84</f>
        <v>0.84999999999999987</v>
      </c>
      <c r="G86">
        <v>25</v>
      </c>
      <c r="H86" s="460">
        <f t="shared" si="76"/>
        <v>3.2517177674337865E-3</v>
      </c>
      <c r="I86">
        <v>31.536000000000001</v>
      </c>
      <c r="J86">
        <v>0.9</v>
      </c>
      <c r="K86" s="386">
        <f>+SUMIFS(NRG_shares!W$113:W$141,NRG_shares!$T$113:$T$141,Techs!$Y86,NRG_shares!$U$113:$U$141,Techs!$AA86)</f>
        <v>1</v>
      </c>
      <c r="L86" s="386">
        <f>+SUMIFS(NRG_shares!X$113:X$141,NRG_shares!$T$113:$T$141,Techs!$Y86,NRG_shares!$U$113:$U$141,Techs!$AA86)</f>
        <v>0</v>
      </c>
      <c r="M86" s="386">
        <f>+SUMIFS(NRG_shares!Y$113:Y$141,NRG_shares!$T$113:$T$141,Techs!$Y86,NRG_shares!$U$113:$U$141,Techs!$AA86)</f>
        <v>0</v>
      </c>
      <c r="N86" s="386">
        <f>+SUMIFS(NRG_shares!Z$113:Z$141,NRG_shares!$T$113:$T$141,Techs!$Y86,NRG_shares!$U$113:$U$141,Techs!$AA86)</f>
        <v>0</v>
      </c>
      <c r="O86">
        <v>3</v>
      </c>
      <c r="P86" s="460">
        <f>NRG_shares!J84*NRG_shares!O84*Conversions!$B$3</f>
        <v>8.5852608709221123E-2</v>
      </c>
      <c r="Q86" s="491"/>
      <c r="R86" s="460" t="str">
        <v>I-CAF-BLR-OIL-NETS_E0</v>
      </c>
      <c r="S86" s="460" t="s">
        <v>554</v>
      </c>
      <c r="T86" s="460" t="str">
        <v>CAFHTH</v>
      </c>
      <c r="U86" s="386">
        <v>0</v>
      </c>
      <c r="V86" s="385">
        <v>3</v>
      </c>
      <c r="W86" s="460"/>
      <c r="X86" s="485" t="s">
        <v>352</v>
      </c>
      <c r="Y86" s="485" t="s">
        <v>375</v>
      </c>
      <c r="Z86" s="485" t="s">
        <v>394</v>
      </c>
      <c r="AA86" s="485" t="s">
        <v>424</v>
      </c>
      <c r="AB86" s="485" t="s">
        <v>356</v>
      </c>
      <c r="AC86" s="485"/>
      <c r="AD86" s="485"/>
      <c r="AE86" s="485"/>
      <c r="AF86" s="485"/>
      <c r="AG86" s="485"/>
      <c r="AH86" s="485" t="s">
        <v>538</v>
      </c>
      <c r="AI86" s="485" t="s">
        <v>539</v>
      </c>
      <c r="AJ86" s="485" t="s">
        <v>540</v>
      </c>
      <c r="AK86" s="485" t="s">
        <v>541</v>
      </c>
      <c r="AL86" s="485"/>
      <c r="AM86" s="486" t="str">
        <f t="shared" si="70"/>
        <v>I-OMA-FRN-GAS-NETS_E0</v>
      </c>
      <c r="AN86" s="486" t="str">
        <f t="shared" ref="AN86:AP86" si="92">+AM86</f>
        <v>I-OMA-FRN-GAS-NETS_E0</v>
      </c>
      <c r="AO86" s="486" t="str">
        <f t="shared" si="92"/>
        <v>I-OMA-FRN-GAS-NETS_E0</v>
      </c>
      <c r="AP86" s="486" t="str">
        <f t="shared" si="92"/>
        <v>I-OMA-FRN-GAS-NETS_E0</v>
      </c>
      <c r="AQ86" s="485"/>
    </row>
    <row r="87" spans="2:43">
      <c r="B87" t="str">
        <f t="shared" si="72"/>
        <v>I-OMA-DRR-GAS-NETS_E0</v>
      </c>
      <c r="C87" t="str">
        <f t="shared" si="73"/>
        <v>Industry - Other Industry - Dryer - Gas - Non-ETS</v>
      </c>
      <c r="D87" t="str">
        <f t="shared" si="74"/>
        <v>INDGAS</v>
      </c>
      <c r="E87" t="str">
        <f t="shared" si="75"/>
        <v>OMAHTH,OMAMTH,OMALTH,OMAHET</v>
      </c>
      <c r="F87" s="386">
        <f>+NRG_shares!V85</f>
        <v>0.91999999999999993</v>
      </c>
      <c r="G87">
        <v>25</v>
      </c>
      <c r="H87" s="460">
        <f t="shared" si="76"/>
        <v>7.0390125789154909E-3</v>
      </c>
      <c r="I87">
        <v>31.536000000000001</v>
      </c>
      <c r="J87">
        <v>0.9</v>
      </c>
      <c r="K87" s="386">
        <f>+SUMIFS(NRG_shares!W$113:W$141,NRG_shares!$T$113:$T$141,Techs!$Y87,NRG_shares!$U$113:$U$141,Techs!$AA87)</f>
        <v>0</v>
      </c>
      <c r="L87" s="386">
        <f>+SUMIFS(NRG_shares!X$113:X$141,NRG_shares!$T$113:$T$141,Techs!$Y87,NRG_shares!$U$113:$U$141,Techs!$AA87)</f>
        <v>0</v>
      </c>
      <c r="M87" s="386">
        <f>+SUMIFS(NRG_shares!Y$113:Y$141,NRG_shares!$T$113:$T$141,Techs!$Y87,NRG_shares!$U$113:$U$141,Techs!$AA87)</f>
        <v>1</v>
      </c>
      <c r="N87" s="386">
        <f>+SUMIFS(NRG_shares!Z$113:Z$141,NRG_shares!$T$113:$T$141,Techs!$Y87,NRG_shares!$U$113:$U$141,Techs!$AA87)</f>
        <v>0</v>
      </c>
      <c r="O87">
        <v>3</v>
      </c>
      <c r="P87" s="460">
        <f>NRG_shares!J85*NRG_shares!O85*Conversions!$B$3</f>
        <v>0.18584564708819634</v>
      </c>
      <c r="Q87" s="491"/>
      <c r="R87" s="460" t="str">
        <v>I-CAF-BLR-OIL-NETS_E0</v>
      </c>
      <c r="S87" s="460" t="s">
        <v>554</v>
      </c>
      <c r="T87" s="460" t="str">
        <v>CAFMTH</v>
      </c>
      <c r="U87" s="386">
        <v>0.1</v>
      </c>
      <c r="V87" s="385">
        <v>3</v>
      </c>
      <c r="W87" s="460"/>
      <c r="X87" s="485" t="s">
        <v>352</v>
      </c>
      <c r="Y87" s="485" t="s">
        <v>375</v>
      </c>
      <c r="Z87" s="485" t="s">
        <v>394</v>
      </c>
      <c r="AA87" s="485" t="s">
        <v>420</v>
      </c>
      <c r="AB87" s="485" t="s">
        <v>356</v>
      </c>
      <c r="AC87" s="485"/>
      <c r="AD87" s="485"/>
      <c r="AE87" s="485"/>
      <c r="AF87" s="485"/>
      <c r="AG87" s="485"/>
      <c r="AH87" s="485" t="s">
        <v>538</v>
      </c>
      <c r="AI87" s="485" t="s">
        <v>539</v>
      </c>
      <c r="AJ87" s="485" t="s">
        <v>540</v>
      </c>
      <c r="AK87" s="485" t="s">
        <v>541</v>
      </c>
      <c r="AL87" s="485"/>
      <c r="AM87" s="486" t="str">
        <f t="shared" si="70"/>
        <v>I-OMA-DRR-GAS-NETS_E0</v>
      </c>
      <c r="AN87" s="486" t="str">
        <f t="shared" ref="AN87:AP87" si="93">+AM87</f>
        <v>I-OMA-DRR-GAS-NETS_E0</v>
      </c>
      <c r="AO87" s="486" t="str">
        <f t="shared" si="93"/>
        <v>I-OMA-DRR-GAS-NETS_E0</v>
      </c>
      <c r="AP87" s="486" t="str">
        <f t="shared" si="93"/>
        <v>I-OMA-DRR-GAS-NETS_E0</v>
      </c>
      <c r="AQ87" s="485"/>
    </row>
    <row r="88" spans="2:43">
      <c r="B88" t="str">
        <f t="shared" si="72"/>
        <v>I-ONM-BLR-COA-ETS_E0</v>
      </c>
      <c r="C88" t="str">
        <f t="shared" si="73"/>
        <v>Industry - Other Minerals - Boiler - Solid Fuels - ETS</v>
      </c>
      <c r="D88" t="str">
        <f t="shared" si="74"/>
        <v>INDCOA,INDCOK</v>
      </c>
      <c r="E88" t="str">
        <f t="shared" si="75"/>
        <v>ONMHTH,ONMMTH,ONMLTH,ONMHET</v>
      </c>
      <c r="F88" s="386">
        <f>+NRG_shares!V86</f>
        <v>0.92</v>
      </c>
      <c r="G88">
        <v>25</v>
      </c>
      <c r="H88" s="460">
        <f t="shared" si="76"/>
        <v>0</v>
      </c>
      <c r="I88">
        <v>31.536000000000001</v>
      </c>
      <c r="J88">
        <v>0.9</v>
      </c>
      <c r="K88" s="386">
        <f>+SUMIFS(NRG_shares!W$113:W$141,NRG_shares!$T$113:$T$141,Techs!$Y88,NRG_shares!$U$113:$U$141,Techs!$AA88)</f>
        <v>0</v>
      </c>
      <c r="L88" s="386">
        <f>+SUMIFS(NRG_shares!X$113:X$141,NRG_shares!$T$113:$T$141,Techs!$Y88,NRG_shares!$U$113:$U$141,Techs!$AA88)</f>
        <v>0</v>
      </c>
      <c r="M88" s="386">
        <f>+SUMIFS(NRG_shares!Y$113:Y$141,NRG_shares!$T$113:$T$141,Techs!$Y88,NRG_shares!$U$113:$U$141,Techs!$AA88)</f>
        <v>1</v>
      </c>
      <c r="N88" s="386">
        <f>+SUMIFS(NRG_shares!Z$113:Z$141,NRG_shares!$T$113:$T$141,Techs!$Y88,NRG_shares!$U$113:$U$141,Techs!$AA88)</f>
        <v>0</v>
      </c>
      <c r="O88">
        <v>3</v>
      </c>
      <c r="P88" s="460">
        <f>NRG_shares!J86*NRG_shares!O86*Conversions!$B$3</f>
        <v>2.6334945392116334E-2</v>
      </c>
      <c r="Q88" s="491"/>
      <c r="R88" s="460" t="str">
        <v>I-CAF-BLR-OIL-NETS_E0</v>
      </c>
      <c r="S88" s="460" t="s">
        <v>554</v>
      </c>
      <c r="T88" s="460" t="str">
        <v>CAFLTH</v>
      </c>
      <c r="U88" s="386">
        <v>0.7</v>
      </c>
      <c r="V88" s="385">
        <v>3</v>
      </c>
      <c r="W88" s="460"/>
      <c r="X88" s="485" t="s">
        <v>352</v>
      </c>
      <c r="Y88" s="485" t="s">
        <v>388</v>
      </c>
      <c r="Z88" s="485" t="s">
        <v>354</v>
      </c>
      <c r="AA88" s="485" t="s">
        <v>422</v>
      </c>
      <c r="AB88" s="485" t="s">
        <v>365</v>
      </c>
      <c r="AC88" s="485"/>
      <c r="AD88" s="485"/>
      <c r="AE88" s="485"/>
      <c r="AF88" s="485"/>
      <c r="AG88" s="485"/>
      <c r="AH88" s="485" t="s">
        <v>542</v>
      </c>
      <c r="AI88" s="485" t="s">
        <v>543</v>
      </c>
      <c r="AJ88" s="485" t="s">
        <v>544</v>
      </c>
      <c r="AK88" s="485" t="s">
        <v>545</v>
      </c>
      <c r="AL88" s="485"/>
      <c r="AM88" s="486" t="str">
        <f t="shared" si="70"/>
        <v>I-ONM-BLR-COA-ETS_E0</v>
      </c>
      <c r="AN88" s="486" t="str">
        <f t="shared" ref="AN88:AP88" si="94">+AM88</f>
        <v>I-ONM-BLR-COA-ETS_E0</v>
      </c>
      <c r="AO88" s="486" t="str">
        <f t="shared" si="94"/>
        <v>I-ONM-BLR-COA-ETS_E0</v>
      </c>
      <c r="AP88" s="486" t="str">
        <f t="shared" si="94"/>
        <v>I-ONM-BLR-COA-ETS_E0</v>
      </c>
      <c r="AQ88" s="485"/>
    </row>
    <row r="89" spans="2:43">
      <c r="B89" t="str">
        <f t="shared" si="72"/>
        <v>I-ONM-DRR-COA-ETS_E0</v>
      </c>
      <c r="C89" t="str">
        <f t="shared" si="73"/>
        <v>Industry - Other Minerals - Dryer - Solid Fuels - ETS</v>
      </c>
      <c r="D89" t="str">
        <f t="shared" si="74"/>
        <v>INDCOA,INDCOK</v>
      </c>
      <c r="E89" t="str">
        <f t="shared" si="75"/>
        <v>ONMHTH,ONMMTH,ONMLTH,ONMHET</v>
      </c>
      <c r="F89" s="386">
        <f>+NRG_shares!V87</f>
        <v>0.92</v>
      </c>
      <c r="G89">
        <v>25</v>
      </c>
      <c r="H89" s="460">
        <f t="shared" si="76"/>
        <v>0</v>
      </c>
      <c r="I89">
        <v>31.536000000000001</v>
      </c>
      <c r="J89">
        <v>0.9</v>
      </c>
      <c r="K89" s="386">
        <f>+SUMIFS(NRG_shares!W$113:W$141,NRG_shares!$T$113:$T$141,Techs!$Y89,NRG_shares!$U$113:$U$141,Techs!$AA89)</f>
        <v>0</v>
      </c>
      <c r="L89" s="386">
        <f>+SUMIFS(NRG_shares!X$113:X$141,NRG_shares!$T$113:$T$141,Techs!$Y89,NRG_shares!$U$113:$U$141,Techs!$AA89)</f>
        <v>1</v>
      </c>
      <c r="M89" s="386">
        <f>+SUMIFS(NRG_shares!Y$113:Y$141,NRG_shares!$T$113:$T$141,Techs!$Y89,NRG_shares!$U$113:$U$141,Techs!$AA89)</f>
        <v>0</v>
      </c>
      <c r="N89" s="386">
        <f>+SUMIFS(NRG_shares!Z$113:Z$141,NRG_shares!$T$113:$T$141,Techs!$Y89,NRG_shares!$U$113:$U$141,Techs!$AA89)</f>
        <v>0</v>
      </c>
      <c r="O89">
        <v>3</v>
      </c>
      <c r="P89" s="460">
        <f>NRG_shares!J87*NRG_shares!O87*Conversions!$B$3</f>
        <v>1.3167472696058167E-2</v>
      </c>
      <c r="Q89" s="491"/>
      <c r="R89" s="460" t="str">
        <v>I-CAF-BLR-OIL-NETS_E0</v>
      </c>
      <c r="S89" s="460" t="s">
        <v>554</v>
      </c>
      <c r="T89" s="460" t="str">
        <v>CAFHET</v>
      </c>
      <c r="U89" s="386">
        <v>0.2</v>
      </c>
      <c r="V89" s="385">
        <v>3</v>
      </c>
      <c r="W89" s="460"/>
      <c r="X89" s="485" t="s">
        <v>352</v>
      </c>
      <c r="Y89" s="485" t="s">
        <v>388</v>
      </c>
      <c r="Z89" s="485" t="s">
        <v>354</v>
      </c>
      <c r="AA89" s="485" t="s">
        <v>420</v>
      </c>
      <c r="AB89" s="485" t="s">
        <v>365</v>
      </c>
      <c r="AC89" s="485"/>
      <c r="AD89" s="485"/>
      <c r="AE89" s="485"/>
      <c r="AF89" s="485"/>
      <c r="AG89" s="485"/>
      <c r="AH89" s="485" t="s">
        <v>542</v>
      </c>
      <c r="AI89" s="485" t="s">
        <v>543</v>
      </c>
      <c r="AJ89" s="485" t="s">
        <v>544</v>
      </c>
      <c r="AK89" s="485" t="s">
        <v>545</v>
      </c>
      <c r="AL89" s="485"/>
      <c r="AM89" s="486" t="str">
        <f t="shared" si="70"/>
        <v>I-ONM-DRR-COA-ETS_E0</v>
      </c>
      <c r="AN89" s="486" t="str">
        <f t="shared" ref="AN89:AP89" si="95">+AM89</f>
        <v>I-ONM-DRR-COA-ETS_E0</v>
      </c>
      <c r="AO89" s="486" t="str">
        <f t="shared" si="95"/>
        <v>I-ONM-DRR-COA-ETS_E0</v>
      </c>
      <c r="AP89" s="486" t="str">
        <f t="shared" si="95"/>
        <v>I-ONM-DRR-COA-ETS_E0</v>
      </c>
      <c r="AQ89" s="485"/>
    </row>
    <row r="90" spans="2:43">
      <c r="B90" t="str">
        <f t="shared" si="72"/>
        <v>I-ONM-OKL-GAS-ETS_E0</v>
      </c>
      <c r="C90" t="str">
        <f t="shared" si="73"/>
        <v>Industry - Other Minerals - Other Kiln - Gas - ETS</v>
      </c>
      <c r="D90" t="str">
        <f t="shared" si="74"/>
        <v>INDGAS</v>
      </c>
      <c r="E90" t="str">
        <f t="shared" si="75"/>
        <v>ONMHTH,ONMMTH,ONMLTH,ONMHET</v>
      </c>
      <c r="F90" s="386">
        <f>+NRG_shares!V88</f>
        <v>0.85</v>
      </c>
      <c r="G90">
        <v>25</v>
      </c>
      <c r="H90" s="460">
        <f t="shared" si="76"/>
        <v>1.4161430322738645E-3</v>
      </c>
      <c r="I90">
        <v>31.536000000000001</v>
      </c>
      <c r="J90">
        <v>0.9</v>
      </c>
      <c r="K90" s="386">
        <f>+SUMIFS(NRG_shares!W$113:W$141,NRG_shares!$T$113:$T$141,Techs!$Y90,NRG_shares!$U$113:$U$141,Techs!$AA90)</f>
        <v>1</v>
      </c>
      <c r="L90" s="386">
        <f>+SUMIFS(NRG_shares!X$113:X$141,NRG_shares!$T$113:$T$141,Techs!$Y90,NRG_shares!$U$113:$U$141,Techs!$AA90)</f>
        <v>0</v>
      </c>
      <c r="M90" s="386">
        <f>+SUMIFS(NRG_shares!Y$113:Y$141,NRG_shares!$T$113:$T$141,Techs!$Y90,NRG_shares!$U$113:$U$141,Techs!$AA90)</f>
        <v>0</v>
      </c>
      <c r="N90" s="386">
        <f>+SUMIFS(NRG_shares!Z$113:Z$141,NRG_shares!$T$113:$T$141,Techs!$Y90,NRG_shares!$U$113:$U$141,Techs!$AA90)</f>
        <v>0</v>
      </c>
      <c r="O90">
        <v>3</v>
      </c>
      <c r="P90" s="460">
        <f>NRG_shares!J88*NRG_shares!O88*Conversions!$B$3</f>
        <v>3.7389337673683472E-2</v>
      </c>
      <c r="Q90" s="491"/>
      <c r="R90" s="460" t="str">
        <v>I-CAF-CHP-OIL-NETS_E0</v>
      </c>
      <c r="S90" s="460" t="s">
        <v>554</v>
      </c>
      <c r="T90" s="460" t="str">
        <v>CAFHTH</v>
      </c>
      <c r="U90" s="386">
        <v>0</v>
      </c>
      <c r="V90" s="385">
        <v>3</v>
      </c>
      <c r="W90" s="460"/>
      <c r="X90" s="485" t="s">
        <v>352</v>
      </c>
      <c r="Y90" s="485" t="s">
        <v>388</v>
      </c>
      <c r="Z90" s="485" t="s">
        <v>354</v>
      </c>
      <c r="AA90" s="485" t="s">
        <v>425</v>
      </c>
      <c r="AB90" s="485" t="s">
        <v>356</v>
      </c>
      <c r="AC90" s="485"/>
      <c r="AD90" s="485"/>
      <c r="AE90" s="485"/>
      <c r="AF90" s="485"/>
      <c r="AG90" s="485"/>
      <c r="AH90" s="485" t="s">
        <v>542</v>
      </c>
      <c r="AI90" s="485" t="s">
        <v>543</v>
      </c>
      <c r="AJ90" s="485" t="s">
        <v>544</v>
      </c>
      <c r="AK90" s="485" t="s">
        <v>545</v>
      </c>
      <c r="AL90" s="485"/>
      <c r="AM90" s="486" t="str">
        <f t="shared" si="70"/>
        <v>I-ONM-OKL-GAS-ETS_E0</v>
      </c>
      <c r="AN90" s="486" t="str">
        <f t="shared" ref="AN90:AP90" si="96">+AM90</f>
        <v>I-ONM-OKL-GAS-ETS_E0</v>
      </c>
      <c r="AO90" s="486" t="str">
        <f t="shared" si="96"/>
        <v>I-ONM-OKL-GAS-ETS_E0</v>
      </c>
      <c r="AP90" s="486" t="str">
        <f t="shared" si="96"/>
        <v>I-ONM-OKL-GAS-ETS_E0</v>
      </c>
      <c r="AQ90" s="485"/>
    </row>
    <row r="91" spans="2:43">
      <c r="B91" t="str">
        <f t="shared" si="72"/>
        <v>I-ONM-BLR-GAS-ETS_E0</v>
      </c>
      <c r="C91" t="str">
        <f t="shared" si="73"/>
        <v>Industry - Other Minerals - Boiler - Gas - ETS</v>
      </c>
      <c r="D91" t="str">
        <f t="shared" si="74"/>
        <v>INDGAS</v>
      </c>
      <c r="E91" t="str">
        <f t="shared" si="75"/>
        <v>ONMHTH,ONMMTH,ONMLTH,ONMHET</v>
      </c>
      <c r="F91" s="386">
        <f>+NRG_shares!V89</f>
        <v>0.92</v>
      </c>
      <c r="G91">
        <v>25</v>
      </c>
      <c r="H91" s="460">
        <f t="shared" si="76"/>
        <v>9.1965994566490933E-3</v>
      </c>
      <c r="I91">
        <v>31.536000000000001</v>
      </c>
      <c r="J91">
        <v>0.9</v>
      </c>
      <c r="K91" s="386">
        <f>+SUMIFS(NRG_shares!W$113:W$141,NRG_shares!$T$113:$T$141,Techs!$Y91,NRG_shares!$U$113:$U$141,Techs!$AA91)</f>
        <v>0</v>
      </c>
      <c r="L91" s="386">
        <f>+SUMIFS(NRG_shares!X$113:X$141,NRG_shares!$T$113:$T$141,Techs!$Y91,NRG_shares!$U$113:$U$141,Techs!$AA91)</f>
        <v>0</v>
      </c>
      <c r="M91" s="386">
        <f>+SUMIFS(NRG_shares!Y$113:Y$141,NRG_shares!$T$113:$T$141,Techs!$Y91,NRG_shares!$U$113:$U$141,Techs!$AA91)</f>
        <v>1</v>
      </c>
      <c r="N91" s="386">
        <f>+SUMIFS(NRG_shares!Z$113:Z$141,NRG_shares!$T$113:$T$141,Techs!$Y91,NRG_shares!$U$113:$U$141,Techs!$AA91)</f>
        <v>0</v>
      </c>
      <c r="O91">
        <v>3</v>
      </c>
      <c r="P91" s="460">
        <f>NRG_shares!J89*NRG_shares!O89*Conversions!$B$3</f>
        <v>0.24281075759850912</v>
      </c>
      <c r="Q91" s="491"/>
      <c r="R91" s="460" t="str">
        <v>I-CAF-CHP-OIL-NETS_E0</v>
      </c>
      <c r="S91" s="460" t="s">
        <v>554</v>
      </c>
      <c r="T91" s="460" t="str">
        <v>CAFMTH</v>
      </c>
      <c r="U91" s="386">
        <v>1</v>
      </c>
      <c r="V91" s="385">
        <v>3</v>
      </c>
      <c r="W91" s="460"/>
      <c r="X91" s="485" t="s">
        <v>352</v>
      </c>
      <c r="Y91" s="485" t="s">
        <v>388</v>
      </c>
      <c r="Z91" s="485" t="s">
        <v>354</v>
      </c>
      <c r="AA91" s="485" t="s">
        <v>422</v>
      </c>
      <c r="AB91" s="485" t="s">
        <v>356</v>
      </c>
      <c r="AC91" s="485"/>
      <c r="AD91" s="485"/>
      <c r="AE91" s="485"/>
      <c r="AF91" s="485"/>
      <c r="AG91" s="485"/>
      <c r="AH91" s="485" t="s">
        <v>542</v>
      </c>
      <c r="AI91" s="485" t="s">
        <v>543</v>
      </c>
      <c r="AJ91" s="485" t="s">
        <v>544</v>
      </c>
      <c r="AK91" s="485" t="s">
        <v>545</v>
      </c>
      <c r="AL91" s="485"/>
      <c r="AM91" s="486" t="str">
        <f t="shared" si="70"/>
        <v>I-ONM-BLR-GAS-ETS_E0</v>
      </c>
      <c r="AN91" s="486" t="str">
        <f t="shared" ref="AN91:AP91" si="97">+AM91</f>
        <v>I-ONM-BLR-GAS-ETS_E0</v>
      </c>
      <c r="AO91" s="486" t="str">
        <f t="shared" si="97"/>
        <v>I-ONM-BLR-GAS-ETS_E0</v>
      </c>
      <c r="AP91" s="486" t="str">
        <f t="shared" si="97"/>
        <v>I-ONM-BLR-GAS-ETS_E0</v>
      </c>
      <c r="AQ91" s="485"/>
    </row>
    <row r="92" spans="2:43">
      <c r="B92" t="str">
        <f t="shared" si="72"/>
        <v>I-ONM-DRR-GAS-ETS_E0</v>
      </c>
      <c r="C92" t="str">
        <f t="shared" si="73"/>
        <v>Industry - Other Minerals - Dryer - Gas - ETS</v>
      </c>
      <c r="D92" t="str">
        <f t="shared" si="74"/>
        <v>INDGAS</v>
      </c>
      <c r="E92" t="str">
        <f t="shared" si="75"/>
        <v>ONMHTH,ONMMTH,ONMLTH,ONMHET</v>
      </c>
      <c r="F92" s="386">
        <f>+NRG_shares!V90</f>
        <v>0.92</v>
      </c>
      <c r="G92">
        <v>25</v>
      </c>
      <c r="H92" s="460">
        <f t="shared" si="76"/>
        <v>4.5982997283245466E-3</v>
      </c>
      <c r="I92">
        <v>31.536000000000001</v>
      </c>
      <c r="J92">
        <v>0.9</v>
      </c>
      <c r="K92" s="386">
        <f>+SUMIFS(NRG_shares!W$113:W$141,NRG_shares!$T$113:$T$141,Techs!$Y92,NRG_shares!$U$113:$U$141,Techs!$AA92)</f>
        <v>0</v>
      </c>
      <c r="L92" s="386">
        <f>+SUMIFS(NRG_shares!X$113:X$141,NRG_shares!$T$113:$T$141,Techs!$Y92,NRG_shares!$U$113:$U$141,Techs!$AA92)</f>
        <v>1</v>
      </c>
      <c r="M92" s="386">
        <f>+SUMIFS(NRG_shares!Y$113:Y$141,NRG_shares!$T$113:$T$141,Techs!$Y92,NRG_shares!$U$113:$U$141,Techs!$AA92)</f>
        <v>0</v>
      </c>
      <c r="N92" s="386">
        <f>+SUMIFS(NRG_shares!Z$113:Z$141,NRG_shares!$T$113:$T$141,Techs!$Y92,NRG_shares!$U$113:$U$141,Techs!$AA92)</f>
        <v>0</v>
      </c>
      <c r="O92">
        <v>3</v>
      </c>
      <c r="P92" s="460">
        <f>NRG_shares!J90*NRG_shares!O90*Conversions!$B$3</f>
        <v>0.12140537879925456</v>
      </c>
      <c r="Q92" s="491"/>
      <c r="R92" s="460" t="str">
        <v>I-CAF-CHP-OIL-NETS_E0</v>
      </c>
      <c r="S92" s="460" t="s">
        <v>554</v>
      </c>
      <c r="T92" s="460" t="str">
        <v>CAFLTH</v>
      </c>
      <c r="U92" s="386">
        <v>0</v>
      </c>
      <c r="V92" s="385">
        <v>3</v>
      </c>
      <c r="W92" s="460"/>
      <c r="X92" s="485" t="s">
        <v>352</v>
      </c>
      <c r="Y92" s="485" t="s">
        <v>388</v>
      </c>
      <c r="Z92" s="485" t="s">
        <v>354</v>
      </c>
      <c r="AA92" s="485" t="s">
        <v>420</v>
      </c>
      <c r="AB92" s="485" t="s">
        <v>356</v>
      </c>
      <c r="AC92" s="485"/>
      <c r="AD92" s="485"/>
      <c r="AE92" s="485"/>
      <c r="AF92" s="485"/>
      <c r="AG92" s="485"/>
      <c r="AH92" s="485" t="s">
        <v>542</v>
      </c>
      <c r="AI92" s="485" t="s">
        <v>543</v>
      </c>
      <c r="AJ92" s="485" t="s">
        <v>544</v>
      </c>
      <c r="AK92" s="485" t="s">
        <v>545</v>
      </c>
      <c r="AL92" s="485"/>
      <c r="AM92" s="486" t="str">
        <f t="shared" si="70"/>
        <v>I-ONM-DRR-GAS-ETS_E0</v>
      </c>
      <c r="AN92" s="486" t="str">
        <f t="shared" ref="AN92:AP92" si="98">+AM92</f>
        <v>I-ONM-DRR-GAS-ETS_E0</v>
      </c>
      <c r="AO92" s="486" t="str">
        <f t="shared" si="98"/>
        <v>I-ONM-DRR-GAS-ETS_E0</v>
      </c>
      <c r="AP92" s="486" t="str">
        <f t="shared" si="98"/>
        <v>I-ONM-DRR-GAS-ETS_E0</v>
      </c>
      <c r="AQ92" s="485"/>
    </row>
    <row r="93" spans="2:43">
      <c r="B93" t="str">
        <f t="shared" si="72"/>
        <v>I-ONM-OKL-BIO-NETS_E0</v>
      </c>
      <c r="C93" t="str">
        <f t="shared" si="73"/>
        <v>Industry - Other Minerals - Other Kiln - Bio fuel - Non-ETS</v>
      </c>
      <c r="D93" t="str">
        <f t="shared" si="74"/>
        <v>INDBIO</v>
      </c>
      <c r="E93" t="str">
        <f t="shared" si="75"/>
        <v>ONMHTH,ONMMTH,ONMLTH,ONMHET</v>
      </c>
      <c r="F93" s="386">
        <f>+NRG_shares!V91</f>
        <v>0.85</v>
      </c>
      <c r="G93">
        <v>25</v>
      </c>
      <c r="H93" s="460">
        <f t="shared" si="76"/>
        <v>0</v>
      </c>
      <c r="I93">
        <v>31.536000000000001</v>
      </c>
      <c r="J93">
        <v>0.9</v>
      </c>
      <c r="K93" s="386">
        <f>+SUMIFS(NRG_shares!W$113:W$141,NRG_shares!$T$113:$T$141,Techs!$Y93,NRG_shares!$U$113:$U$141,Techs!$AA93)</f>
        <v>1</v>
      </c>
      <c r="L93" s="386">
        <f>+SUMIFS(NRG_shares!X$113:X$141,NRG_shares!$T$113:$T$141,Techs!$Y93,NRG_shares!$U$113:$U$141,Techs!$AA93)</f>
        <v>0</v>
      </c>
      <c r="M93" s="386">
        <f>+SUMIFS(NRG_shares!Y$113:Y$141,NRG_shares!$T$113:$T$141,Techs!$Y93,NRG_shares!$U$113:$U$141,Techs!$AA93)</f>
        <v>0</v>
      </c>
      <c r="N93" s="386">
        <f>+SUMIFS(NRG_shares!Z$113:Z$141,NRG_shares!$T$113:$T$141,Techs!$Y93,NRG_shares!$U$113:$U$141,Techs!$AA93)</f>
        <v>0</v>
      </c>
      <c r="O93">
        <v>3</v>
      </c>
      <c r="P93" s="460">
        <f>NRG_shares!J91*NRG_shares!O91*Conversions!$B$3</f>
        <v>7.8904790845089334E-3</v>
      </c>
      <c r="Q93" s="491"/>
      <c r="R93" s="460" t="str">
        <v>I-CAF-CHP-OIL-NETS_E0</v>
      </c>
      <c r="S93" s="460" t="s">
        <v>554</v>
      </c>
      <c r="T93" s="460" t="str">
        <v>CAFHET</v>
      </c>
      <c r="U93" s="386">
        <v>0</v>
      </c>
      <c r="V93" s="385">
        <v>3</v>
      </c>
      <c r="W93" s="460"/>
      <c r="X93" s="485" t="s">
        <v>352</v>
      </c>
      <c r="Y93" s="485" t="s">
        <v>388</v>
      </c>
      <c r="Z93" s="485" t="s">
        <v>394</v>
      </c>
      <c r="AA93" s="485" t="s">
        <v>425</v>
      </c>
      <c r="AB93" s="485" t="s">
        <v>374</v>
      </c>
      <c r="AC93" s="485"/>
      <c r="AD93" s="485"/>
      <c r="AE93" s="485"/>
      <c r="AF93" s="485"/>
      <c r="AG93" s="485"/>
      <c r="AH93" s="485" t="s">
        <v>542</v>
      </c>
      <c r="AI93" s="485" t="s">
        <v>543</v>
      </c>
      <c r="AJ93" s="485" t="s">
        <v>544</v>
      </c>
      <c r="AK93" s="485" t="s">
        <v>545</v>
      </c>
      <c r="AL93" s="485"/>
      <c r="AM93" s="486" t="str">
        <f t="shared" si="70"/>
        <v>I-ONM-OKL-BIO-NETS_E0</v>
      </c>
      <c r="AN93" s="486" t="str">
        <f t="shared" ref="AN93:AP93" si="99">+AM93</f>
        <v>I-ONM-OKL-BIO-NETS_E0</v>
      </c>
      <c r="AO93" s="486" t="str">
        <f t="shared" si="99"/>
        <v>I-ONM-OKL-BIO-NETS_E0</v>
      </c>
      <c r="AP93" s="486" t="str">
        <f t="shared" si="99"/>
        <v>I-ONM-OKL-BIO-NETS_E0</v>
      </c>
      <c r="AQ93" s="485"/>
    </row>
    <row r="94" spans="2:43">
      <c r="B94" t="str">
        <f t="shared" si="72"/>
        <v>I-ONM-BLR-BIO-NETS_E0</v>
      </c>
      <c r="C94" t="str">
        <f t="shared" si="73"/>
        <v>Industry - Other Minerals - Boiler - Bio fuel - Non-ETS</v>
      </c>
      <c r="D94" t="str">
        <f t="shared" si="74"/>
        <v>INDBIO</v>
      </c>
      <c r="E94" t="str">
        <f t="shared" si="75"/>
        <v>ONMHTH,ONMMTH,ONMLTH,ONMHET</v>
      </c>
      <c r="F94" s="386">
        <f>+NRG_shares!V92</f>
        <v>0.92</v>
      </c>
      <c r="G94">
        <v>25</v>
      </c>
      <c r="H94" s="460">
        <f t="shared" si="76"/>
        <v>0</v>
      </c>
      <c r="I94">
        <v>31.536000000000001</v>
      </c>
      <c r="J94">
        <v>0.9</v>
      </c>
      <c r="K94" s="386">
        <f>+SUMIFS(NRG_shares!W$113:W$141,NRG_shares!$T$113:$T$141,Techs!$Y94,NRG_shares!$U$113:$U$141,Techs!$AA94)</f>
        <v>0</v>
      </c>
      <c r="L94" s="386">
        <f>+SUMIFS(NRG_shares!X$113:X$141,NRG_shares!$T$113:$T$141,Techs!$Y94,NRG_shares!$U$113:$U$141,Techs!$AA94)</f>
        <v>0</v>
      </c>
      <c r="M94" s="386">
        <f>+SUMIFS(NRG_shares!Y$113:Y$141,NRG_shares!$T$113:$T$141,Techs!$Y94,NRG_shares!$U$113:$U$141,Techs!$AA94)</f>
        <v>1</v>
      </c>
      <c r="N94" s="386">
        <f>+SUMIFS(NRG_shares!Z$113:Z$141,NRG_shares!$T$113:$T$141,Techs!$Y94,NRG_shares!$U$113:$U$141,Techs!$AA94)</f>
        <v>0</v>
      </c>
      <c r="O94">
        <v>3</v>
      </c>
      <c r="P94" s="460">
        <f>NRG_shares!J92*NRG_shares!O92*Conversions!$B$3</f>
        <v>1.494549567771692E-2</v>
      </c>
      <c r="Q94" s="491"/>
      <c r="R94" s="460" t="str">
        <v>I-CAF-OVN-OIL-NETS_E0</v>
      </c>
      <c r="S94" s="460" t="s">
        <v>554</v>
      </c>
      <c r="T94" s="460" t="str">
        <v>CAFHTH</v>
      </c>
      <c r="U94" s="386">
        <v>0</v>
      </c>
      <c r="V94" s="385">
        <v>3</v>
      </c>
      <c r="W94" s="460"/>
      <c r="X94" s="485" t="s">
        <v>352</v>
      </c>
      <c r="Y94" s="485" t="s">
        <v>388</v>
      </c>
      <c r="Z94" s="485" t="s">
        <v>394</v>
      </c>
      <c r="AA94" s="485" t="s">
        <v>422</v>
      </c>
      <c r="AB94" s="485" t="s">
        <v>374</v>
      </c>
      <c r="AC94" s="485"/>
      <c r="AD94" s="485"/>
      <c r="AE94" s="485"/>
      <c r="AF94" s="485"/>
      <c r="AG94" s="485"/>
      <c r="AH94" s="485" t="s">
        <v>542</v>
      </c>
      <c r="AI94" s="485" t="s">
        <v>543</v>
      </c>
      <c r="AJ94" s="485" t="s">
        <v>544</v>
      </c>
      <c r="AK94" s="485" t="s">
        <v>545</v>
      </c>
      <c r="AL94" s="485"/>
      <c r="AM94" s="486" t="str">
        <f t="shared" si="70"/>
        <v>I-ONM-BLR-BIO-NETS_E0</v>
      </c>
      <c r="AN94" s="486" t="str">
        <f t="shared" ref="AN94:AP94" si="100">+AM94</f>
        <v>I-ONM-BLR-BIO-NETS_E0</v>
      </c>
      <c r="AO94" s="486" t="str">
        <f t="shared" si="100"/>
        <v>I-ONM-BLR-BIO-NETS_E0</v>
      </c>
      <c r="AP94" s="486" t="str">
        <f t="shared" si="100"/>
        <v>I-ONM-BLR-BIO-NETS_E0</v>
      </c>
      <c r="AQ94" s="485"/>
    </row>
    <row r="95" spans="2:43">
      <c r="B95" t="str">
        <f t="shared" si="72"/>
        <v>I-ONM-DRR-BIO-NETS_E0</v>
      </c>
      <c r="C95" t="str">
        <f t="shared" si="73"/>
        <v>Industry - Other Minerals - Dryer - Bio fuel - Non-ETS</v>
      </c>
      <c r="D95" t="str">
        <f t="shared" si="74"/>
        <v>INDBIO</v>
      </c>
      <c r="E95" t="str">
        <f t="shared" si="75"/>
        <v>ONMHTH,ONMMTH,ONMLTH,ONMHET</v>
      </c>
      <c r="F95" s="386">
        <f>+NRG_shares!V93</f>
        <v>0.92</v>
      </c>
      <c r="G95">
        <v>25</v>
      </c>
      <c r="H95" s="460">
        <f t="shared" si="76"/>
        <v>0</v>
      </c>
      <c r="I95">
        <v>31.536000000000001</v>
      </c>
      <c r="J95">
        <v>0.9</v>
      </c>
      <c r="K95" s="386">
        <f>+SUMIFS(NRG_shares!W$113:W$141,NRG_shares!$T$113:$T$141,Techs!$Y95,NRG_shares!$U$113:$U$141,Techs!$AA95)</f>
        <v>0</v>
      </c>
      <c r="L95" s="386">
        <f>+SUMIFS(NRG_shares!X$113:X$141,NRG_shares!$T$113:$T$141,Techs!$Y95,NRG_shares!$U$113:$U$141,Techs!$AA95)</f>
        <v>1</v>
      </c>
      <c r="M95" s="386">
        <f>+SUMIFS(NRG_shares!Y$113:Y$141,NRG_shares!$T$113:$T$141,Techs!$Y95,NRG_shares!$U$113:$U$141,Techs!$AA95)</f>
        <v>0</v>
      </c>
      <c r="N95" s="386">
        <f>+SUMIFS(NRG_shares!Z$113:Z$141,NRG_shares!$T$113:$T$141,Techs!$Y95,NRG_shares!$U$113:$U$141,Techs!$AA95)</f>
        <v>0</v>
      </c>
      <c r="O95">
        <v>3</v>
      </c>
      <c r="P95" s="460">
        <f>NRG_shares!J93*NRG_shares!O93*Conversions!$B$3</f>
        <v>1.9215637299921755E-2</v>
      </c>
      <c r="Q95" s="491"/>
      <c r="R95" s="460" t="str">
        <v>I-CAF-OVN-OIL-NETS_E0</v>
      </c>
      <c r="S95" s="460" t="s">
        <v>554</v>
      </c>
      <c r="T95" s="460" t="str">
        <v>CAFMTH</v>
      </c>
      <c r="U95" s="386">
        <v>0</v>
      </c>
      <c r="V95" s="385">
        <v>3</v>
      </c>
      <c r="W95" s="460"/>
      <c r="X95" s="485" t="s">
        <v>352</v>
      </c>
      <c r="Y95" s="485" t="s">
        <v>388</v>
      </c>
      <c r="Z95" s="485" t="s">
        <v>394</v>
      </c>
      <c r="AA95" s="485" t="s">
        <v>420</v>
      </c>
      <c r="AB95" s="485" t="s">
        <v>374</v>
      </c>
      <c r="AC95" s="485"/>
      <c r="AD95" s="485"/>
      <c r="AE95" s="485"/>
      <c r="AF95" s="485"/>
      <c r="AG95" s="485"/>
      <c r="AH95" s="485" t="s">
        <v>542</v>
      </c>
      <c r="AI95" s="485" t="s">
        <v>543</v>
      </c>
      <c r="AJ95" s="485" t="s">
        <v>544</v>
      </c>
      <c r="AK95" s="485" t="s">
        <v>545</v>
      </c>
      <c r="AL95" s="485"/>
      <c r="AM95" s="486" t="str">
        <f t="shared" si="70"/>
        <v>I-ONM-DRR-BIO-NETS_E0</v>
      </c>
      <c r="AN95" s="486" t="str">
        <f t="shared" ref="AN95:AP95" si="101">+AM95</f>
        <v>I-ONM-DRR-BIO-NETS_E0</v>
      </c>
      <c r="AO95" s="486" t="str">
        <f t="shared" si="101"/>
        <v>I-ONM-DRR-BIO-NETS_E0</v>
      </c>
      <c r="AP95" s="486" t="str">
        <f t="shared" si="101"/>
        <v>I-ONM-DRR-BIO-NETS_E0</v>
      </c>
      <c r="AQ95" s="485"/>
    </row>
    <row r="96" spans="2:43">
      <c r="B96" t="str">
        <f t="shared" si="72"/>
        <v>I-ONM-OKL-OIL-NETS_E0</v>
      </c>
      <c r="C96" t="str">
        <f t="shared" si="73"/>
        <v>Industry - Other Minerals - Other Kiln - Oil - Non-ETS</v>
      </c>
      <c r="D96" t="str">
        <f t="shared" si="74"/>
        <v>INDOIL</v>
      </c>
      <c r="E96" t="str">
        <f t="shared" si="75"/>
        <v>ONMHTH,ONMMTH,ONMLTH,ONMHET</v>
      </c>
      <c r="F96" s="386">
        <f>+NRG_shares!V94</f>
        <v>0.85</v>
      </c>
      <c r="G96">
        <v>25</v>
      </c>
      <c r="H96" s="460">
        <f t="shared" si="76"/>
        <v>1.3880457804195152E-2</v>
      </c>
      <c r="I96">
        <v>31.536000000000001</v>
      </c>
      <c r="J96">
        <v>0.9</v>
      </c>
      <c r="K96" s="386">
        <f>+SUMIFS(NRG_shares!W$113:W$141,NRG_shares!$T$113:$T$141,Techs!$Y96,NRG_shares!$U$113:$U$141,Techs!$AA96)</f>
        <v>1</v>
      </c>
      <c r="L96" s="386">
        <f>+SUMIFS(NRG_shares!X$113:X$141,NRG_shares!$T$113:$T$141,Techs!$Y96,NRG_shares!$U$113:$U$141,Techs!$AA96)</f>
        <v>0</v>
      </c>
      <c r="M96" s="386">
        <f>+SUMIFS(NRG_shares!Y$113:Y$141,NRG_shares!$T$113:$T$141,Techs!$Y96,NRG_shares!$U$113:$U$141,Techs!$AA96)</f>
        <v>0</v>
      </c>
      <c r="N96" s="386">
        <f>+SUMIFS(NRG_shares!Z$113:Z$141,NRG_shares!$T$113:$T$141,Techs!$Y96,NRG_shares!$U$113:$U$141,Techs!$AA96)</f>
        <v>0</v>
      </c>
      <c r="O96">
        <v>3</v>
      </c>
      <c r="P96" s="460">
        <f>NRG_shares!J94*NRG_shares!O94*Conversions!$B$3</f>
        <v>0.36647507495980325</v>
      </c>
      <c r="Q96" s="491"/>
      <c r="R96" s="460" t="str">
        <v>I-CAF-OVN-OIL-NETS_E0</v>
      </c>
      <c r="S96" s="460" t="s">
        <v>554</v>
      </c>
      <c r="T96" s="460" t="str">
        <v>CAFLTH</v>
      </c>
      <c r="U96" s="386">
        <v>1</v>
      </c>
      <c r="V96" s="385">
        <v>3</v>
      </c>
      <c r="W96" s="460"/>
      <c r="X96" s="485" t="s">
        <v>352</v>
      </c>
      <c r="Y96" s="485" t="s">
        <v>388</v>
      </c>
      <c r="Z96" s="485" t="s">
        <v>394</v>
      </c>
      <c r="AA96" s="485" t="s">
        <v>425</v>
      </c>
      <c r="AB96" s="485" t="s">
        <v>358</v>
      </c>
      <c r="AC96" s="485"/>
      <c r="AD96" s="485"/>
      <c r="AE96" s="485"/>
      <c r="AF96" s="485"/>
      <c r="AG96" s="485"/>
      <c r="AH96" s="485" t="s">
        <v>542</v>
      </c>
      <c r="AI96" s="485" t="s">
        <v>543</v>
      </c>
      <c r="AJ96" s="485" t="s">
        <v>544</v>
      </c>
      <c r="AK96" s="485" t="s">
        <v>545</v>
      </c>
      <c r="AL96" s="485"/>
      <c r="AM96" s="486" t="str">
        <f t="shared" si="70"/>
        <v>I-ONM-OKL-OIL-NETS_E0</v>
      </c>
      <c r="AN96" s="486" t="str">
        <f t="shared" ref="AN96:AP96" si="102">+AM96</f>
        <v>I-ONM-OKL-OIL-NETS_E0</v>
      </c>
      <c r="AO96" s="486" t="str">
        <f t="shared" si="102"/>
        <v>I-ONM-OKL-OIL-NETS_E0</v>
      </c>
      <c r="AP96" s="486" t="str">
        <f t="shared" si="102"/>
        <v>I-ONM-OKL-OIL-NETS_E0</v>
      </c>
      <c r="AQ96" s="485"/>
    </row>
    <row r="97" spans="2:43">
      <c r="B97" t="str">
        <f t="shared" si="72"/>
        <v>I-ONM-BLR-OIL-NETS_E0</v>
      </c>
      <c r="C97" t="str">
        <f t="shared" si="73"/>
        <v>Industry - Other Minerals - Boiler - Oil - Non-ETS</v>
      </c>
      <c r="D97" t="str">
        <f t="shared" si="74"/>
        <v>INDOIL</v>
      </c>
      <c r="E97" t="str">
        <f t="shared" si="75"/>
        <v>ONMHTH,ONMMTH,ONMLTH,ONMHET</v>
      </c>
      <c r="F97" s="386">
        <f>+NRG_shares!V95</f>
        <v>0.92</v>
      </c>
      <c r="G97">
        <v>25</v>
      </c>
      <c r="H97" s="460">
        <f t="shared" si="76"/>
        <v>2.6291220076181399E-2</v>
      </c>
      <c r="I97">
        <v>31.536000000000001</v>
      </c>
      <c r="J97">
        <v>0.9</v>
      </c>
      <c r="K97" s="386">
        <f>+SUMIFS(NRG_shares!W$113:W$141,NRG_shares!$T$113:$T$141,Techs!$Y97,NRG_shares!$U$113:$U$141,Techs!$AA97)</f>
        <v>0</v>
      </c>
      <c r="L97" s="386">
        <f>+SUMIFS(NRG_shares!X$113:X$141,NRG_shares!$T$113:$T$141,Techs!$Y97,NRG_shares!$U$113:$U$141,Techs!$AA97)</f>
        <v>0</v>
      </c>
      <c r="M97" s="386">
        <f>+SUMIFS(NRG_shares!Y$113:Y$141,NRG_shares!$T$113:$T$141,Techs!$Y97,NRG_shares!$U$113:$U$141,Techs!$AA97)</f>
        <v>1</v>
      </c>
      <c r="N97" s="386">
        <f>+SUMIFS(NRG_shares!Z$113:Z$141,NRG_shares!$T$113:$T$141,Techs!$Y97,NRG_shares!$U$113:$U$141,Techs!$AA97)</f>
        <v>0</v>
      </c>
      <c r="O97">
        <v>3</v>
      </c>
      <c r="P97" s="460">
        <f>NRG_shares!J95*NRG_shares!O95*Conversions!$B$3</f>
        <v>0.69414690668856838</v>
      </c>
      <c r="Q97" s="491"/>
      <c r="R97" s="460" t="str">
        <v>I-CAF-OVN-OIL-NETS_E0</v>
      </c>
      <c r="S97" s="460" t="s">
        <v>554</v>
      </c>
      <c r="T97" s="460" t="str">
        <v>CAFHET</v>
      </c>
      <c r="U97" s="386">
        <v>0</v>
      </c>
      <c r="V97" s="385">
        <v>3</v>
      </c>
      <c r="W97" s="460"/>
      <c r="X97" s="485" t="s">
        <v>352</v>
      </c>
      <c r="Y97" s="485" t="s">
        <v>388</v>
      </c>
      <c r="Z97" s="485" t="s">
        <v>394</v>
      </c>
      <c r="AA97" s="485" t="s">
        <v>422</v>
      </c>
      <c r="AB97" s="485" t="s">
        <v>358</v>
      </c>
      <c r="AC97" s="485"/>
      <c r="AD97" s="485"/>
      <c r="AE97" s="485"/>
      <c r="AF97" s="485"/>
      <c r="AG97" s="485"/>
      <c r="AH97" s="485" t="s">
        <v>542</v>
      </c>
      <c r="AI97" s="485" t="s">
        <v>543</v>
      </c>
      <c r="AJ97" s="485" t="s">
        <v>544</v>
      </c>
      <c r="AK97" s="485" t="s">
        <v>545</v>
      </c>
      <c r="AL97" s="485"/>
      <c r="AM97" s="486" t="str">
        <f t="shared" si="70"/>
        <v>I-ONM-BLR-OIL-NETS_E0</v>
      </c>
      <c r="AN97" s="486" t="str">
        <f t="shared" ref="AN97:AP97" si="103">+AM97</f>
        <v>I-ONM-BLR-OIL-NETS_E0</v>
      </c>
      <c r="AO97" s="486" t="str">
        <f t="shared" si="103"/>
        <v>I-ONM-BLR-OIL-NETS_E0</v>
      </c>
      <c r="AP97" s="486" t="str">
        <f t="shared" si="103"/>
        <v>I-ONM-BLR-OIL-NETS_E0</v>
      </c>
      <c r="AQ97" s="485"/>
    </row>
    <row r="98" spans="2:43">
      <c r="B98" t="str">
        <f t="shared" si="72"/>
        <v>I-ONM-DRR-OIL-NETS_E0</v>
      </c>
      <c r="C98" t="str">
        <f t="shared" si="73"/>
        <v>Industry - Other Minerals - Dryer - Oil - Non-ETS</v>
      </c>
      <c r="D98" t="str">
        <f t="shared" si="74"/>
        <v>INDOIL</v>
      </c>
      <c r="E98" t="str">
        <f t="shared" si="75"/>
        <v>ONMHTH,ONMMTH,ONMLTH,ONMHET</v>
      </c>
      <c r="F98" s="386">
        <f>+NRG_shares!V96</f>
        <v>0.92</v>
      </c>
      <c r="G98">
        <v>25</v>
      </c>
      <c r="H98" s="460">
        <f t="shared" si="76"/>
        <v>3.3802997240804655E-2</v>
      </c>
      <c r="I98">
        <v>31.536000000000001</v>
      </c>
      <c r="J98">
        <v>0.9</v>
      </c>
      <c r="K98" s="386">
        <f>+SUMIFS(NRG_shares!W$113:W$141,NRG_shares!$T$113:$T$141,Techs!$Y98,NRG_shares!$U$113:$U$141,Techs!$AA98)</f>
        <v>0</v>
      </c>
      <c r="L98" s="386">
        <f>+SUMIFS(NRG_shares!X$113:X$141,NRG_shares!$T$113:$T$141,Techs!$Y98,NRG_shares!$U$113:$U$141,Techs!$AA98)</f>
        <v>1</v>
      </c>
      <c r="M98" s="386">
        <f>+SUMIFS(NRG_shares!Y$113:Y$141,NRG_shares!$T$113:$T$141,Techs!$Y98,NRG_shares!$U$113:$U$141,Techs!$AA98)</f>
        <v>0</v>
      </c>
      <c r="N98" s="386">
        <f>+SUMIFS(NRG_shares!Z$113:Z$141,NRG_shares!$T$113:$T$141,Techs!$Y98,NRG_shares!$U$113:$U$141,Techs!$AA98)</f>
        <v>0</v>
      </c>
      <c r="O98">
        <v>3</v>
      </c>
      <c r="P98" s="460">
        <f>NRG_shares!J96*NRG_shares!O96*Conversions!$B$3</f>
        <v>0.89247459431387377</v>
      </c>
      <c r="Q98" s="491"/>
      <c r="R98" s="460" t="str">
        <v>I-CAF-DRR-OIL-NETS_E0</v>
      </c>
      <c r="S98" s="460" t="s">
        <v>554</v>
      </c>
      <c r="T98" s="460" t="str">
        <v>CAFHTH</v>
      </c>
      <c r="U98" s="386">
        <v>0</v>
      </c>
      <c r="V98" s="385">
        <v>3</v>
      </c>
      <c r="W98" s="460"/>
      <c r="X98" s="485" t="s">
        <v>352</v>
      </c>
      <c r="Y98" s="485" t="s">
        <v>388</v>
      </c>
      <c r="Z98" s="485" t="s">
        <v>394</v>
      </c>
      <c r="AA98" s="485" t="s">
        <v>420</v>
      </c>
      <c r="AB98" s="485" t="s">
        <v>358</v>
      </c>
      <c r="AC98" s="485"/>
      <c r="AD98" s="485"/>
      <c r="AE98" s="485"/>
      <c r="AF98" s="485"/>
      <c r="AG98" s="485"/>
      <c r="AH98" s="485" t="s">
        <v>542</v>
      </c>
      <c r="AI98" s="485" t="s">
        <v>543</v>
      </c>
      <c r="AJ98" s="485" t="s">
        <v>544</v>
      </c>
      <c r="AK98" s="485" t="s">
        <v>545</v>
      </c>
      <c r="AL98" s="485"/>
      <c r="AM98" s="486" t="str">
        <f t="shared" si="70"/>
        <v>I-ONM-DRR-OIL-NETS_E0</v>
      </c>
      <c r="AN98" s="486" t="str">
        <f t="shared" ref="AN98:AP98" si="104">+AM98</f>
        <v>I-ONM-DRR-OIL-NETS_E0</v>
      </c>
      <c r="AO98" s="486" t="str">
        <f t="shared" si="104"/>
        <v>I-ONM-DRR-OIL-NETS_E0</v>
      </c>
      <c r="AP98" s="486" t="str">
        <f t="shared" si="104"/>
        <v>I-ONM-DRR-OIL-NETS_E0</v>
      </c>
      <c r="AQ98" s="485"/>
    </row>
    <row r="99" spans="2:43">
      <c r="B99" s="481" t="str">
        <f>"\I:  I-"&amp;VLOOKUP(Y99,$AE$6:$AF$71,2,FALSE)&amp;"-"&amp;VLOOKUP(AA99,$AE$6:$AF$71,2,FALSE)&amp;"-"&amp;VLOOKUP(AB99,$AE$6:$AF$71,2,FALSE)&amp;"-"&amp;VLOOKUP(Z99,$AE$6:$AF$71,2,FALSE)&amp;"_E0"</f>
        <v>\I:  I-REF-BLR-GAS-ETS_E0</v>
      </c>
      <c r="C99" t="str">
        <f t="shared" si="73"/>
        <v>Industry - Refining - Boiler - Gas - ETS</v>
      </c>
      <c r="D99" t="str">
        <f t="shared" si="74"/>
        <v>INDGAS</v>
      </c>
      <c r="E99" t="str">
        <f t="shared" si="75"/>
        <v>REFHTH,REFMTH,REFLTH,REFHET</v>
      </c>
      <c r="F99" s="386">
        <f>+NRG_shares!V97</f>
        <v>0.92</v>
      </c>
      <c r="G99">
        <v>25</v>
      </c>
      <c r="H99" s="460">
        <f t="shared" si="76"/>
        <v>1.7789185829552526E-2</v>
      </c>
      <c r="I99">
        <v>31.536000000000001</v>
      </c>
      <c r="J99">
        <v>0.9</v>
      </c>
      <c r="K99" s="386">
        <f>+SUMIFS(NRG_shares!W$113:W$141,NRG_shares!$T$113:$T$141,Techs!$Y99,NRG_shares!$U$113:$U$141,Techs!$AA99)</f>
        <v>0</v>
      </c>
      <c r="L99" s="386">
        <f>+SUMIFS(NRG_shares!X$113:X$141,NRG_shares!$T$113:$T$141,Techs!$Y99,NRG_shares!$U$113:$U$141,Techs!$AA99)</f>
        <v>1</v>
      </c>
      <c r="M99" s="386">
        <f>+SUMIFS(NRG_shares!Y$113:Y$141,NRG_shares!$T$113:$T$141,Techs!$Y99,NRG_shares!$U$113:$U$141,Techs!$AA99)</f>
        <v>0</v>
      </c>
      <c r="N99" s="386">
        <f>+SUMIFS(NRG_shares!Z$113:Z$141,NRG_shares!$T$113:$T$141,Techs!$Y99,NRG_shares!$U$113:$U$141,Techs!$AA99)</f>
        <v>0</v>
      </c>
      <c r="O99">
        <v>3</v>
      </c>
      <c r="P99" s="460">
        <f>NRG_shares!J97*NRG_shares!O97*Conversions!$B$3</f>
        <v>0.46967422129180619</v>
      </c>
      <c r="Q99" s="491"/>
      <c r="R99" s="460" t="str">
        <v>I-CAF-DRR-OIL-NETS_E0</v>
      </c>
      <c r="S99" s="460" t="s">
        <v>554</v>
      </c>
      <c r="T99" s="460" t="str">
        <v>CAFMTH</v>
      </c>
      <c r="U99" s="386">
        <v>0</v>
      </c>
      <c r="V99" s="385">
        <v>3</v>
      </c>
      <c r="W99" s="460"/>
      <c r="X99" s="485" t="s">
        <v>352</v>
      </c>
      <c r="Y99" s="485" t="s">
        <v>369</v>
      </c>
      <c r="Z99" s="485" t="s">
        <v>354</v>
      </c>
      <c r="AA99" s="485" t="s">
        <v>422</v>
      </c>
      <c r="AB99" s="485" t="s">
        <v>356</v>
      </c>
      <c r="AC99" s="485"/>
      <c r="AD99" s="485"/>
      <c r="AE99" s="485"/>
      <c r="AF99" s="485"/>
      <c r="AG99" s="485"/>
      <c r="AH99" s="485" t="s">
        <v>546</v>
      </c>
      <c r="AI99" s="485" t="s">
        <v>547</v>
      </c>
      <c r="AJ99" s="485" t="s">
        <v>548</v>
      </c>
      <c r="AK99" s="485" t="s">
        <v>549</v>
      </c>
      <c r="AL99" s="485"/>
      <c r="AM99" s="486" t="str">
        <f t="shared" si="70"/>
        <v>\I:  I-REF-BLR-GAS-ETS_E0</v>
      </c>
      <c r="AN99" s="486" t="str">
        <f t="shared" ref="AN99:AP99" si="105">+AM99</f>
        <v>\I:  I-REF-BLR-GAS-ETS_E0</v>
      </c>
      <c r="AO99" s="486" t="str">
        <f t="shared" si="105"/>
        <v>\I:  I-REF-BLR-GAS-ETS_E0</v>
      </c>
      <c r="AP99" s="486" t="str">
        <f t="shared" si="105"/>
        <v>\I:  I-REF-BLR-GAS-ETS_E0</v>
      </c>
      <c r="AQ99" s="485"/>
    </row>
    <row r="100" spans="2:43">
      <c r="B100" s="481" t="str">
        <f>"\I:  I-"&amp;VLOOKUP(Y100,$AE$6:$AF$71,2,FALSE)&amp;"-"&amp;VLOOKUP(AA100,$AE$6:$AF$71,2,FALSE)&amp;"-"&amp;VLOOKUP(AB100,$AE$6:$AF$71,2,FALSE)&amp;"-"&amp;VLOOKUP(Z100,$AE$6:$AF$71,2,FALSE)&amp;"_E0"</f>
        <v>\I:  I-REF-CHP-GAS-ETS_E0</v>
      </c>
      <c r="C100" t="str">
        <f t="shared" si="73"/>
        <v>Industry - Refining - CHP - Gas - ETS</v>
      </c>
      <c r="D100" t="str">
        <f t="shared" si="74"/>
        <v>INDGAS</v>
      </c>
      <c r="E100" t="str">
        <f t="shared" si="75"/>
        <v>REFHTH,REFMTH,REFLTH,REFHET</v>
      </c>
      <c r="F100" s="386">
        <f>+NRG_shares!V98</f>
        <v>0.5</v>
      </c>
      <c r="G100">
        <v>25</v>
      </c>
      <c r="H100" s="460">
        <f t="shared" si="76"/>
        <v>1.9336071553861439E-2</v>
      </c>
      <c r="I100">
        <v>31.536000000000001</v>
      </c>
      <c r="J100">
        <v>0.9</v>
      </c>
      <c r="K100" s="386">
        <f>+SUMIFS(NRG_shares!W$113:W$141,NRG_shares!$T$113:$T$141,Techs!$Y100,NRG_shares!$U$113:$U$141,Techs!$AA100)</f>
        <v>0</v>
      </c>
      <c r="L100" s="386">
        <f>+SUMIFS(NRG_shares!X$113:X$141,NRG_shares!$T$113:$T$141,Techs!$Y100,NRG_shares!$U$113:$U$141,Techs!$AA100)</f>
        <v>1</v>
      </c>
      <c r="M100" s="386">
        <f>+SUMIFS(NRG_shares!Y$113:Y$141,NRG_shares!$T$113:$T$141,Techs!$Y100,NRG_shares!$U$113:$U$141,Techs!$AA100)</f>
        <v>0</v>
      </c>
      <c r="N100" s="386">
        <f>+SUMIFS(NRG_shares!Z$113:Z$141,NRG_shares!$T$113:$T$141,Techs!$Y100,NRG_shares!$U$113:$U$141,Techs!$AA100)</f>
        <v>0</v>
      </c>
      <c r="O100">
        <v>3</v>
      </c>
      <c r="P100" s="460">
        <f>NRG_shares!J98*NRG_shares!O98*Conversions!$B$3</f>
        <v>0.51051545792587627</v>
      </c>
      <c r="Q100" s="491"/>
      <c r="R100" s="460" t="str">
        <v>I-CAF-DRR-OIL-NETS_E0</v>
      </c>
      <c r="S100" s="460" t="s">
        <v>554</v>
      </c>
      <c r="T100" s="460" t="str">
        <v>CAFLTH</v>
      </c>
      <c r="U100" s="386">
        <v>1</v>
      </c>
      <c r="V100" s="385">
        <v>3</v>
      </c>
      <c r="W100" s="460"/>
      <c r="X100" s="485" t="s">
        <v>352</v>
      </c>
      <c r="Y100" s="485" t="s">
        <v>369</v>
      </c>
      <c r="Z100" s="485" t="s">
        <v>354</v>
      </c>
      <c r="AA100" s="485" t="s">
        <v>421</v>
      </c>
      <c r="AB100" s="485" t="s">
        <v>356</v>
      </c>
      <c r="AC100" s="485"/>
      <c r="AD100" s="485"/>
      <c r="AE100" s="485"/>
      <c r="AF100" s="485"/>
      <c r="AG100" s="485"/>
      <c r="AH100" s="485" t="s">
        <v>546</v>
      </c>
      <c r="AI100" s="485" t="s">
        <v>547</v>
      </c>
      <c r="AJ100" s="485" t="s">
        <v>548</v>
      </c>
      <c r="AK100" s="485" t="s">
        <v>549</v>
      </c>
      <c r="AL100" s="485"/>
      <c r="AM100" s="486" t="str">
        <f t="shared" si="70"/>
        <v>\I:  I-REF-CHP-GAS-ETS_E0</v>
      </c>
      <c r="AN100" s="486" t="str">
        <f t="shared" ref="AN100:AP100" si="106">+AM100</f>
        <v>\I:  I-REF-CHP-GAS-ETS_E0</v>
      </c>
      <c r="AO100" s="486" t="str">
        <f t="shared" si="106"/>
        <v>\I:  I-REF-CHP-GAS-ETS_E0</v>
      </c>
      <c r="AP100" s="486" t="str">
        <f t="shared" si="106"/>
        <v>\I:  I-REF-CHP-GAS-ETS_E0</v>
      </c>
      <c r="AQ100" s="485"/>
    </row>
    <row r="101" spans="2:43">
      <c r="B101" s="481" t="str">
        <f>"\I:  I-"&amp;VLOOKUP(Y101,$AE$6:$AF$71,2,FALSE)&amp;"-"&amp;VLOOKUP(AA101,$AE$6:$AF$71,2,FALSE)&amp;"-"&amp;VLOOKUP(AB101,$AE$6:$AF$71,2,FALSE)&amp;"-"&amp;VLOOKUP(Z101,$AE$6:$AF$71,2,FALSE)&amp;"_E0"</f>
        <v>\I:  I-REF-FRN-GAS-ETS_E0</v>
      </c>
      <c r="C101" t="str">
        <f t="shared" si="73"/>
        <v>Industry - Refining - Furnace - Gas - ETS</v>
      </c>
      <c r="D101" t="str">
        <f t="shared" si="74"/>
        <v>INDGAS</v>
      </c>
      <c r="E101" t="str">
        <f t="shared" si="75"/>
        <v>REFHTH,REFMTH,REFLTH,REFHET</v>
      </c>
      <c r="F101" s="386">
        <f>+NRG_shares!V99</f>
        <v>0.85</v>
      </c>
      <c r="G101">
        <v>25</v>
      </c>
      <c r="H101" s="460">
        <f t="shared" si="76"/>
        <v>0.11504962574547554</v>
      </c>
      <c r="I101">
        <v>31.536000000000001</v>
      </c>
      <c r="J101">
        <v>0.9</v>
      </c>
      <c r="K101" s="386">
        <f>+SUMIFS(NRG_shares!W$113:W$141,NRG_shares!$T$113:$T$141,Techs!$Y101,NRG_shares!$U$113:$U$141,Techs!$AA101)</f>
        <v>0</v>
      </c>
      <c r="L101" s="386">
        <f>+SUMIFS(NRG_shares!X$113:X$141,NRG_shares!$T$113:$T$141,Techs!$Y101,NRG_shares!$U$113:$U$141,Techs!$AA101)</f>
        <v>1</v>
      </c>
      <c r="M101" s="386">
        <f>+SUMIFS(NRG_shares!Y$113:Y$141,NRG_shares!$T$113:$T$141,Techs!$Y101,NRG_shares!$U$113:$U$141,Techs!$AA101)</f>
        <v>0</v>
      </c>
      <c r="N101" s="386">
        <f>+SUMIFS(NRG_shares!Z$113:Z$141,NRG_shares!$T$113:$T$141,Techs!$Y101,NRG_shares!$U$113:$U$141,Techs!$AA101)</f>
        <v>0</v>
      </c>
      <c r="O101">
        <v>3</v>
      </c>
      <c r="P101" s="460">
        <f>NRG_shares!J99*NRG_shares!O99*Conversions!$B$3</f>
        <v>3.0375669746589633</v>
      </c>
      <c r="Q101" s="491"/>
      <c r="R101" s="460" t="str">
        <v>I-CAF-DRR-OIL-NETS_E0</v>
      </c>
      <c r="S101" s="460" t="s">
        <v>554</v>
      </c>
      <c r="T101" s="460" t="str">
        <v>CAFHET</v>
      </c>
      <c r="U101" s="386">
        <v>0</v>
      </c>
      <c r="V101" s="385">
        <v>3</v>
      </c>
      <c r="W101" s="460"/>
      <c r="X101" s="485" t="s">
        <v>352</v>
      </c>
      <c r="Y101" s="485" t="s">
        <v>369</v>
      </c>
      <c r="Z101" s="485" t="s">
        <v>354</v>
      </c>
      <c r="AA101" s="485" t="s">
        <v>424</v>
      </c>
      <c r="AB101" s="485" t="s">
        <v>356</v>
      </c>
      <c r="AC101" s="485"/>
      <c r="AD101" s="485"/>
      <c r="AE101" s="485"/>
      <c r="AF101" s="485"/>
      <c r="AG101" s="485"/>
      <c r="AH101" s="485" t="s">
        <v>546</v>
      </c>
      <c r="AI101" s="485" t="s">
        <v>547</v>
      </c>
      <c r="AJ101" s="485" t="s">
        <v>548</v>
      </c>
      <c r="AK101" s="485" t="s">
        <v>549</v>
      </c>
      <c r="AL101" s="485"/>
      <c r="AM101" s="486" t="str">
        <f t="shared" si="70"/>
        <v>\I:  I-REF-FRN-GAS-ETS_E0</v>
      </c>
      <c r="AN101" s="486" t="str">
        <f t="shared" ref="AN101:AP101" si="107">+AM101</f>
        <v>\I:  I-REF-FRN-GAS-ETS_E0</v>
      </c>
      <c r="AO101" s="486" t="str">
        <f t="shared" si="107"/>
        <v>\I:  I-REF-FRN-GAS-ETS_E0</v>
      </c>
      <c r="AP101" s="486" t="str">
        <f t="shared" si="107"/>
        <v>\I:  I-REF-FRN-GAS-ETS_E0</v>
      </c>
      <c r="AQ101" s="485"/>
    </row>
    <row r="102" spans="2:43">
      <c r="B102" t="str">
        <f t="shared" si="72"/>
        <v>I-WAP-BLR-BIO-ETS_E0</v>
      </c>
      <c r="C102" t="str">
        <f t="shared" si="73"/>
        <v>Industry - Wood Products - Boiler - Bio fuel - ETS</v>
      </c>
      <c r="D102" t="str">
        <f t="shared" si="74"/>
        <v>INDBIO</v>
      </c>
      <c r="E102" t="str">
        <f t="shared" si="75"/>
        <v>WAPHTH,WAPMTH,WAPLTH,WAPHET</v>
      </c>
      <c r="F102" s="386">
        <f>+NRG_shares!V100</f>
        <v>0.92</v>
      </c>
      <c r="G102">
        <v>25</v>
      </c>
      <c r="H102" s="460">
        <f t="shared" si="76"/>
        <v>4.7897384950131502E-2</v>
      </c>
      <c r="I102">
        <v>31.536000000000001</v>
      </c>
      <c r="J102">
        <v>0.9</v>
      </c>
      <c r="K102" s="386">
        <f>+SUMIFS(NRG_shares!W$113:W$141,NRG_shares!$T$113:$T$141,Techs!$Y102,NRG_shares!$U$113:$U$141,Techs!$AA102)</f>
        <v>0</v>
      </c>
      <c r="L102" s="386">
        <f>+SUMIFS(NRG_shares!X$113:X$141,NRG_shares!$T$113:$T$141,Techs!$Y102,NRG_shares!$U$113:$U$141,Techs!$AA102)</f>
        <v>0</v>
      </c>
      <c r="M102" s="386">
        <f>+SUMIFS(NRG_shares!Y$113:Y$141,NRG_shares!$T$113:$T$141,Techs!$Y102,NRG_shares!$U$113:$U$141,Techs!$AA102)</f>
        <v>1</v>
      </c>
      <c r="N102" s="386">
        <f>+SUMIFS(NRG_shares!Z$113:Z$141,NRG_shares!$T$113:$T$141,Techs!$Y102,NRG_shares!$U$113:$U$141,Techs!$AA102)</f>
        <v>0</v>
      </c>
      <c r="O102">
        <v>3</v>
      </c>
      <c r="P102" s="460">
        <f>NRG_shares!J100*NRG_shares!O100*Conversions!$B$3</f>
        <v>1.2645978963801048</v>
      </c>
      <c r="Q102" s="491"/>
      <c r="R102" s="460" t="str">
        <v>I-CAF-BLR-GAS-NETS_E0</v>
      </c>
      <c r="S102" s="460" t="s">
        <v>554</v>
      </c>
      <c r="T102" s="460" t="str">
        <v>CAFHTH</v>
      </c>
      <c r="U102" s="386">
        <v>0</v>
      </c>
      <c r="V102" s="385">
        <v>3</v>
      </c>
      <c r="W102" s="460"/>
      <c r="X102" s="485" t="s">
        <v>352</v>
      </c>
      <c r="Y102" s="485" t="s">
        <v>372</v>
      </c>
      <c r="Z102" s="485" t="s">
        <v>354</v>
      </c>
      <c r="AA102" s="485" t="s">
        <v>422</v>
      </c>
      <c r="AB102" s="485" t="s">
        <v>374</v>
      </c>
      <c r="AC102" s="485"/>
      <c r="AD102" s="485"/>
      <c r="AE102" s="485"/>
      <c r="AF102" s="485"/>
      <c r="AG102" s="485"/>
      <c r="AH102" s="485" t="s">
        <v>550</v>
      </c>
      <c r="AI102" s="485" t="s">
        <v>551</v>
      </c>
      <c r="AJ102" s="485" t="s">
        <v>552</v>
      </c>
      <c r="AK102" s="485" t="s">
        <v>553</v>
      </c>
      <c r="AL102" s="485"/>
      <c r="AM102" s="486" t="str">
        <f t="shared" ref="AM102:AM109" si="108">+B102</f>
        <v>I-WAP-BLR-BIO-ETS_E0</v>
      </c>
      <c r="AN102" s="486" t="str">
        <f t="shared" ref="AN102:AP102" si="109">+AM102</f>
        <v>I-WAP-BLR-BIO-ETS_E0</v>
      </c>
      <c r="AO102" s="486" t="str">
        <f t="shared" si="109"/>
        <v>I-WAP-BLR-BIO-ETS_E0</v>
      </c>
      <c r="AP102" s="486" t="str">
        <f t="shared" si="109"/>
        <v>I-WAP-BLR-BIO-ETS_E0</v>
      </c>
      <c r="AQ102" s="485"/>
    </row>
    <row r="103" spans="2:43">
      <c r="B103" t="str">
        <f t="shared" si="72"/>
        <v>I-WAP-DRR-BIO-ETS_E0</v>
      </c>
      <c r="C103" t="str">
        <f t="shared" si="73"/>
        <v>Industry - Wood Products - Dryer - Bio fuel - ETS</v>
      </c>
      <c r="D103" t="str">
        <f t="shared" si="74"/>
        <v>INDBIO</v>
      </c>
      <c r="E103" t="str">
        <f t="shared" si="75"/>
        <v>WAPHTH,WAPMTH,WAPLTH,WAPHET</v>
      </c>
      <c r="F103" s="386">
        <f>+NRG_shares!V101</f>
        <v>0.92</v>
      </c>
      <c r="G103">
        <v>25</v>
      </c>
      <c r="H103" s="460">
        <f t="shared" si="76"/>
        <v>7.1846077425197274E-2</v>
      </c>
      <c r="I103">
        <v>31.536000000000001</v>
      </c>
      <c r="J103">
        <v>0.9</v>
      </c>
      <c r="K103" s="386">
        <f>+SUMIFS(NRG_shares!W$113:W$141,NRG_shares!$T$113:$T$141,Techs!$Y103,NRG_shares!$U$113:$U$141,Techs!$AA103)</f>
        <v>0</v>
      </c>
      <c r="L103" s="386">
        <f>+SUMIFS(NRG_shares!X$113:X$141,NRG_shares!$T$113:$T$141,Techs!$Y103,NRG_shares!$U$113:$U$141,Techs!$AA103)</f>
        <v>0</v>
      </c>
      <c r="M103" s="386">
        <f>+SUMIFS(NRG_shares!Y$113:Y$141,NRG_shares!$T$113:$T$141,Techs!$Y103,NRG_shares!$U$113:$U$141,Techs!$AA103)</f>
        <v>1</v>
      </c>
      <c r="N103" s="386">
        <f>+SUMIFS(NRG_shares!Z$113:Z$141,NRG_shares!$T$113:$T$141,Techs!$Y103,NRG_shares!$U$113:$U$141,Techs!$AA103)</f>
        <v>0</v>
      </c>
      <c r="O103">
        <v>3</v>
      </c>
      <c r="P103" s="460">
        <f>NRG_shares!J101*NRG_shares!O101*Conversions!$B$3</f>
        <v>1.8968968445701575</v>
      </c>
      <c r="Q103" s="491"/>
      <c r="R103" s="460" t="str">
        <v>I-CAF-BLR-GAS-NETS_E0</v>
      </c>
      <c r="S103" s="460" t="s">
        <v>554</v>
      </c>
      <c r="T103" s="460" t="str">
        <v>CAFMTH</v>
      </c>
      <c r="U103" s="386">
        <v>0.1</v>
      </c>
      <c r="V103" s="385">
        <v>3</v>
      </c>
      <c r="W103" s="460"/>
      <c r="X103" s="485" t="s">
        <v>352</v>
      </c>
      <c r="Y103" s="485" t="s">
        <v>372</v>
      </c>
      <c r="Z103" s="485" t="s">
        <v>354</v>
      </c>
      <c r="AA103" s="485" t="s">
        <v>420</v>
      </c>
      <c r="AB103" s="485" t="s">
        <v>374</v>
      </c>
      <c r="AC103" s="485"/>
      <c r="AD103" s="485"/>
      <c r="AE103" s="485"/>
      <c r="AF103" s="485"/>
      <c r="AG103" s="485"/>
      <c r="AH103" s="485" t="s">
        <v>550</v>
      </c>
      <c r="AI103" s="485" t="s">
        <v>551</v>
      </c>
      <c r="AJ103" s="485" t="s">
        <v>552</v>
      </c>
      <c r="AK103" s="485" t="s">
        <v>553</v>
      </c>
      <c r="AL103" s="485"/>
      <c r="AM103" s="486" t="str">
        <f t="shared" si="108"/>
        <v>I-WAP-DRR-BIO-ETS_E0</v>
      </c>
      <c r="AN103" s="486" t="str">
        <f t="shared" ref="AN103:AP103" si="110">+AM103</f>
        <v>I-WAP-DRR-BIO-ETS_E0</v>
      </c>
      <c r="AO103" s="486" t="str">
        <f t="shared" si="110"/>
        <v>I-WAP-DRR-BIO-ETS_E0</v>
      </c>
      <c r="AP103" s="486" t="str">
        <f t="shared" si="110"/>
        <v>I-WAP-DRR-BIO-ETS_E0</v>
      </c>
      <c r="AQ103" s="485"/>
    </row>
    <row r="104" spans="2:43">
      <c r="B104" t="str">
        <f t="shared" si="72"/>
        <v>I-WAP-BLR-BIO-NETS_E0</v>
      </c>
      <c r="C104" t="str">
        <f t="shared" si="73"/>
        <v>Industry - Wood Products - Boiler - Bio fuel - Non-ETS</v>
      </c>
      <c r="D104" t="str">
        <f t="shared" si="74"/>
        <v>INDBIO</v>
      </c>
      <c r="E104" t="str">
        <f t="shared" si="75"/>
        <v>WAPHTH,WAPMTH,WAPLTH,WAPHET</v>
      </c>
      <c r="F104" s="386">
        <f>+NRG_shares!V102</f>
        <v>0.92000000000000015</v>
      </c>
      <c r="G104">
        <v>25</v>
      </c>
      <c r="H104" s="460">
        <f t="shared" si="76"/>
        <v>4.042672040145931E-2</v>
      </c>
      <c r="I104">
        <v>31.536000000000001</v>
      </c>
      <c r="J104">
        <v>0.9</v>
      </c>
      <c r="K104" s="386">
        <f>+SUMIFS(NRG_shares!W$113:W$141,NRG_shares!$T$113:$T$141,Techs!$Y104,NRG_shares!$U$113:$U$141,Techs!$AA104)</f>
        <v>0</v>
      </c>
      <c r="L104" s="386">
        <f>+SUMIFS(NRG_shares!X$113:X$141,NRG_shares!$T$113:$T$141,Techs!$Y104,NRG_shares!$U$113:$U$141,Techs!$AA104)</f>
        <v>0</v>
      </c>
      <c r="M104" s="386">
        <f>+SUMIFS(NRG_shares!Y$113:Y$141,NRG_shares!$T$113:$T$141,Techs!$Y104,NRG_shares!$U$113:$U$141,Techs!$AA104)</f>
        <v>1</v>
      </c>
      <c r="N104" s="386">
        <f>+SUMIFS(NRG_shares!Z$113:Z$141,NRG_shares!$T$113:$T$141,Techs!$Y104,NRG_shares!$U$113:$U$141,Techs!$AA104)</f>
        <v>0</v>
      </c>
      <c r="O104">
        <v>3</v>
      </c>
      <c r="P104" s="460">
        <f>NRG_shares!J102*NRG_shares!O102*Conversions!$B$3</f>
        <v>1.0673556736022127</v>
      </c>
      <c r="Q104" s="491"/>
      <c r="R104" s="460" t="str">
        <v>I-CAF-BLR-GAS-NETS_E0</v>
      </c>
      <c r="S104" s="460" t="s">
        <v>554</v>
      </c>
      <c r="T104" s="460" t="str">
        <v>CAFLTH</v>
      </c>
      <c r="U104" s="386">
        <v>0.7</v>
      </c>
      <c r="V104" s="385">
        <v>3</v>
      </c>
      <c r="W104" s="460"/>
      <c r="X104" s="485" t="s">
        <v>352</v>
      </c>
      <c r="Y104" s="485" t="s">
        <v>372</v>
      </c>
      <c r="Z104" s="485" t="s">
        <v>394</v>
      </c>
      <c r="AA104" s="485" t="s">
        <v>422</v>
      </c>
      <c r="AB104" s="485" t="s">
        <v>374</v>
      </c>
      <c r="AC104" s="485"/>
      <c r="AD104" s="485"/>
      <c r="AE104" s="485"/>
      <c r="AF104" s="485"/>
      <c r="AG104" s="485"/>
      <c r="AH104" s="485" t="s">
        <v>550</v>
      </c>
      <c r="AI104" s="485" t="s">
        <v>551</v>
      </c>
      <c r="AJ104" s="485" t="s">
        <v>552</v>
      </c>
      <c r="AK104" s="485" t="s">
        <v>553</v>
      </c>
      <c r="AL104" s="485"/>
      <c r="AM104" s="486" t="str">
        <f t="shared" si="108"/>
        <v>I-WAP-BLR-BIO-NETS_E0</v>
      </c>
      <c r="AN104" s="486" t="str">
        <f t="shared" ref="AN104:AP104" si="111">+AM104</f>
        <v>I-WAP-BLR-BIO-NETS_E0</v>
      </c>
      <c r="AO104" s="486" t="str">
        <f t="shared" si="111"/>
        <v>I-WAP-BLR-BIO-NETS_E0</v>
      </c>
      <c r="AP104" s="486" t="str">
        <f t="shared" si="111"/>
        <v>I-WAP-BLR-BIO-NETS_E0</v>
      </c>
      <c r="AQ104" s="485"/>
    </row>
    <row r="105" spans="2:43">
      <c r="B105" t="str">
        <f t="shared" si="72"/>
        <v>I-WAP-DRR-BIO-NETS_E0</v>
      </c>
      <c r="C105" t="str">
        <f t="shared" si="73"/>
        <v>Industry - Wood Products - Dryer - Bio fuel - Non-ETS</v>
      </c>
      <c r="D105" t="str">
        <f t="shared" si="74"/>
        <v>INDBIO</v>
      </c>
      <c r="E105" t="str">
        <f t="shared" si="75"/>
        <v>WAPHTH,WAPMTH,WAPLTH,WAPHET</v>
      </c>
      <c r="F105" s="386">
        <f>+NRG_shares!V103</f>
        <v>0.91999999999999993</v>
      </c>
      <c r="G105">
        <v>25</v>
      </c>
      <c r="H105" s="460">
        <f t="shared" si="76"/>
        <v>2.6951146934306214E-2</v>
      </c>
      <c r="I105">
        <v>31.536000000000001</v>
      </c>
      <c r="J105">
        <v>0.9</v>
      </c>
      <c r="K105" s="386">
        <f>+SUMIFS(NRG_shares!W$113:W$141,NRG_shares!$T$113:$T$141,Techs!$Y105,NRG_shares!$U$113:$U$141,Techs!$AA105)</f>
        <v>0</v>
      </c>
      <c r="L105" s="386">
        <f>+SUMIFS(NRG_shares!X$113:X$141,NRG_shares!$T$113:$T$141,Techs!$Y105,NRG_shares!$U$113:$U$141,Techs!$AA105)</f>
        <v>0</v>
      </c>
      <c r="M105" s="386">
        <f>+SUMIFS(NRG_shares!Y$113:Y$141,NRG_shares!$T$113:$T$141,Techs!$Y105,NRG_shares!$U$113:$U$141,Techs!$AA105)</f>
        <v>1</v>
      </c>
      <c r="N105" s="386">
        <f>+SUMIFS(NRG_shares!Z$113:Z$141,NRG_shares!$T$113:$T$141,Techs!$Y105,NRG_shares!$U$113:$U$141,Techs!$AA105)</f>
        <v>0</v>
      </c>
      <c r="O105">
        <v>3</v>
      </c>
      <c r="P105" s="460">
        <f>NRG_shares!J103*NRG_shares!O103*Conversions!$B$3</f>
        <v>0.71157044906814204</v>
      </c>
      <c r="Q105" s="491"/>
      <c r="R105" s="460" t="str">
        <v>I-CAF-BLR-GAS-NETS_E0</v>
      </c>
      <c r="S105" s="460" t="s">
        <v>554</v>
      </c>
      <c r="T105" s="460" t="str">
        <v>CAFHET</v>
      </c>
      <c r="U105" s="386">
        <v>0.2</v>
      </c>
      <c r="V105" s="385">
        <v>3</v>
      </c>
      <c r="W105" s="460"/>
      <c r="X105" s="485" t="s">
        <v>352</v>
      </c>
      <c r="Y105" s="485" t="s">
        <v>372</v>
      </c>
      <c r="Z105" s="485" t="s">
        <v>394</v>
      </c>
      <c r="AA105" s="485" t="s">
        <v>420</v>
      </c>
      <c r="AB105" s="485" t="s">
        <v>374</v>
      </c>
      <c r="AC105" s="485"/>
      <c r="AD105" s="485"/>
      <c r="AE105" s="485"/>
      <c r="AF105" s="485"/>
      <c r="AG105" s="485"/>
      <c r="AH105" s="485" t="s">
        <v>550</v>
      </c>
      <c r="AI105" s="485" t="s">
        <v>551</v>
      </c>
      <c r="AJ105" s="485" t="s">
        <v>552</v>
      </c>
      <c r="AK105" s="485" t="s">
        <v>553</v>
      </c>
      <c r="AL105" s="485"/>
      <c r="AM105" s="486" t="str">
        <f t="shared" si="108"/>
        <v>I-WAP-DRR-BIO-NETS_E0</v>
      </c>
      <c r="AN105" s="486" t="str">
        <f t="shared" ref="AN105:AP105" si="112">+AM105</f>
        <v>I-WAP-DRR-BIO-NETS_E0</v>
      </c>
      <c r="AO105" s="486" t="str">
        <f t="shared" si="112"/>
        <v>I-WAP-DRR-BIO-NETS_E0</v>
      </c>
      <c r="AP105" s="486" t="str">
        <f t="shared" si="112"/>
        <v>I-WAP-DRR-BIO-NETS_E0</v>
      </c>
      <c r="AQ105" s="485"/>
    </row>
    <row r="106" spans="2:43">
      <c r="B106" t="str">
        <f t="shared" si="72"/>
        <v>I-WAP-BLR-OIL-NETS_E0</v>
      </c>
      <c r="C106" t="str">
        <f t="shared" si="73"/>
        <v>Industry - Wood Products - Boiler - Oil - Non-ETS</v>
      </c>
      <c r="D106" t="str">
        <f t="shared" si="74"/>
        <v>INDOIL</v>
      </c>
      <c r="E106" t="str">
        <f t="shared" si="75"/>
        <v>WAPHTH,WAPMTH,WAPLTH,WAPHET</v>
      </c>
      <c r="F106" s="386">
        <f>+NRG_shares!V104</f>
        <v>0.91999999999999993</v>
      </c>
      <c r="G106">
        <v>25</v>
      </c>
      <c r="H106" s="460">
        <f t="shared" si="76"/>
        <v>1.8943034033318837E-3</v>
      </c>
      <c r="I106">
        <v>31.536000000000001</v>
      </c>
      <c r="J106">
        <v>0.9</v>
      </c>
      <c r="K106" s="386">
        <f>+SUMIFS(NRG_shares!W$113:W$141,NRG_shares!$T$113:$T$141,Techs!$Y106,NRG_shares!$U$113:$U$141,Techs!$AA106)</f>
        <v>0</v>
      </c>
      <c r="L106" s="386">
        <f>+SUMIFS(NRG_shares!X$113:X$141,NRG_shares!$T$113:$T$141,Techs!$Y106,NRG_shares!$U$113:$U$141,Techs!$AA106)</f>
        <v>0</v>
      </c>
      <c r="M106" s="386">
        <f>+SUMIFS(NRG_shares!Y$113:Y$141,NRG_shares!$T$113:$T$141,Techs!$Y106,NRG_shares!$U$113:$U$141,Techs!$AA106)</f>
        <v>1</v>
      </c>
      <c r="N106" s="386">
        <f>+SUMIFS(NRG_shares!Z$113:Z$141,NRG_shares!$T$113:$T$141,Techs!$Y106,NRG_shares!$U$113:$U$141,Techs!$AA106)</f>
        <v>0</v>
      </c>
      <c r="O106">
        <v>3</v>
      </c>
      <c r="P106" s="460">
        <f>NRG_shares!J104*NRG_shares!O104*Conversions!$B$3</f>
        <v>5.0013838990443593E-2</v>
      </c>
      <c r="Q106" s="491"/>
      <c r="R106" s="460" t="str">
        <v>I-CAF-CHP-GAS-NETS_E0</v>
      </c>
      <c r="S106" s="460" t="s">
        <v>554</v>
      </c>
      <c r="T106" s="460" t="str">
        <v>CAFHTH</v>
      </c>
      <c r="U106" s="386">
        <v>0</v>
      </c>
      <c r="V106" s="385">
        <v>3</v>
      </c>
      <c r="W106" s="460"/>
      <c r="X106" s="485" t="s">
        <v>352</v>
      </c>
      <c r="Y106" s="485" t="s">
        <v>372</v>
      </c>
      <c r="Z106" s="485" t="s">
        <v>394</v>
      </c>
      <c r="AA106" s="485" t="s">
        <v>422</v>
      </c>
      <c r="AB106" s="485" t="s">
        <v>358</v>
      </c>
      <c r="AC106" s="485"/>
      <c r="AD106" s="485"/>
      <c r="AE106" s="485"/>
      <c r="AF106" s="485"/>
      <c r="AG106" s="485"/>
      <c r="AH106" s="485" t="s">
        <v>550</v>
      </c>
      <c r="AI106" s="485" t="s">
        <v>551</v>
      </c>
      <c r="AJ106" s="485" t="s">
        <v>552</v>
      </c>
      <c r="AK106" s="485" t="s">
        <v>553</v>
      </c>
      <c r="AL106" s="485"/>
      <c r="AM106" s="486" t="str">
        <f t="shared" si="108"/>
        <v>I-WAP-BLR-OIL-NETS_E0</v>
      </c>
      <c r="AN106" s="486" t="str">
        <f t="shared" ref="AN106:AP106" si="113">+AM106</f>
        <v>I-WAP-BLR-OIL-NETS_E0</v>
      </c>
      <c r="AO106" s="486" t="str">
        <f t="shared" si="113"/>
        <v>I-WAP-BLR-OIL-NETS_E0</v>
      </c>
      <c r="AP106" s="486" t="str">
        <f t="shared" si="113"/>
        <v>I-WAP-BLR-OIL-NETS_E0</v>
      </c>
      <c r="AQ106" s="485"/>
    </row>
    <row r="107" spans="2:43">
      <c r="B107" t="str">
        <f t="shared" si="72"/>
        <v>I-WAP-DRR-OIL-NETS_E0</v>
      </c>
      <c r="C107" t="str">
        <f t="shared" si="73"/>
        <v>Industry - Wood Products - Dryer - Oil - Non-ETS</v>
      </c>
      <c r="D107" t="str">
        <f t="shared" si="74"/>
        <v>INDOIL</v>
      </c>
      <c r="E107" t="str">
        <f t="shared" si="75"/>
        <v>WAPHTH,WAPMTH,WAPLTH,WAPHET</v>
      </c>
      <c r="F107" s="386">
        <f>+NRG_shares!V105</f>
        <v>0.92</v>
      </c>
      <c r="G107">
        <v>25</v>
      </c>
      <c r="H107" s="460">
        <f t="shared" si="76"/>
        <v>1.2628689355545896E-3</v>
      </c>
      <c r="I107">
        <v>31.536000000000001</v>
      </c>
      <c r="J107">
        <v>0.9</v>
      </c>
      <c r="K107" s="386">
        <f>+SUMIFS(NRG_shares!W$113:W$141,NRG_shares!$T$113:$T$141,Techs!$Y107,NRG_shares!$U$113:$U$141,Techs!$AA107)</f>
        <v>0</v>
      </c>
      <c r="L107" s="386">
        <f>+SUMIFS(NRG_shares!X$113:X$141,NRG_shares!$T$113:$T$141,Techs!$Y107,NRG_shares!$U$113:$U$141,Techs!$AA107)</f>
        <v>0</v>
      </c>
      <c r="M107" s="386">
        <f>+SUMIFS(NRG_shares!Y$113:Y$141,NRG_shares!$T$113:$T$141,Techs!$Y107,NRG_shares!$U$113:$U$141,Techs!$AA107)</f>
        <v>1</v>
      </c>
      <c r="N107" s="386">
        <f>+SUMIFS(NRG_shares!Z$113:Z$141,NRG_shares!$T$113:$T$141,Techs!$Y107,NRG_shares!$U$113:$U$141,Techs!$AA107)</f>
        <v>0</v>
      </c>
      <c r="O107">
        <v>3</v>
      </c>
      <c r="P107" s="460">
        <f>NRG_shares!J105*NRG_shares!O105*Conversions!$B$3</f>
        <v>3.3342559326962402E-2</v>
      </c>
      <c r="Q107" s="491"/>
      <c r="R107" s="460" t="str">
        <v>I-CAF-CHP-GAS-NETS_E0</v>
      </c>
      <c r="S107" s="460" t="s">
        <v>554</v>
      </c>
      <c r="T107" s="460" t="str">
        <v>CAFMTH</v>
      </c>
      <c r="U107" s="386">
        <v>1</v>
      </c>
      <c r="V107" s="385">
        <v>3</v>
      </c>
      <c r="W107" s="460"/>
      <c r="X107" s="485" t="s">
        <v>352</v>
      </c>
      <c r="Y107" s="485" t="s">
        <v>372</v>
      </c>
      <c r="Z107" s="485" t="s">
        <v>394</v>
      </c>
      <c r="AA107" s="485" t="s">
        <v>420</v>
      </c>
      <c r="AB107" s="485" t="s">
        <v>358</v>
      </c>
      <c r="AC107" s="485"/>
      <c r="AD107" s="485"/>
      <c r="AE107" s="485"/>
      <c r="AF107" s="485"/>
      <c r="AG107" s="485"/>
      <c r="AH107" s="485" t="s">
        <v>550</v>
      </c>
      <c r="AI107" s="485" t="s">
        <v>551</v>
      </c>
      <c r="AJ107" s="485" t="s">
        <v>552</v>
      </c>
      <c r="AK107" s="485" t="s">
        <v>553</v>
      </c>
      <c r="AL107" s="485"/>
      <c r="AM107" s="486" t="str">
        <f t="shared" si="108"/>
        <v>I-WAP-DRR-OIL-NETS_E0</v>
      </c>
      <c r="AN107" s="486" t="str">
        <f t="shared" ref="AN107:AP107" si="114">+AM107</f>
        <v>I-WAP-DRR-OIL-NETS_E0</v>
      </c>
      <c r="AO107" s="486" t="str">
        <f t="shared" si="114"/>
        <v>I-WAP-DRR-OIL-NETS_E0</v>
      </c>
      <c r="AP107" s="486" t="str">
        <f t="shared" si="114"/>
        <v>I-WAP-DRR-OIL-NETS_E0</v>
      </c>
      <c r="AQ107" s="485"/>
    </row>
    <row r="108" spans="2:43">
      <c r="B108" t="str">
        <f t="shared" si="72"/>
        <v>I-WAP-BLR-GAS-NETS_E0</v>
      </c>
      <c r="C108" t="str">
        <f t="shared" si="73"/>
        <v>Industry - Wood Products - Boiler - Gas - Non-ETS</v>
      </c>
      <c r="D108" t="str">
        <f t="shared" si="74"/>
        <v>INDGAS</v>
      </c>
      <c r="E108" t="str">
        <f t="shared" si="75"/>
        <v>WAPHTH,WAPMTH,WAPLTH,WAPHET</v>
      </c>
      <c r="F108" s="386">
        <f>+NRG_shares!V106</f>
        <v>0.91999999999999993</v>
      </c>
      <c r="G108">
        <v>25</v>
      </c>
      <c r="H108" s="460">
        <f t="shared" si="76"/>
        <v>0</v>
      </c>
      <c r="I108">
        <v>31.536000000000001</v>
      </c>
      <c r="J108">
        <v>0.9</v>
      </c>
      <c r="K108" s="386">
        <f>+SUMIFS(NRG_shares!W$113:W$141,NRG_shares!$T$113:$T$141,Techs!$Y108,NRG_shares!$U$113:$U$141,Techs!$AA108)</f>
        <v>0</v>
      </c>
      <c r="L108" s="386">
        <f>+SUMIFS(NRG_shares!X$113:X$141,NRG_shares!$T$113:$T$141,Techs!$Y108,NRG_shares!$U$113:$U$141,Techs!$AA108)</f>
        <v>0</v>
      </c>
      <c r="M108" s="386">
        <f>+SUMIFS(NRG_shares!Y$113:Y$141,NRG_shares!$T$113:$T$141,Techs!$Y108,NRG_shares!$U$113:$U$141,Techs!$AA108)</f>
        <v>1</v>
      </c>
      <c r="N108" s="386">
        <f>+SUMIFS(NRG_shares!Z$113:Z$141,NRG_shares!$T$113:$T$141,Techs!$Y108,NRG_shares!$U$113:$U$141,Techs!$AA108)</f>
        <v>0</v>
      </c>
      <c r="O108">
        <v>3</v>
      </c>
      <c r="P108" s="460">
        <f>NRG_shares!J106*NRG_shares!O106*Conversions!$B$3</f>
        <v>1.4734227591119373E-2</v>
      </c>
      <c r="Q108" s="491"/>
      <c r="R108" s="460" t="str">
        <v>I-CAF-CHP-GAS-NETS_E0</v>
      </c>
      <c r="S108" s="460" t="s">
        <v>554</v>
      </c>
      <c r="T108" s="460" t="str">
        <v>CAFLTH</v>
      </c>
      <c r="U108" s="386">
        <v>0</v>
      </c>
      <c r="V108" s="385">
        <v>3</v>
      </c>
      <c r="W108" s="460"/>
      <c r="X108" s="485" t="s">
        <v>352</v>
      </c>
      <c r="Y108" s="485" t="s">
        <v>372</v>
      </c>
      <c r="Z108" s="485" t="s">
        <v>394</v>
      </c>
      <c r="AA108" s="485" t="s">
        <v>422</v>
      </c>
      <c r="AB108" s="485" t="s">
        <v>356</v>
      </c>
      <c r="AC108" s="485"/>
      <c r="AD108" s="485"/>
      <c r="AE108" s="485"/>
      <c r="AF108" s="485"/>
      <c r="AG108" s="485"/>
      <c r="AH108" s="485" t="s">
        <v>550</v>
      </c>
      <c r="AI108" s="485" t="s">
        <v>551</v>
      </c>
      <c r="AJ108" s="485" t="s">
        <v>552</v>
      </c>
      <c r="AK108" s="485" t="s">
        <v>553</v>
      </c>
      <c r="AL108" s="485"/>
      <c r="AM108" s="486" t="str">
        <f t="shared" si="108"/>
        <v>I-WAP-BLR-GAS-NETS_E0</v>
      </c>
      <c r="AN108" s="486" t="str">
        <f t="shared" ref="AN108:AP108" si="115">+AM108</f>
        <v>I-WAP-BLR-GAS-NETS_E0</v>
      </c>
      <c r="AO108" s="486" t="str">
        <f t="shared" si="115"/>
        <v>I-WAP-BLR-GAS-NETS_E0</v>
      </c>
      <c r="AP108" s="486" t="str">
        <f t="shared" si="115"/>
        <v>I-WAP-BLR-GAS-NETS_E0</v>
      </c>
      <c r="AQ108" s="485"/>
    </row>
    <row r="109" spans="2:43">
      <c r="B109" t="str">
        <f t="shared" si="72"/>
        <v>I-WAP-DRR-GAS-NETS_E0</v>
      </c>
      <c r="C109" t="str">
        <f t="shared" si="73"/>
        <v>Industry - Wood Products - Dryer - Gas - Non-ETS</v>
      </c>
      <c r="D109" t="str">
        <f t="shared" si="74"/>
        <v>INDGAS</v>
      </c>
      <c r="E109" t="str">
        <f t="shared" si="75"/>
        <v>WAPHTH,WAPMTH,WAPLTH,WAPHET</v>
      </c>
      <c r="F109" s="386">
        <f>+NRG_shares!V107</f>
        <v>0.92</v>
      </c>
      <c r="G109">
        <v>25</v>
      </c>
      <c r="H109" s="460">
        <f t="shared" si="76"/>
        <v>0</v>
      </c>
      <c r="I109">
        <v>31.536000000000001</v>
      </c>
      <c r="J109">
        <v>0.9</v>
      </c>
      <c r="K109" s="386">
        <f>+SUMIFS(NRG_shares!W$113:W$141,NRG_shares!$T$113:$T$141,Techs!$Y109,NRG_shares!$U$113:$U$141,Techs!$AA109)</f>
        <v>0</v>
      </c>
      <c r="L109" s="386">
        <f>+SUMIFS(NRG_shares!X$113:X$141,NRG_shares!$T$113:$T$141,Techs!$Y109,NRG_shares!$U$113:$U$141,Techs!$AA109)</f>
        <v>0</v>
      </c>
      <c r="M109" s="386">
        <f>+SUMIFS(NRG_shares!Y$113:Y$141,NRG_shares!$T$113:$T$141,Techs!$Y109,NRG_shares!$U$113:$U$141,Techs!$AA109)</f>
        <v>1</v>
      </c>
      <c r="N109" s="386">
        <f>+SUMIFS(NRG_shares!Z$113:Z$141,NRG_shares!$T$113:$T$141,Techs!$Y109,NRG_shares!$U$113:$U$141,Techs!$AA109)</f>
        <v>0</v>
      </c>
      <c r="O109">
        <v>3</v>
      </c>
      <c r="P109" s="460">
        <f>NRG_shares!J107*NRG_shares!O107*Conversions!$B$3</f>
        <v>9.8228183940795855E-3</v>
      </c>
      <c r="Q109" s="491"/>
      <c r="R109" s="460" t="str">
        <v>I-CAF-CHP-GAS-NETS_E0</v>
      </c>
      <c r="S109" s="460" t="s">
        <v>554</v>
      </c>
      <c r="T109" s="460" t="str">
        <v>CAFHET</v>
      </c>
      <c r="U109" s="386">
        <v>0</v>
      </c>
      <c r="V109" s="385">
        <v>3</v>
      </c>
      <c r="W109" s="460"/>
      <c r="X109" s="485" t="s">
        <v>352</v>
      </c>
      <c r="Y109" s="485" t="s">
        <v>372</v>
      </c>
      <c r="Z109" s="485" t="s">
        <v>394</v>
      </c>
      <c r="AA109" s="485" t="s">
        <v>420</v>
      </c>
      <c r="AB109" s="485" t="s">
        <v>356</v>
      </c>
      <c r="AC109" s="485"/>
      <c r="AD109" s="485"/>
      <c r="AE109" s="485"/>
      <c r="AF109" s="485"/>
      <c r="AG109" s="485"/>
      <c r="AH109" s="485" t="s">
        <v>550</v>
      </c>
      <c r="AI109" s="485" t="s">
        <v>551</v>
      </c>
      <c r="AJ109" s="485" t="s">
        <v>552</v>
      </c>
      <c r="AK109" s="485" t="s">
        <v>553</v>
      </c>
      <c r="AL109" s="485"/>
      <c r="AM109" s="486" t="str">
        <f t="shared" si="108"/>
        <v>I-WAP-DRR-GAS-NETS_E0</v>
      </c>
      <c r="AN109" s="486" t="str">
        <f t="shared" ref="AN109:AP109" si="116">+AM109</f>
        <v>I-WAP-DRR-GAS-NETS_E0</v>
      </c>
      <c r="AO109" s="486" t="str">
        <f t="shared" si="116"/>
        <v>I-WAP-DRR-GAS-NETS_E0</v>
      </c>
      <c r="AP109" s="486" t="str">
        <f t="shared" si="116"/>
        <v>I-WAP-DRR-GAS-NETS_E0</v>
      </c>
      <c r="AQ109" s="485"/>
    </row>
    <row r="110" spans="2:43">
      <c r="R110" t="str">
        <v>I-CAF-OVN-GAS-NETS_E0</v>
      </c>
      <c r="S110" s="460" t="s">
        <v>554</v>
      </c>
      <c r="T110" t="str">
        <v>CAFHTH</v>
      </c>
      <c r="U110" s="386">
        <v>0</v>
      </c>
      <c r="V110" s="385">
        <v>3</v>
      </c>
    </row>
    <row r="111" spans="2:43">
      <c r="R111" t="str">
        <v>I-CAF-OVN-GAS-NETS_E0</v>
      </c>
      <c r="S111" s="460" t="s">
        <v>554</v>
      </c>
      <c r="T111" t="str">
        <v>CAFMTH</v>
      </c>
      <c r="U111" s="386">
        <v>0</v>
      </c>
      <c r="V111" s="385">
        <v>3</v>
      </c>
    </row>
    <row r="112" spans="2:43">
      <c r="R112" t="str">
        <v>I-CAF-OVN-GAS-NETS_E0</v>
      </c>
      <c r="S112" s="460" t="s">
        <v>554</v>
      </c>
      <c r="T112" t="str">
        <v>CAFLTH</v>
      </c>
      <c r="U112" s="386">
        <v>1</v>
      </c>
      <c r="V112" s="385">
        <v>3</v>
      </c>
    </row>
    <row r="113" spans="18:22">
      <c r="R113" t="str">
        <v>I-CAF-OVN-GAS-NETS_E0</v>
      </c>
      <c r="S113" s="460" t="s">
        <v>554</v>
      </c>
      <c r="T113" t="str">
        <v>CAFHET</v>
      </c>
      <c r="U113" s="386">
        <v>0</v>
      </c>
      <c r="V113" s="385">
        <v>3</v>
      </c>
    </row>
    <row r="114" spans="18:22">
      <c r="R114" t="str">
        <v>I-CAF-DRR-GAS-NETS_E0</v>
      </c>
      <c r="S114" s="460" t="s">
        <v>554</v>
      </c>
      <c r="T114" t="str">
        <v>CAFHTH</v>
      </c>
      <c r="U114" s="386">
        <v>0</v>
      </c>
      <c r="V114" s="385">
        <v>3</v>
      </c>
    </row>
    <row r="115" spans="18:22">
      <c r="R115" t="str">
        <v>I-CAF-DRR-GAS-NETS_E0</v>
      </c>
      <c r="S115" s="460" t="s">
        <v>554</v>
      </c>
      <c r="T115" t="str">
        <v>CAFMTH</v>
      </c>
      <c r="U115" s="386">
        <v>0</v>
      </c>
      <c r="V115" s="385">
        <v>3</v>
      </c>
    </row>
    <row r="116" spans="18:22">
      <c r="R116" t="str">
        <v>I-CAF-DRR-GAS-NETS_E0</v>
      </c>
      <c r="S116" s="460" t="s">
        <v>554</v>
      </c>
      <c r="T116" t="str">
        <v>CAFLTH</v>
      </c>
      <c r="U116" s="386">
        <v>1</v>
      </c>
      <c r="V116" s="385">
        <v>3</v>
      </c>
    </row>
    <row r="117" spans="18:22">
      <c r="R117" t="str">
        <v>I-CAF-DRR-GAS-NETS_E0</v>
      </c>
      <c r="S117" s="460" t="s">
        <v>554</v>
      </c>
      <c r="T117" t="str">
        <v>CAFHET</v>
      </c>
      <c r="U117" s="386">
        <v>0</v>
      </c>
      <c r="V117" s="385">
        <v>3</v>
      </c>
    </row>
    <row r="118" spans="18:22">
      <c r="R118" t="str">
        <v>I-FAP-BLR-BIO-ETS_E0</v>
      </c>
      <c r="S118" s="460" t="s">
        <v>554</v>
      </c>
      <c r="T118" t="str">
        <v>FAPHTH</v>
      </c>
      <c r="U118" s="386">
        <v>0</v>
      </c>
      <c r="V118" s="385">
        <v>3</v>
      </c>
    </row>
    <row r="119" spans="18:22">
      <c r="R119" t="str">
        <v>I-FAP-BLR-BIO-ETS_E0</v>
      </c>
      <c r="S119" s="460" t="s">
        <v>554</v>
      </c>
      <c r="T119" t="str">
        <v>FAPMTH</v>
      </c>
      <c r="U119" s="386">
        <v>0.10000000000000002</v>
      </c>
      <c r="V119" s="385">
        <v>3</v>
      </c>
    </row>
    <row r="120" spans="18:22">
      <c r="R120" t="str">
        <v>I-FAP-BLR-BIO-ETS_E0</v>
      </c>
      <c r="S120" s="460" t="s">
        <v>554</v>
      </c>
      <c r="T120" t="str">
        <v>FAPLTH</v>
      </c>
      <c r="U120" s="386">
        <v>0.60000000000000009</v>
      </c>
      <c r="V120" s="385">
        <v>3</v>
      </c>
    </row>
    <row r="121" spans="18:22">
      <c r="R121" t="str">
        <v>I-FAP-BLR-BIO-ETS_E0</v>
      </c>
      <c r="S121" s="460" t="s">
        <v>554</v>
      </c>
      <c r="T121" t="str">
        <v>FAPHET</v>
      </c>
      <c r="U121" s="386">
        <v>0.30000000000000004</v>
      </c>
      <c r="V121" s="385">
        <v>3</v>
      </c>
    </row>
    <row r="122" spans="18:22">
      <c r="R122" t="str">
        <v>I-FAP-CHP-BIO-ETS_E0</v>
      </c>
      <c r="S122" s="460" t="s">
        <v>554</v>
      </c>
      <c r="T122" t="str">
        <v>FAPHTH</v>
      </c>
      <c r="U122" s="386">
        <v>0</v>
      </c>
      <c r="V122" s="385">
        <v>3</v>
      </c>
    </row>
    <row r="123" spans="18:22">
      <c r="R123" t="str">
        <v>I-FAP-CHP-BIO-ETS_E0</v>
      </c>
      <c r="S123" s="460" t="s">
        <v>554</v>
      </c>
      <c r="T123" t="str">
        <v>FAPMTH</v>
      </c>
      <c r="U123" s="386">
        <v>0</v>
      </c>
      <c r="V123" s="385">
        <v>3</v>
      </c>
    </row>
    <row r="124" spans="18:22">
      <c r="R124" t="str">
        <v>I-FAP-CHP-BIO-ETS_E0</v>
      </c>
      <c r="S124" s="460" t="s">
        <v>554</v>
      </c>
      <c r="T124" t="str">
        <v>FAPLTH</v>
      </c>
      <c r="U124" s="386">
        <v>1</v>
      </c>
      <c r="V124" s="385">
        <v>3</v>
      </c>
    </row>
    <row r="125" spans="18:22">
      <c r="R125" t="str">
        <v>I-FAP-CHP-BIO-ETS_E0</v>
      </c>
      <c r="S125" s="460" t="s">
        <v>554</v>
      </c>
      <c r="T125" t="str">
        <v>FAPHET</v>
      </c>
      <c r="U125" s="386">
        <v>0</v>
      </c>
      <c r="V125" s="385">
        <v>3</v>
      </c>
    </row>
    <row r="126" spans="18:22">
      <c r="R126" t="str">
        <v>I-FAP-OVN-BIO-ETS_E0</v>
      </c>
      <c r="S126" s="460" t="s">
        <v>554</v>
      </c>
      <c r="T126" t="str">
        <v>FAPHTH</v>
      </c>
      <c r="U126" s="386">
        <v>0</v>
      </c>
      <c r="V126" s="385">
        <v>3</v>
      </c>
    </row>
    <row r="127" spans="18:22">
      <c r="R127" t="str">
        <v>I-FAP-OVN-BIO-ETS_E0</v>
      </c>
      <c r="S127" s="460" t="s">
        <v>554</v>
      </c>
      <c r="T127" t="str">
        <v>FAPMTH</v>
      </c>
      <c r="U127" s="386">
        <v>1</v>
      </c>
      <c r="V127" s="385">
        <v>3</v>
      </c>
    </row>
    <row r="128" spans="18:22">
      <c r="R128" t="str">
        <v>I-FAP-OVN-BIO-ETS_E0</v>
      </c>
      <c r="S128" s="460" t="s">
        <v>554</v>
      </c>
      <c r="T128" t="str">
        <v>FAPLTH</v>
      </c>
      <c r="U128" s="386">
        <v>0</v>
      </c>
      <c r="V128" s="385">
        <v>3</v>
      </c>
    </row>
    <row r="129" spans="18:22">
      <c r="R129" t="str">
        <v>I-FAP-OVN-BIO-ETS_E0</v>
      </c>
      <c r="S129" s="460" t="s">
        <v>554</v>
      </c>
      <c r="T129" t="str">
        <v>FAPHET</v>
      </c>
      <c r="U129" s="386">
        <v>0</v>
      </c>
      <c r="V129" s="385">
        <v>3</v>
      </c>
    </row>
    <row r="130" spans="18:22">
      <c r="R130" t="str">
        <v>I-FAP-DRR-BIO-ETS_E0</v>
      </c>
      <c r="S130" s="460" t="s">
        <v>554</v>
      </c>
      <c r="T130" t="str">
        <v>FAPHTH</v>
      </c>
      <c r="U130" s="386">
        <v>0</v>
      </c>
      <c r="V130" s="385">
        <v>3</v>
      </c>
    </row>
    <row r="131" spans="18:22">
      <c r="R131" t="str">
        <v>I-FAP-DRR-BIO-ETS_E0</v>
      </c>
      <c r="S131" s="460" t="s">
        <v>554</v>
      </c>
      <c r="T131" t="str">
        <v>FAPMTH</v>
      </c>
      <c r="U131" s="386">
        <v>0</v>
      </c>
      <c r="V131" s="385">
        <v>3</v>
      </c>
    </row>
    <row r="132" spans="18:22">
      <c r="R132" t="str">
        <v>I-FAP-DRR-BIO-ETS_E0</v>
      </c>
      <c r="S132" s="460" t="s">
        <v>554</v>
      </c>
      <c r="T132" t="str">
        <v>FAPLTH</v>
      </c>
      <c r="U132" s="386">
        <v>0</v>
      </c>
      <c r="V132" s="385">
        <v>3</v>
      </c>
    </row>
    <row r="133" spans="18:22">
      <c r="R133" t="str">
        <v>I-FAP-DRR-BIO-ETS_E0</v>
      </c>
      <c r="S133" s="460" t="s">
        <v>554</v>
      </c>
      <c r="T133" t="str">
        <v>FAPHET</v>
      </c>
      <c r="U133" s="386">
        <v>1</v>
      </c>
      <c r="V133" s="385">
        <v>3</v>
      </c>
    </row>
    <row r="134" spans="18:22">
      <c r="R134" t="str">
        <v>I-FAP-BLR-OIL-ETS_E0</v>
      </c>
      <c r="S134" s="460" t="s">
        <v>554</v>
      </c>
      <c r="T134" t="str">
        <v>FAPHTH</v>
      </c>
      <c r="U134" s="386">
        <v>0</v>
      </c>
      <c r="V134" s="385">
        <v>3</v>
      </c>
    </row>
    <row r="135" spans="18:22">
      <c r="R135" t="str">
        <v>I-FAP-BLR-OIL-ETS_E0</v>
      </c>
      <c r="S135" s="460" t="s">
        <v>554</v>
      </c>
      <c r="T135" t="str">
        <v>FAPMTH</v>
      </c>
      <c r="U135" s="386">
        <v>0.10000000000000002</v>
      </c>
      <c r="V135" s="385">
        <v>3</v>
      </c>
    </row>
    <row r="136" spans="18:22">
      <c r="R136" t="str">
        <v>I-FAP-BLR-OIL-ETS_E0</v>
      </c>
      <c r="S136" s="460" t="s">
        <v>554</v>
      </c>
      <c r="T136" t="str">
        <v>FAPLTH</v>
      </c>
      <c r="U136" s="386">
        <v>0.60000000000000009</v>
      </c>
      <c r="V136" s="385">
        <v>3</v>
      </c>
    </row>
    <row r="137" spans="18:22">
      <c r="R137" t="str">
        <v>I-FAP-BLR-OIL-ETS_E0</v>
      </c>
      <c r="S137" s="460" t="s">
        <v>554</v>
      </c>
      <c r="T137" t="str">
        <v>FAPHET</v>
      </c>
      <c r="U137" s="386">
        <v>0.30000000000000004</v>
      </c>
      <c r="V137" s="385">
        <v>3</v>
      </c>
    </row>
    <row r="138" spans="18:22">
      <c r="R138" t="str">
        <v>I-FAP-CHP-OIL-ETS_E0</v>
      </c>
      <c r="S138" s="460" t="s">
        <v>554</v>
      </c>
      <c r="T138" t="str">
        <v>FAPHTH</v>
      </c>
      <c r="U138" s="386">
        <v>0</v>
      </c>
      <c r="V138" s="385">
        <v>3</v>
      </c>
    </row>
    <row r="139" spans="18:22">
      <c r="R139" t="str">
        <v>I-FAP-CHP-OIL-ETS_E0</v>
      </c>
      <c r="S139" s="460" t="s">
        <v>554</v>
      </c>
      <c r="T139" t="str">
        <v>FAPMTH</v>
      </c>
      <c r="U139" s="386">
        <v>0</v>
      </c>
      <c r="V139" s="385">
        <v>3</v>
      </c>
    </row>
    <row r="140" spans="18:22">
      <c r="R140" t="str">
        <v>I-FAP-CHP-OIL-ETS_E0</v>
      </c>
      <c r="S140" s="460" t="s">
        <v>554</v>
      </c>
      <c r="T140" t="str">
        <v>FAPLTH</v>
      </c>
      <c r="U140" s="386">
        <v>1</v>
      </c>
      <c r="V140" s="385">
        <v>3</v>
      </c>
    </row>
    <row r="141" spans="18:22">
      <c r="R141" t="str">
        <v>I-FAP-CHP-OIL-ETS_E0</v>
      </c>
      <c r="S141" s="460" t="s">
        <v>554</v>
      </c>
      <c r="T141" t="str">
        <v>FAPHET</v>
      </c>
      <c r="U141" s="386">
        <v>0</v>
      </c>
      <c r="V141" s="385">
        <v>3</v>
      </c>
    </row>
    <row r="142" spans="18:22">
      <c r="R142" t="str">
        <v>I-FAP-OVN-OIL-ETS_E0</v>
      </c>
      <c r="S142" s="460" t="s">
        <v>554</v>
      </c>
      <c r="T142" t="str">
        <v>FAPHTH</v>
      </c>
      <c r="U142" s="386">
        <v>0</v>
      </c>
      <c r="V142" s="385">
        <v>3</v>
      </c>
    </row>
    <row r="143" spans="18:22">
      <c r="R143" t="str">
        <v>I-FAP-OVN-OIL-ETS_E0</v>
      </c>
      <c r="S143" s="460" t="s">
        <v>554</v>
      </c>
      <c r="T143" t="str">
        <v>FAPMTH</v>
      </c>
      <c r="U143" s="386">
        <v>1</v>
      </c>
      <c r="V143" s="385">
        <v>3</v>
      </c>
    </row>
    <row r="144" spans="18:22">
      <c r="R144" t="str">
        <v>I-FAP-OVN-OIL-ETS_E0</v>
      </c>
      <c r="S144" s="460" t="s">
        <v>554</v>
      </c>
      <c r="T144" t="str">
        <v>FAPLTH</v>
      </c>
      <c r="U144" s="386">
        <v>0</v>
      </c>
      <c r="V144" s="385">
        <v>3</v>
      </c>
    </row>
    <row r="145" spans="18:22">
      <c r="R145" t="str">
        <v>I-FAP-OVN-OIL-ETS_E0</v>
      </c>
      <c r="S145" s="460" t="s">
        <v>554</v>
      </c>
      <c r="T145" t="str">
        <v>FAPHET</v>
      </c>
      <c r="U145" s="386">
        <v>0</v>
      </c>
      <c r="V145" s="385">
        <v>3</v>
      </c>
    </row>
    <row r="146" spans="18:22">
      <c r="R146" t="str">
        <v>I-FAP-DRR-OIL-ETS_E0</v>
      </c>
      <c r="S146" s="460" t="s">
        <v>554</v>
      </c>
      <c r="T146" t="str">
        <v>FAPHTH</v>
      </c>
      <c r="U146" s="386">
        <v>0</v>
      </c>
      <c r="V146" s="385">
        <v>3</v>
      </c>
    </row>
    <row r="147" spans="18:22">
      <c r="R147" t="str">
        <v>I-FAP-DRR-OIL-ETS_E0</v>
      </c>
      <c r="S147" s="460" t="s">
        <v>554</v>
      </c>
      <c r="T147" t="str">
        <v>FAPMTH</v>
      </c>
      <c r="U147" s="386">
        <v>0</v>
      </c>
      <c r="V147" s="385">
        <v>3</v>
      </c>
    </row>
    <row r="148" spans="18:22">
      <c r="R148" t="str">
        <v>I-FAP-DRR-OIL-ETS_E0</v>
      </c>
      <c r="S148" s="460" t="s">
        <v>554</v>
      </c>
      <c r="T148" t="str">
        <v>FAPLTH</v>
      </c>
      <c r="U148" s="386">
        <v>0</v>
      </c>
      <c r="V148" s="385">
        <v>3</v>
      </c>
    </row>
    <row r="149" spans="18:22">
      <c r="R149" t="str">
        <v>I-FAP-DRR-OIL-ETS_E0</v>
      </c>
      <c r="S149" s="460" t="s">
        <v>554</v>
      </c>
      <c r="T149" t="str">
        <v>FAPHET</v>
      </c>
      <c r="U149" s="386">
        <v>1</v>
      </c>
      <c r="V149" s="385">
        <v>3</v>
      </c>
    </row>
    <row r="150" spans="18:22">
      <c r="R150" t="str">
        <v>I-FAP-BLR-GAS-ETS_E0</v>
      </c>
      <c r="S150" s="460" t="s">
        <v>554</v>
      </c>
      <c r="T150" t="str">
        <v>FAPHTH</v>
      </c>
      <c r="U150" s="386">
        <v>0</v>
      </c>
      <c r="V150" s="385">
        <v>3</v>
      </c>
    </row>
    <row r="151" spans="18:22">
      <c r="R151" t="str">
        <v>I-FAP-BLR-GAS-ETS_E0</v>
      </c>
      <c r="S151" s="460" t="s">
        <v>554</v>
      </c>
      <c r="T151" t="str">
        <v>FAPMTH</v>
      </c>
      <c r="U151" s="386">
        <v>0.10000000000000002</v>
      </c>
      <c r="V151" s="385">
        <v>3</v>
      </c>
    </row>
    <row r="152" spans="18:22">
      <c r="R152" t="str">
        <v>I-FAP-BLR-GAS-ETS_E0</v>
      </c>
      <c r="S152" s="460" t="s">
        <v>554</v>
      </c>
      <c r="T152" t="str">
        <v>FAPLTH</v>
      </c>
      <c r="U152" s="386">
        <v>0.60000000000000009</v>
      </c>
      <c r="V152" s="385">
        <v>3</v>
      </c>
    </row>
    <row r="153" spans="18:22">
      <c r="R153" t="str">
        <v>I-FAP-BLR-GAS-ETS_E0</v>
      </c>
      <c r="S153" s="460" t="s">
        <v>554</v>
      </c>
      <c r="T153" t="str">
        <v>FAPHET</v>
      </c>
      <c r="U153" s="386">
        <v>0.30000000000000004</v>
      </c>
      <c r="V153" s="385">
        <v>3</v>
      </c>
    </row>
    <row r="154" spans="18:22">
      <c r="R154" t="str">
        <v>I-FAP-CHP-GAS-ETS_E0</v>
      </c>
      <c r="S154" s="460" t="s">
        <v>554</v>
      </c>
      <c r="T154" t="str">
        <v>FAPHTH</v>
      </c>
      <c r="U154" s="386">
        <v>0</v>
      </c>
      <c r="V154" s="385">
        <v>3</v>
      </c>
    </row>
    <row r="155" spans="18:22">
      <c r="R155" t="str">
        <v>I-FAP-CHP-GAS-ETS_E0</v>
      </c>
      <c r="S155" s="460" t="s">
        <v>554</v>
      </c>
      <c r="T155" t="str">
        <v>FAPMTH</v>
      </c>
      <c r="U155" s="386">
        <v>0</v>
      </c>
      <c r="V155" s="385">
        <v>3</v>
      </c>
    </row>
    <row r="156" spans="18:22">
      <c r="R156" t="str">
        <v>I-FAP-CHP-GAS-ETS_E0</v>
      </c>
      <c r="S156" s="460" t="s">
        <v>554</v>
      </c>
      <c r="T156" t="str">
        <v>FAPLTH</v>
      </c>
      <c r="U156" s="386">
        <v>1</v>
      </c>
      <c r="V156" s="385">
        <v>3</v>
      </c>
    </row>
    <row r="157" spans="18:22">
      <c r="R157" t="str">
        <v>I-FAP-CHP-GAS-ETS_E0</v>
      </c>
      <c r="S157" s="460" t="s">
        <v>554</v>
      </c>
      <c r="T157" t="str">
        <v>FAPHET</v>
      </c>
      <c r="U157" s="386">
        <v>0</v>
      </c>
      <c r="V157" s="385">
        <v>3</v>
      </c>
    </row>
    <row r="158" spans="18:22">
      <c r="R158" t="str">
        <v>I-FAP-OVN-GAS-ETS_E0</v>
      </c>
      <c r="S158" s="460" t="s">
        <v>554</v>
      </c>
      <c r="T158" t="str">
        <v>FAPHTH</v>
      </c>
      <c r="U158" s="386">
        <v>0</v>
      </c>
      <c r="V158" s="385">
        <v>3</v>
      </c>
    </row>
    <row r="159" spans="18:22">
      <c r="R159" t="str">
        <v>I-FAP-OVN-GAS-ETS_E0</v>
      </c>
      <c r="S159" s="460" t="s">
        <v>554</v>
      </c>
      <c r="T159" t="str">
        <v>FAPMTH</v>
      </c>
      <c r="U159" s="386">
        <v>1</v>
      </c>
      <c r="V159" s="385">
        <v>3</v>
      </c>
    </row>
    <row r="160" spans="18:22">
      <c r="R160" t="str">
        <v>I-FAP-OVN-GAS-ETS_E0</v>
      </c>
      <c r="S160" s="460" t="s">
        <v>554</v>
      </c>
      <c r="T160" t="str">
        <v>FAPLTH</v>
      </c>
      <c r="U160" s="386">
        <v>0</v>
      </c>
      <c r="V160" s="385">
        <v>3</v>
      </c>
    </row>
    <row r="161" spans="18:22">
      <c r="R161" t="str">
        <v>I-FAP-OVN-GAS-ETS_E0</v>
      </c>
      <c r="S161" s="460" t="s">
        <v>554</v>
      </c>
      <c r="T161" t="str">
        <v>FAPHET</v>
      </c>
      <c r="U161" s="386">
        <v>0</v>
      </c>
      <c r="V161" s="385">
        <v>3</v>
      </c>
    </row>
    <row r="162" spans="18:22">
      <c r="R162" t="str">
        <v>I-FAP-DRR-GAS-ETS_E0</v>
      </c>
      <c r="S162" s="460" t="s">
        <v>554</v>
      </c>
      <c r="T162" t="str">
        <v>FAPHTH</v>
      </c>
      <c r="U162" s="386">
        <v>0</v>
      </c>
      <c r="V162" s="385">
        <v>3</v>
      </c>
    </row>
    <row r="163" spans="18:22">
      <c r="R163" t="str">
        <v>I-FAP-DRR-GAS-ETS_E0</v>
      </c>
      <c r="S163" s="460" t="s">
        <v>554</v>
      </c>
      <c r="T163" t="str">
        <v>FAPMTH</v>
      </c>
      <c r="U163" s="386">
        <v>0</v>
      </c>
      <c r="V163" s="385">
        <v>3</v>
      </c>
    </row>
    <row r="164" spans="18:22">
      <c r="R164" t="str">
        <v>I-FAP-DRR-GAS-ETS_E0</v>
      </c>
      <c r="S164" s="460" t="s">
        <v>554</v>
      </c>
      <c r="T164" t="str">
        <v>FAPLTH</v>
      </c>
      <c r="U164" s="386">
        <v>0</v>
      </c>
      <c r="V164" s="385">
        <v>3</v>
      </c>
    </row>
    <row r="165" spans="18:22">
      <c r="R165" t="str">
        <v>I-FAP-DRR-GAS-ETS_E0</v>
      </c>
      <c r="S165" s="460" t="s">
        <v>554</v>
      </c>
      <c r="T165" t="str">
        <v>FAPHET</v>
      </c>
      <c r="U165" s="386">
        <v>1</v>
      </c>
      <c r="V165" s="385">
        <v>3</v>
      </c>
    </row>
    <row r="166" spans="18:22">
      <c r="R166" t="str">
        <v>I-FAP-BLR-BIO-NETS_E0</v>
      </c>
      <c r="S166" s="460" t="s">
        <v>554</v>
      </c>
      <c r="T166" t="str">
        <v>FAPHTH</v>
      </c>
      <c r="U166" s="386">
        <v>0</v>
      </c>
      <c r="V166" s="385">
        <v>3</v>
      </c>
    </row>
    <row r="167" spans="18:22">
      <c r="R167" t="str">
        <v>I-FAP-BLR-BIO-NETS_E0</v>
      </c>
      <c r="S167" s="460" t="s">
        <v>554</v>
      </c>
      <c r="T167" t="str">
        <v>FAPMTH</v>
      </c>
      <c r="U167" s="386">
        <v>0.10000000000000002</v>
      </c>
      <c r="V167" s="385">
        <v>3</v>
      </c>
    </row>
    <row r="168" spans="18:22">
      <c r="R168" t="str">
        <v>I-FAP-BLR-BIO-NETS_E0</v>
      </c>
      <c r="S168" s="460" t="s">
        <v>554</v>
      </c>
      <c r="T168" t="str">
        <v>FAPLTH</v>
      </c>
      <c r="U168" s="386">
        <v>0.60000000000000009</v>
      </c>
      <c r="V168" s="385">
        <v>3</v>
      </c>
    </row>
    <row r="169" spans="18:22">
      <c r="R169" t="str">
        <v>I-FAP-BLR-BIO-NETS_E0</v>
      </c>
      <c r="S169" s="460" t="s">
        <v>554</v>
      </c>
      <c r="T169" t="str">
        <v>FAPHET</v>
      </c>
      <c r="U169" s="386">
        <v>0.30000000000000004</v>
      </c>
      <c r="V169" s="385">
        <v>3</v>
      </c>
    </row>
    <row r="170" spans="18:22">
      <c r="R170" t="str">
        <v>I-FAP-CHP-BIO-NETS_E0</v>
      </c>
      <c r="S170" s="460" t="s">
        <v>554</v>
      </c>
      <c r="T170" t="str">
        <v>FAPHTH</v>
      </c>
      <c r="U170" s="386">
        <v>0</v>
      </c>
      <c r="V170" s="385">
        <v>3</v>
      </c>
    </row>
    <row r="171" spans="18:22">
      <c r="R171" t="str">
        <v>I-FAP-CHP-BIO-NETS_E0</v>
      </c>
      <c r="S171" s="460" t="s">
        <v>554</v>
      </c>
      <c r="T171" t="str">
        <v>FAPMTH</v>
      </c>
      <c r="U171" s="386">
        <v>0</v>
      </c>
      <c r="V171" s="385">
        <v>3</v>
      </c>
    </row>
    <row r="172" spans="18:22">
      <c r="R172" t="str">
        <v>I-FAP-CHP-BIO-NETS_E0</v>
      </c>
      <c r="S172" s="460" t="s">
        <v>554</v>
      </c>
      <c r="T172" t="str">
        <v>FAPLTH</v>
      </c>
      <c r="U172" s="386">
        <v>1</v>
      </c>
      <c r="V172" s="385">
        <v>3</v>
      </c>
    </row>
    <row r="173" spans="18:22">
      <c r="R173" t="str">
        <v>I-FAP-CHP-BIO-NETS_E0</v>
      </c>
      <c r="S173" s="460" t="s">
        <v>554</v>
      </c>
      <c r="T173" t="str">
        <v>FAPHET</v>
      </c>
      <c r="U173" s="386">
        <v>0</v>
      </c>
      <c r="V173" s="385">
        <v>3</v>
      </c>
    </row>
    <row r="174" spans="18:22">
      <c r="R174" t="str">
        <v>I-FAP-OVN-BIO-NETS_E0</v>
      </c>
      <c r="S174" s="460" t="s">
        <v>554</v>
      </c>
      <c r="T174" t="str">
        <v>FAPHTH</v>
      </c>
      <c r="U174" s="386">
        <v>0</v>
      </c>
      <c r="V174" s="385">
        <v>3</v>
      </c>
    </row>
    <row r="175" spans="18:22">
      <c r="R175" t="str">
        <v>I-FAP-OVN-BIO-NETS_E0</v>
      </c>
      <c r="S175" s="460" t="s">
        <v>554</v>
      </c>
      <c r="T175" t="str">
        <v>FAPMTH</v>
      </c>
      <c r="U175" s="386">
        <v>1</v>
      </c>
      <c r="V175" s="385">
        <v>3</v>
      </c>
    </row>
    <row r="176" spans="18:22">
      <c r="R176" t="str">
        <v>I-FAP-OVN-BIO-NETS_E0</v>
      </c>
      <c r="S176" s="460" t="s">
        <v>554</v>
      </c>
      <c r="T176" t="str">
        <v>FAPLTH</v>
      </c>
      <c r="U176" s="386">
        <v>0</v>
      </c>
      <c r="V176" s="385">
        <v>3</v>
      </c>
    </row>
    <row r="177" spans="18:22">
      <c r="R177" t="str">
        <v>I-FAP-OVN-BIO-NETS_E0</v>
      </c>
      <c r="S177" s="460" t="s">
        <v>554</v>
      </c>
      <c r="T177" t="str">
        <v>FAPHET</v>
      </c>
      <c r="U177" s="386">
        <v>0</v>
      </c>
      <c r="V177" s="385">
        <v>3</v>
      </c>
    </row>
    <row r="178" spans="18:22">
      <c r="R178" t="str">
        <v>I-FAP-DRR-BIO-NETS_E0</v>
      </c>
      <c r="S178" s="460" t="s">
        <v>554</v>
      </c>
      <c r="T178" t="str">
        <v>FAPHTH</v>
      </c>
      <c r="U178" s="386">
        <v>0</v>
      </c>
      <c r="V178" s="385">
        <v>3</v>
      </c>
    </row>
    <row r="179" spans="18:22">
      <c r="R179" t="str">
        <v>I-FAP-DRR-BIO-NETS_E0</v>
      </c>
      <c r="S179" s="460" t="s">
        <v>554</v>
      </c>
      <c r="T179" t="str">
        <v>FAPMTH</v>
      </c>
      <c r="U179" s="386">
        <v>0</v>
      </c>
      <c r="V179" s="385">
        <v>3</v>
      </c>
    </row>
    <row r="180" spans="18:22">
      <c r="R180" t="str">
        <v>I-FAP-DRR-BIO-NETS_E0</v>
      </c>
      <c r="S180" s="460" t="s">
        <v>554</v>
      </c>
      <c r="T180" t="str">
        <v>FAPLTH</v>
      </c>
      <c r="U180" s="386">
        <v>0</v>
      </c>
      <c r="V180" s="385">
        <v>3</v>
      </c>
    </row>
    <row r="181" spans="18:22">
      <c r="R181" t="str">
        <v>I-FAP-DRR-BIO-NETS_E0</v>
      </c>
      <c r="S181" s="460" t="s">
        <v>554</v>
      </c>
      <c r="T181" t="str">
        <v>FAPHET</v>
      </c>
      <c r="U181" s="386">
        <v>1</v>
      </c>
      <c r="V181" s="385">
        <v>3</v>
      </c>
    </row>
    <row r="182" spans="18:22">
      <c r="R182" t="str">
        <v>I-FAP-BLR-OIL-NETS_E0</v>
      </c>
      <c r="S182" s="460" t="s">
        <v>554</v>
      </c>
      <c r="T182" t="str">
        <v>FAPHTH</v>
      </c>
      <c r="U182" s="386">
        <v>0</v>
      </c>
      <c r="V182" s="385">
        <v>3</v>
      </c>
    </row>
    <row r="183" spans="18:22">
      <c r="R183" t="str">
        <v>I-FAP-BLR-OIL-NETS_E0</v>
      </c>
      <c r="S183" s="460" t="s">
        <v>554</v>
      </c>
      <c r="T183" t="str">
        <v>FAPMTH</v>
      </c>
      <c r="U183" s="386">
        <v>0.10000000000000002</v>
      </c>
      <c r="V183" s="385">
        <v>3</v>
      </c>
    </row>
    <row r="184" spans="18:22">
      <c r="R184" t="str">
        <v>I-FAP-BLR-OIL-NETS_E0</v>
      </c>
      <c r="S184" s="460" t="s">
        <v>554</v>
      </c>
      <c r="T184" t="str">
        <v>FAPLTH</v>
      </c>
      <c r="U184" s="386">
        <v>0.60000000000000009</v>
      </c>
      <c r="V184" s="385">
        <v>3</v>
      </c>
    </row>
    <row r="185" spans="18:22">
      <c r="R185" t="str">
        <v>I-FAP-BLR-OIL-NETS_E0</v>
      </c>
      <c r="S185" s="460" t="s">
        <v>554</v>
      </c>
      <c r="T185" t="str">
        <v>FAPHET</v>
      </c>
      <c r="U185" s="386">
        <v>0.30000000000000004</v>
      </c>
      <c r="V185" s="385">
        <v>3</v>
      </c>
    </row>
    <row r="186" spans="18:22">
      <c r="R186" t="str">
        <v>I-FAP-CHP-OIL-NETS_E0</v>
      </c>
      <c r="S186" s="460" t="s">
        <v>554</v>
      </c>
      <c r="T186" t="str">
        <v>FAPHTH</v>
      </c>
      <c r="U186" s="386">
        <v>0</v>
      </c>
      <c r="V186" s="385">
        <v>3</v>
      </c>
    </row>
    <row r="187" spans="18:22">
      <c r="R187" t="str">
        <v>I-FAP-CHP-OIL-NETS_E0</v>
      </c>
      <c r="S187" s="460" t="s">
        <v>554</v>
      </c>
      <c r="T187" t="str">
        <v>FAPMTH</v>
      </c>
      <c r="U187" s="386">
        <v>0</v>
      </c>
      <c r="V187" s="385">
        <v>3</v>
      </c>
    </row>
    <row r="188" spans="18:22">
      <c r="R188" t="str">
        <v>I-FAP-CHP-OIL-NETS_E0</v>
      </c>
      <c r="S188" s="460" t="s">
        <v>554</v>
      </c>
      <c r="T188" t="str">
        <v>FAPLTH</v>
      </c>
      <c r="U188" s="386">
        <v>1</v>
      </c>
      <c r="V188" s="385">
        <v>3</v>
      </c>
    </row>
    <row r="189" spans="18:22">
      <c r="R189" t="str">
        <v>I-FAP-CHP-OIL-NETS_E0</v>
      </c>
      <c r="S189" s="460" t="s">
        <v>554</v>
      </c>
      <c r="T189" t="str">
        <v>FAPHET</v>
      </c>
      <c r="U189" s="386">
        <v>0</v>
      </c>
      <c r="V189" s="385">
        <v>3</v>
      </c>
    </row>
    <row r="190" spans="18:22">
      <c r="R190" t="str">
        <v>I-FAP-OVN-OIL-NETS_E0</v>
      </c>
      <c r="S190" s="460" t="s">
        <v>554</v>
      </c>
      <c r="T190" t="str">
        <v>FAPHTH</v>
      </c>
      <c r="U190" s="386">
        <v>0</v>
      </c>
      <c r="V190" s="385">
        <v>3</v>
      </c>
    </row>
    <row r="191" spans="18:22">
      <c r="R191" t="str">
        <v>I-FAP-OVN-OIL-NETS_E0</v>
      </c>
      <c r="S191" s="460" t="s">
        <v>554</v>
      </c>
      <c r="T191" t="str">
        <v>FAPMTH</v>
      </c>
      <c r="U191" s="386">
        <v>1</v>
      </c>
      <c r="V191" s="385">
        <v>3</v>
      </c>
    </row>
    <row r="192" spans="18:22">
      <c r="R192" t="str">
        <v>I-FAP-OVN-OIL-NETS_E0</v>
      </c>
      <c r="S192" s="460" t="s">
        <v>554</v>
      </c>
      <c r="T192" t="str">
        <v>FAPLTH</v>
      </c>
      <c r="U192" s="386">
        <v>0</v>
      </c>
      <c r="V192" s="385">
        <v>3</v>
      </c>
    </row>
    <row r="193" spans="18:22">
      <c r="R193" t="str">
        <v>I-FAP-OVN-OIL-NETS_E0</v>
      </c>
      <c r="S193" s="460" t="s">
        <v>554</v>
      </c>
      <c r="T193" t="str">
        <v>FAPHET</v>
      </c>
      <c r="U193" s="386">
        <v>0</v>
      </c>
      <c r="V193" s="385">
        <v>3</v>
      </c>
    </row>
    <row r="194" spans="18:22">
      <c r="R194" t="str">
        <v>I-FAP-DRR-OIL-NETS_E0</v>
      </c>
      <c r="S194" s="460" t="s">
        <v>554</v>
      </c>
      <c r="T194" t="str">
        <v>FAPHTH</v>
      </c>
      <c r="U194" s="386">
        <v>0</v>
      </c>
      <c r="V194" s="385">
        <v>3</v>
      </c>
    </row>
    <row r="195" spans="18:22">
      <c r="R195" t="str">
        <v>I-FAP-DRR-OIL-NETS_E0</v>
      </c>
      <c r="S195" s="460" t="s">
        <v>554</v>
      </c>
      <c r="T195" t="str">
        <v>FAPMTH</v>
      </c>
      <c r="U195" s="386">
        <v>0</v>
      </c>
      <c r="V195" s="385">
        <v>3</v>
      </c>
    </row>
    <row r="196" spans="18:22">
      <c r="R196" t="str">
        <v>I-FAP-DRR-OIL-NETS_E0</v>
      </c>
      <c r="S196" s="460" t="s">
        <v>554</v>
      </c>
      <c r="T196" t="str">
        <v>FAPLTH</v>
      </c>
      <c r="U196" s="386">
        <v>0</v>
      </c>
      <c r="V196" s="385">
        <v>3</v>
      </c>
    </row>
    <row r="197" spans="18:22">
      <c r="R197" t="str">
        <v>I-FAP-DRR-OIL-NETS_E0</v>
      </c>
      <c r="S197" s="460" t="s">
        <v>554</v>
      </c>
      <c r="T197" t="str">
        <v>FAPHET</v>
      </c>
      <c r="U197" s="386">
        <v>1</v>
      </c>
      <c r="V197" s="385">
        <v>3</v>
      </c>
    </row>
    <row r="198" spans="18:22">
      <c r="R198" t="str">
        <v>I-FAP-BLR-GAS-NETS_E0</v>
      </c>
      <c r="S198" s="460" t="s">
        <v>554</v>
      </c>
      <c r="T198" t="str">
        <v>FAPHTH</v>
      </c>
      <c r="U198" s="386">
        <v>0</v>
      </c>
      <c r="V198" s="385">
        <v>3</v>
      </c>
    </row>
    <row r="199" spans="18:22">
      <c r="R199" t="str">
        <v>I-FAP-BLR-GAS-NETS_E0</v>
      </c>
      <c r="S199" s="460" t="s">
        <v>554</v>
      </c>
      <c r="T199" t="str">
        <v>FAPMTH</v>
      </c>
      <c r="U199" s="386">
        <v>0.10000000000000002</v>
      </c>
      <c r="V199" s="385">
        <v>3</v>
      </c>
    </row>
    <row r="200" spans="18:22">
      <c r="R200" t="str">
        <v>I-FAP-BLR-GAS-NETS_E0</v>
      </c>
      <c r="S200" s="460" t="s">
        <v>554</v>
      </c>
      <c r="T200" t="str">
        <v>FAPLTH</v>
      </c>
      <c r="U200" s="386">
        <v>0.60000000000000009</v>
      </c>
      <c r="V200" s="385">
        <v>3</v>
      </c>
    </row>
    <row r="201" spans="18:22">
      <c r="R201" t="str">
        <v>I-FAP-BLR-GAS-NETS_E0</v>
      </c>
      <c r="S201" s="460" t="s">
        <v>554</v>
      </c>
      <c r="T201" t="str">
        <v>FAPHET</v>
      </c>
      <c r="U201" s="386">
        <v>0.30000000000000004</v>
      </c>
      <c r="V201" s="385">
        <v>3</v>
      </c>
    </row>
    <row r="202" spans="18:22">
      <c r="R202" t="str">
        <v>I-FAP-CHP-GAS-NETS_E0</v>
      </c>
      <c r="S202" s="460" t="s">
        <v>554</v>
      </c>
      <c r="T202" t="str">
        <v>FAPHTH</v>
      </c>
      <c r="U202" s="386">
        <v>0</v>
      </c>
      <c r="V202" s="385">
        <v>3</v>
      </c>
    </row>
    <row r="203" spans="18:22">
      <c r="R203" t="str">
        <v>I-FAP-CHP-GAS-NETS_E0</v>
      </c>
      <c r="S203" s="460" t="s">
        <v>554</v>
      </c>
      <c r="T203" t="str">
        <v>FAPMTH</v>
      </c>
      <c r="U203" s="386">
        <v>0</v>
      </c>
      <c r="V203" s="385">
        <v>3</v>
      </c>
    </row>
    <row r="204" spans="18:22">
      <c r="R204" t="str">
        <v>I-FAP-CHP-GAS-NETS_E0</v>
      </c>
      <c r="S204" s="460" t="s">
        <v>554</v>
      </c>
      <c r="T204" t="str">
        <v>FAPLTH</v>
      </c>
      <c r="U204" s="386">
        <v>1</v>
      </c>
      <c r="V204" s="385">
        <v>3</v>
      </c>
    </row>
    <row r="205" spans="18:22">
      <c r="R205" t="str">
        <v>I-FAP-CHP-GAS-NETS_E0</v>
      </c>
      <c r="S205" s="460" t="s">
        <v>554</v>
      </c>
      <c r="T205" t="str">
        <v>FAPHET</v>
      </c>
      <c r="U205" s="386">
        <v>0</v>
      </c>
      <c r="V205" s="385">
        <v>3</v>
      </c>
    </row>
    <row r="206" spans="18:22">
      <c r="R206" t="str">
        <v>I-FAP-OVN-GAS-NETS_E0</v>
      </c>
      <c r="S206" s="460" t="s">
        <v>554</v>
      </c>
      <c r="T206" t="str">
        <v>FAPHTH</v>
      </c>
      <c r="U206" s="386">
        <v>0</v>
      </c>
      <c r="V206" s="385">
        <v>3</v>
      </c>
    </row>
    <row r="207" spans="18:22">
      <c r="R207" t="str">
        <v>I-FAP-OVN-GAS-NETS_E0</v>
      </c>
      <c r="S207" s="460" t="s">
        <v>554</v>
      </c>
      <c r="T207" t="str">
        <v>FAPMTH</v>
      </c>
      <c r="U207" s="386">
        <v>1</v>
      </c>
      <c r="V207" s="385">
        <v>3</v>
      </c>
    </row>
    <row r="208" spans="18:22">
      <c r="R208" t="str">
        <v>I-FAP-OVN-GAS-NETS_E0</v>
      </c>
      <c r="S208" s="460" t="s">
        <v>554</v>
      </c>
      <c r="T208" t="str">
        <v>FAPLTH</v>
      </c>
      <c r="U208" s="386">
        <v>0</v>
      </c>
      <c r="V208" s="385">
        <v>3</v>
      </c>
    </row>
    <row r="209" spans="18:22">
      <c r="R209" t="str">
        <v>I-FAP-OVN-GAS-NETS_E0</v>
      </c>
      <c r="S209" s="460" t="s">
        <v>554</v>
      </c>
      <c r="T209" t="str">
        <v>FAPHET</v>
      </c>
      <c r="U209" s="386">
        <v>0</v>
      </c>
      <c r="V209" s="385">
        <v>3</v>
      </c>
    </row>
    <row r="210" spans="18:22">
      <c r="R210" t="str">
        <v>I-FAP-DRR-GAS-NETS_E0</v>
      </c>
      <c r="S210" s="460" t="s">
        <v>554</v>
      </c>
      <c r="T210" t="str">
        <v>FAPHTH</v>
      </c>
      <c r="U210" s="386">
        <v>0</v>
      </c>
      <c r="V210" s="385">
        <v>3</v>
      </c>
    </row>
    <row r="211" spans="18:22">
      <c r="R211" t="str">
        <v>I-FAP-DRR-GAS-NETS_E0</v>
      </c>
      <c r="S211" s="460" t="s">
        <v>554</v>
      </c>
      <c r="T211" t="str">
        <v>FAPMTH</v>
      </c>
      <c r="U211" s="386">
        <v>0</v>
      </c>
      <c r="V211" s="385">
        <v>3</v>
      </c>
    </row>
    <row r="212" spans="18:22">
      <c r="R212" t="str">
        <v>I-FAP-DRR-GAS-NETS_E0</v>
      </c>
      <c r="S212" s="460" t="s">
        <v>554</v>
      </c>
      <c r="T212" t="str">
        <v>FAPLTH</v>
      </c>
      <c r="U212" s="386">
        <v>0</v>
      </c>
      <c r="V212" s="385">
        <v>3</v>
      </c>
    </row>
    <row r="213" spans="18:22">
      <c r="R213" t="str">
        <v>I-FAP-DRR-GAS-NETS_E0</v>
      </c>
      <c r="S213" s="460" t="s">
        <v>554</v>
      </c>
      <c r="T213" t="str">
        <v>FAPHET</v>
      </c>
      <c r="U213" s="386">
        <v>1</v>
      </c>
      <c r="V213" s="385">
        <v>3</v>
      </c>
    </row>
    <row r="214" spans="18:22">
      <c r="R214" t="str">
        <v>I-LIM-KLN-COA-ETS_E0</v>
      </c>
      <c r="S214" s="460" t="s">
        <v>554</v>
      </c>
      <c r="T214" t="str">
        <v>LIMHTH</v>
      </c>
      <c r="U214" s="386">
        <v>1</v>
      </c>
      <c r="V214" s="385">
        <v>3</v>
      </c>
    </row>
    <row r="215" spans="18:22">
      <c r="R215" t="str">
        <v>I-LIM-KLN-COA-ETS_E0</v>
      </c>
      <c r="S215" s="460" t="s">
        <v>554</v>
      </c>
      <c r="T215" t="str">
        <v>LIMMTH</v>
      </c>
      <c r="U215" s="386">
        <v>0</v>
      </c>
      <c r="V215" s="385">
        <v>3</v>
      </c>
    </row>
    <row r="216" spans="18:22">
      <c r="R216" t="str">
        <v>I-LIM-KLN-COA-ETS_E0</v>
      </c>
      <c r="S216" s="460" t="s">
        <v>554</v>
      </c>
      <c r="T216" t="str">
        <v>LIMLTH</v>
      </c>
      <c r="U216" s="386">
        <v>0</v>
      </c>
      <c r="V216" s="385">
        <v>3</v>
      </c>
    </row>
    <row r="217" spans="18:22">
      <c r="R217" t="str">
        <v>I-LIM-KLN-COA-ETS_E0</v>
      </c>
      <c r="S217" s="460" t="s">
        <v>554</v>
      </c>
      <c r="T217" t="str">
        <v>LIMHET</v>
      </c>
      <c r="U217" s="386">
        <v>0</v>
      </c>
      <c r="V217" s="385">
        <v>3</v>
      </c>
    </row>
    <row r="218" spans="18:22">
      <c r="R218" t="str">
        <v>I-LIM-OKL-COA-ETS_E0</v>
      </c>
      <c r="S218" s="460" t="s">
        <v>554</v>
      </c>
      <c r="T218" t="str">
        <v>LIMHTH</v>
      </c>
      <c r="U218" s="386">
        <v>1</v>
      </c>
      <c r="V218" s="385">
        <v>3</v>
      </c>
    </row>
    <row r="219" spans="18:22">
      <c r="R219" t="str">
        <v>I-LIM-OKL-COA-ETS_E0</v>
      </c>
      <c r="S219" s="460" t="s">
        <v>554</v>
      </c>
      <c r="T219" t="str">
        <v>LIMMTH</v>
      </c>
      <c r="U219" s="386">
        <v>0</v>
      </c>
      <c r="V219" s="385">
        <v>3</v>
      </c>
    </row>
    <row r="220" spans="18:22">
      <c r="R220" t="str">
        <v>I-LIM-OKL-COA-ETS_E0</v>
      </c>
      <c r="S220" s="460" t="s">
        <v>554</v>
      </c>
      <c r="T220" t="str">
        <v>LIMLTH</v>
      </c>
      <c r="U220" s="386">
        <v>0</v>
      </c>
      <c r="V220" s="385">
        <v>3</v>
      </c>
    </row>
    <row r="221" spans="18:22">
      <c r="R221" t="str">
        <v>I-LIM-OKL-COA-ETS_E0</v>
      </c>
      <c r="S221" s="460" t="s">
        <v>554</v>
      </c>
      <c r="T221" t="str">
        <v>LIMHET</v>
      </c>
      <c r="U221" s="386">
        <v>0</v>
      </c>
      <c r="V221" s="385">
        <v>3</v>
      </c>
    </row>
    <row r="222" spans="18:22">
      <c r="R222" t="str">
        <v>I-LIM-FRN-COA-ETS_E0</v>
      </c>
      <c r="S222" s="460" t="s">
        <v>554</v>
      </c>
      <c r="T222" t="str">
        <v>LIMHTH</v>
      </c>
      <c r="U222" s="386">
        <v>1</v>
      </c>
      <c r="V222" s="385">
        <v>3</v>
      </c>
    </row>
    <row r="223" spans="18:22">
      <c r="R223" t="str">
        <v>I-LIM-FRN-COA-ETS_E0</v>
      </c>
      <c r="S223" s="460" t="s">
        <v>554</v>
      </c>
      <c r="T223" t="str">
        <v>LIMMTH</v>
      </c>
      <c r="U223" s="386">
        <v>0</v>
      </c>
      <c r="V223" s="385">
        <v>3</v>
      </c>
    </row>
    <row r="224" spans="18:22">
      <c r="R224" t="str">
        <v>I-LIM-FRN-COA-ETS_E0</v>
      </c>
      <c r="S224" s="460" t="s">
        <v>554</v>
      </c>
      <c r="T224" t="str">
        <v>LIMLTH</v>
      </c>
      <c r="U224" s="386">
        <v>0</v>
      </c>
      <c r="V224" s="385">
        <v>3</v>
      </c>
    </row>
    <row r="225" spans="18:22">
      <c r="R225" t="str">
        <v>I-LIM-FRN-COA-ETS_E0</v>
      </c>
      <c r="S225" s="460" t="s">
        <v>554</v>
      </c>
      <c r="T225" t="str">
        <v>LIMHET</v>
      </c>
      <c r="U225" s="386">
        <v>0</v>
      </c>
      <c r="V225" s="385">
        <v>3</v>
      </c>
    </row>
    <row r="226" spans="18:22">
      <c r="R226" t="str">
        <v>I-LIM-KLN-GAS-ETS_E0</v>
      </c>
      <c r="S226" s="460" t="s">
        <v>554</v>
      </c>
      <c r="T226" t="str">
        <v>LIMHTH</v>
      </c>
      <c r="U226" s="386">
        <v>1</v>
      </c>
      <c r="V226" s="385">
        <v>3</v>
      </c>
    </row>
    <row r="227" spans="18:22">
      <c r="R227" t="str">
        <v>I-LIM-KLN-GAS-ETS_E0</v>
      </c>
      <c r="S227" s="460" t="s">
        <v>554</v>
      </c>
      <c r="T227" t="str">
        <v>LIMMTH</v>
      </c>
      <c r="U227" s="386">
        <v>0</v>
      </c>
      <c r="V227" s="385">
        <v>3</v>
      </c>
    </row>
    <row r="228" spans="18:22">
      <c r="R228" t="str">
        <v>I-LIM-KLN-GAS-ETS_E0</v>
      </c>
      <c r="S228" s="460" t="s">
        <v>554</v>
      </c>
      <c r="T228" t="str">
        <v>LIMLTH</v>
      </c>
      <c r="U228" s="386">
        <v>0</v>
      </c>
      <c r="V228" s="385">
        <v>3</v>
      </c>
    </row>
    <row r="229" spans="18:22">
      <c r="R229" t="str">
        <v>I-LIM-KLN-GAS-ETS_E0</v>
      </c>
      <c r="S229" s="460" t="s">
        <v>554</v>
      </c>
      <c r="T229" t="str">
        <v>LIMHET</v>
      </c>
      <c r="U229" s="386">
        <v>0</v>
      </c>
      <c r="V229" s="385">
        <v>3</v>
      </c>
    </row>
    <row r="230" spans="18:22">
      <c r="R230" t="str">
        <v>I-LIM-OKL-GAS-ETS_E0</v>
      </c>
      <c r="S230" s="460" t="s">
        <v>554</v>
      </c>
      <c r="T230" t="str">
        <v>LIMHTH</v>
      </c>
      <c r="U230" s="386">
        <v>1</v>
      </c>
      <c r="V230" s="385">
        <v>3</v>
      </c>
    </row>
    <row r="231" spans="18:22">
      <c r="R231" t="str">
        <v>I-LIM-OKL-GAS-ETS_E0</v>
      </c>
      <c r="S231" s="460" t="s">
        <v>554</v>
      </c>
      <c r="T231" t="str">
        <v>LIMMTH</v>
      </c>
      <c r="U231" s="386">
        <v>0</v>
      </c>
      <c r="V231" s="385">
        <v>3</v>
      </c>
    </row>
    <row r="232" spans="18:22">
      <c r="R232" t="str">
        <v>I-LIM-OKL-GAS-ETS_E0</v>
      </c>
      <c r="S232" s="460" t="s">
        <v>554</v>
      </c>
      <c r="T232" t="str">
        <v>LIMLTH</v>
      </c>
      <c r="U232" s="386">
        <v>0</v>
      </c>
      <c r="V232" s="385">
        <v>3</v>
      </c>
    </row>
    <row r="233" spans="18:22">
      <c r="R233" t="str">
        <v>I-LIM-OKL-GAS-ETS_E0</v>
      </c>
      <c r="S233" s="460" t="s">
        <v>554</v>
      </c>
      <c r="T233" t="str">
        <v>LIMHET</v>
      </c>
      <c r="U233" s="386">
        <v>0</v>
      </c>
      <c r="V233" s="385">
        <v>3</v>
      </c>
    </row>
    <row r="234" spans="18:22">
      <c r="R234" t="str">
        <v>I-LIM-FRN-GAS-ETS_E0</v>
      </c>
      <c r="S234" s="460" t="s">
        <v>554</v>
      </c>
      <c r="T234" t="str">
        <v>LIMHTH</v>
      </c>
      <c r="U234" s="386">
        <v>1</v>
      </c>
      <c r="V234" s="385">
        <v>3</v>
      </c>
    </row>
    <row r="235" spans="18:22">
      <c r="R235" t="str">
        <v>I-LIM-FRN-GAS-ETS_E0</v>
      </c>
      <c r="S235" s="460" t="s">
        <v>554</v>
      </c>
      <c r="T235" t="str">
        <v>LIMMTH</v>
      </c>
      <c r="U235" s="386">
        <v>0</v>
      </c>
      <c r="V235" s="385">
        <v>3</v>
      </c>
    </row>
    <row r="236" spans="18:22">
      <c r="R236" t="str">
        <v>I-LIM-FRN-GAS-ETS_E0</v>
      </c>
      <c r="S236" s="460" t="s">
        <v>554</v>
      </c>
      <c r="T236" t="str">
        <v>LIMLTH</v>
      </c>
      <c r="U236" s="386">
        <v>0</v>
      </c>
      <c r="V236" s="385">
        <v>3</v>
      </c>
    </row>
    <row r="237" spans="18:22">
      <c r="R237" t="str">
        <v>I-LIM-FRN-GAS-ETS_E0</v>
      </c>
      <c r="S237" s="460" t="s">
        <v>554</v>
      </c>
      <c r="T237" t="str">
        <v>LIMHET</v>
      </c>
      <c r="U237" s="386">
        <v>0</v>
      </c>
      <c r="V237" s="385">
        <v>3</v>
      </c>
    </row>
    <row r="238" spans="18:22">
      <c r="R238" t="str">
        <v>I-MAP-CHP-OIL-ETS_E0</v>
      </c>
      <c r="S238" s="460" t="s">
        <v>554</v>
      </c>
      <c r="T238" t="str">
        <v>MAPHTH</v>
      </c>
      <c r="U238" s="386">
        <v>0</v>
      </c>
      <c r="V238" s="385">
        <v>3</v>
      </c>
    </row>
    <row r="239" spans="18:22">
      <c r="R239" t="str">
        <v>I-MAP-CHP-OIL-ETS_E0</v>
      </c>
      <c r="S239" s="460" t="s">
        <v>554</v>
      </c>
      <c r="T239" t="str">
        <v>MAPMTH</v>
      </c>
      <c r="U239" s="386">
        <v>1</v>
      </c>
      <c r="V239" s="385">
        <v>3</v>
      </c>
    </row>
    <row r="240" spans="18:22">
      <c r="R240" t="str">
        <v>I-MAP-CHP-OIL-ETS_E0</v>
      </c>
      <c r="S240" s="460" t="s">
        <v>554</v>
      </c>
      <c r="T240" t="str">
        <v>MAPLTH</v>
      </c>
      <c r="U240" s="386">
        <v>0</v>
      </c>
      <c r="V240" s="385">
        <v>3</v>
      </c>
    </row>
    <row r="241" spans="18:22">
      <c r="R241" t="str">
        <v>I-MAP-CHP-OIL-ETS_E0</v>
      </c>
      <c r="S241" s="460" t="s">
        <v>554</v>
      </c>
      <c r="T241" t="str">
        <v>MAPHET</v>
      </c>
      <c r="U241" s="386">
        <v>0</v>
      </c>
      <c r="V241" s="385">
        <v>3</v>
      </c>
    </row>
    <row r="242" spans="18:22">
      <c r="R242" t="str">
        <v>I-MAP-FRN-OIL-ETS_E0</v>
      </c>
      <c r="S242" s="460" t="s">
        <v>554</v>
      </c>
      <c r="T242" t="str">
        <v>MAPHTH</v>
      </c>
      <c r="U242" s="386">
        <v>1</v>
      </c>
      <c r="V242" s="385">
        <v>3</v>
      </c>
    </row>
    <row r="243" spans="18:22">
      <c r="R243" t="str">
        <v>I-MAP-FRN-OIL-ETS_E0</v>
      </c>
      <c r="S243" s="460" t="s">
        <v>554</v>
      </c>
      <c r="T243" t="str">
        <v>MAPMTH</v>
      </c>
      <c r="U243" s="386">
        <v>0</v>
      </c>
      <c r="V243" s="385">
        <v>3</v>
      </c>
    </row>
    <row r="244" spans="18:22">
      <c r="R244" t="str">
        <v>I-MAP-FRN-OIL-ETS_E0</v>
      </c>
      <c r="S244" s="460" t="s">
        <v>554</v>
      </c>
      <c r="T244" t="str">
        <v>MAPLTH</v>
      </c>
      <c r="U244" s="386">
        <v>0</v>
      </c>
      <c r="V244" s="385">
        <v>3</v>
      </c>
    </row>
    <row r="245" spans="18:22">
      <c r="R245" t="str">
        <v>I-MAP-FRN-OIL-ETS_E0</v>
      </c>
      <c r="S245" s="460" t="s">
        <v>554</v>
      </c>
      <c r="T245" t="str">
        <v>MAPHET</v>
      </c>
      <c r="U245" s="386">
        <v>0</v>
      </c>
      <c r="V245" s="385">
        <v>3</v>
      </c>
    </row>
    <row r="246" spans="18:22">
      <c r="R246" t="str">
        <v>I-MAP-BLR-GAS-ETS_E0</v>
      </c>
      <c r="S246" s="460" t="s">
        <v>554</v>
      </c>
      <c r="T246" t="str">
        <v>MAPHTH</v>
      </c>
      <c r="U246" s="386">
        <v>0</v>
      </c>
      <c r="V246" s="385">
        <v>3</v>
      </c>
    </row>
    <row r="247" spans="18:22">
      <c r="R247" t="str">
        <v>I-MAP-BLR-GAS-ETS_E0</v>
      </c>
      <c r="S247" s="460" t="s">
        <v>554</v>
      </c>
      <c r="T247" t="str">
        <v>MAPMTH</v>
      </c>
      <c r="U247" s="386">
        <v>1</v>
      </c>
      <c r="V247" s="385">
        <v>3</v>
      </c>
    </row>
    <row r="248" spans="18:22">
      <c r="R248" t="str">
        <v>I-MAP-BLR-GAS-ETS_E0</v>
      </c>
      <c r="S248" s="460" t="s">
        <v>554</v>
      </c>
      <c r="T248" t="str">
        <v>MAPLTH</v>
      </c>
      <c r="U248" s="386">
        <v>0</v>
      </c>
      <c r="V248" s="385">
        <v>3</v>
      </c>
    </row>
    <row r="249" spans="18:22">
      <c r="R249" t="str">
        <v>I-MAP-BLR-GAS-ETS_E0</v>
      </c>
      <c r="S249" s="460" t="s">
        <v>554</v>
      </c>
      <c r="T249" t="str">
        <v>MAPHET</v>
      </c>
      <c r="U249" s="386">
        <v>0</v>
      </c>
      <c r="V249" s="385">
        <v>3</v>
      </c>
    </row>
    <row r="250" spans="18:22">
      <c r="R250" t="str">
        <v xml:space="preserve"> I-MAP-CHP-GAS-ETS_E0</v>
      </c>
      <c r="S250" s="460" t="s">
        <v>554</v>
      </c>
      <c r="T250" t="str">
        <v>MAPHTH</v>
      </c>
      <c r="U250" s="386">
        <v>0</v>
      </c>
      <c r="V250" s="385">
        <v>3</v>
      </c>
    </row>
    <row r="251" spans="18:22">
      <c r="R251" t="str">
        <v xml:space="preserve"> I-MAP-CHP-GAS-ETS_E0</v>
      </c>
      <c r="S251" s="460" t="s">
        <v>554</v>
      </c>
      <c r="T251" t="str">
        <v>MAPMTH</v>
      </c>
      <c r="U251" s="386">
        <v>1</v>
      </c>
      <c r="V251" s="385">
        <v>3</v>
      </c>
    </row>
    <row r="252" spans="18:22">
      <c r="R252" t="str">
        <v xml:space="preserve"> I-MAP-CHP-GAS-ETS_E0</v>
      </c>
      <c r="S252" s="460" t="s">
        <v>554</v>
      </c>
      <c r="T252" t="str">
        <v>MAPLTH</v>
      </c>
      <c r="U252" s="386">
        <v>0</v>
      </c>
      <c r="V252" s="385">
        <v>3</v>
      </c>
    </row>
    <row r="253" spans="18:22">
      <c r="R253" t="str">
        <v xml:space="preserve"> I-MAP-CHP-GAS-ETS_E0</v>
      </c>
      <c r="S253" s="460" t="s">
        <v>554</v>
      </c>
      <c r="T253" t="str">
        <v>MAPHET</v>
      </c>
      <c r="U253" s="386">
        <v>0</v>
      </c>
      <c r="V253" s="385">
        <v>3</v>
      </c>
    </row>
    <row r="254" spans="18:22">
      <c r="R254" t="str">
        <v>I-MAP-FRN-GAS-ETS_E0</v>
      </c>
      <c r="S254" s="460" t="s">
        <v>554</v>
      </c>
      <c r="T254" t="str">
        <v>MAPHTH</v>
      </c>
      <c r="U254" s="386">
        <v>1</v>
      </c>
      <c r="V254" s="385">
        <v>3</v>
      </c>
    </row>
    <row r="255" spans="18:22">
      <c r="R255" t="str">
        <v>I-MAP-FRN-GAS-ETS_E0</v>
      </c>
      <c r="S255" s="460" t="s">
        <v>554</v>
      </c>
      <c r="T255" t="str">
        <v>MAPMTH</v>
      </c>
      <c r="U255" s="386">
        <v>0</v>
      </c>
      <c r="V255" s="385">
        <v>3</v>
      </c>
    </row>
    <row r="256" spans="18:22">
      <c r="R256" t="str">
        <v>I-MAP-FRN-GAS-ETS_E0</v>
      </c>
      <c r="S256" s="460" t="s">
        <v>554</v>
      </c>
      <c r="T256" t="str">
        <v>MAPLTH</v>
      </c>
      <c r="U256" s="386">
        <v>0</v>
      </c>
      <c r="V256" s="385">
        <v>3</v>
      </c>
    </row>
    <row r="257" spans="18:22">
      <c r="R257" t="str">
        <v>I-MAP-FRN-GAS-ETS_E0</v>
      </c>
      <c r="S257" s="460" t="s">
        <v>554</v>
      </c>
      <c r="T257" t="str">
        <v>MAPHET</v>
      </c>
      <c r="U257" s="386">
        <v>0</v>
      </c>
      <c r="V257" s="385">
        <v>3</v>
      </c>
    </row>
    <row r="258" spans="18:22">
      <c r="R258" t="str">
        <v>I-MAP-BLR-COA-NETS_E0</v>
      </c>
      <c r="S258" s="460" t="s">
        <v>554</v>
      </c>
      <c r="T258" t="str">
        <v>MAPHTH</v>
      </c>
      <c r="U258" s="386">
        <v>0</v>
      </c>
      <c r="V258" s="385">
        <v>3</v>
      </c>
    </row>
    <row r="259" spans="18:22">
      <c r="R259" t="str">
        <v>I-MAP-BLR-COA-NETS_E0</v>
      </c>
      <c r="S259" s="460" t="s">
        <v>554</v>
      </c>
      <c r="T259" t="str">
        <v>MAPMTH</v>
      </c>
      <c r="U259" s="386">
        <v>1</v>
      </c>
      <c r="V259" s="385">
        <v>3</v>
      </c>
    </row>
    <row r="260" spans="18:22">
      <c r="R260" t="str">
        <v>I-MAP-BLR-COA-NETS_E0</v>
      </c>
      <c r="S260" s="460" t="s">
        <v>554</v>
      </c>
      <c r="T260" t="str">
        <v>MAPLTH</v>
      </c>
      <c r="U260" s="386">
        <v>0</v>
      </c>
      <c r="V260" s="385">
        <v>3</v>
      </c>
    </row>
    <row r="261" spans="18:22">
      <c r="R261" t="str">
        <v>I-MAP-BLR-COA-NETS_E0</v>
      </c>
      <c r="S261" s="460" t="s">
        <v>554</v>
      </c>
      <c r="T261" t="str">
        <v>MAPHET</v>
      </c>
      <c r="U261" s="386">
        <v>0</v>
      </c>
      <c r="V261" s="385">
        <v>3</v>
      </c>
    </row>
    <row r="262" spans="18:22">
      <c r="R262" t="str">
        <v>I-MAP-FRN-COA-NETS_E0</v>
      </c>
      <c r="S262" s="460" t="s">
        <v>554</v>
      </c>
      <c r="T262" t="str">
        <v>MAPHTH</v>
      </c>
      <c r="U262" s="386">
        <v>1</v>
      </c>
      <c r="V262" s="385">
        <v>3</v>
      </c>
    </row>
    <row r="263" spans="18:22">
      <c r="R263" t="str">
        <v>I-MAP-FRN-COA-NETS_E0</v>
      </c>
      <c r="S263" s="460" t="s">
        <v>554</v>
      </c>
      <c r="T263" t="str">
        <v>MAPMTH</v>
      </c>
      <c r="U263" s="386">
        <v>0</v>
      </c>
      <c r="V263" s="385">
        <v>3</v>
      </c>
    </row>
    <row r="264" spans="18:22">
      <c r="R264" t="str">
        <v>I-MAP-FRN-COA-NETS_E0</v>
      </c>
      <c r="S264" s="460" t="s">
        <v>554</v>
      </c>
      <c r="T264" t="str">
        <v>MAPLTH</v>
      </c>
      <c r="U264" s="386">
        <v>0</v>
      </c>
      <c r="V264" s="385">
        <v>3</v>
      </c>
    </row>
    <row r="265" spans="18:22">
      <c r="R265" t="str">
        <v>I-MAP-FRN-COA-NETS_E0</v>
      </c>
      <c r="S265" s="460" t="s">
        <v>554</v>
      </c>
      <c r="T265" t="str">
        <v>MAPHET</v>
      </c>
      <c r="U265" s="386">
        <v>0</v>
      </c>
      <c r="V265" s="385">
        <v>3</v>
      </c>
    </row>
    <row r="266" spans="18:22">
      <c r="R266" t="str">
        <v>I-MAP-BLR-OIL-NETS_E0</v>
      </c>
      <c r="S266" s="460" t="s">
        <v>554</v>
      </c>
      <c r="T266" t="str">
        <v>MAPHTH</v>
      </c>
      <c r="U266" s="386">
        <v>0</v>
      </c>
      <c r="V266" s="385">
        <v>3</v>
      </c>
    </row>
    <row r="267" spans="18:22">
      <c r="R267" t="str">
        <v>I-MAP-BLR-OIL-NETS_E0</v>
      </c>
      <c r="S267" s="460" t="s">
        <v>554</v>
      </c>
      <c r="T267" t="str">
        <v>MAPMTH</v>
      </c>
      <c r="U267" s="386">
        <v>1</v>
      </c>
      <c r="V267" s="385">
        <v>3</v>
      </c>
    </row>
    <row r="268" spans="18:22">
      <c r="R268" t="str">
        <v>I-MAP-BLR-OIL-NETS_E0</v>
      </c>
      <c r="S268" s="460" t="s">
        <v>554</v>
      </c>
      <c r="T268" t="str">
        <v>MAPLTH</v>
      </c>
      <c r="U268" s="386">
        <v>0</v>
      </c>
      <c r="V268" s="385">
        <v>3</v>
      </c>
    </row>
    <row r="269" spans="18:22">
      <c r="R269" t="str">
        <v>I-MAP-BLR-OIL-NETS_E0</v>
      </c>
      <c r="S269" s="460" t="s">
        <v>554</v>
      </c>
      <c r="T269" t="str">
        <v>MAPHET</v>
      </c>
      <c r="U269" s="386">
        <v>0</v>
      </c>
      <c r="V269" s="385">
        <v>3</v>
      </c>
    </row>
    <row r="270" spans="18:22">
      <c r="R270" t="str">
        <v>I-MAP-FRN-OIL-NETS_E0</v>
      </c>
      <c r="S270" s="460" t="s">
        <v>554</v>
      </c>
      <c r="T270" t="str">
        <v>MAPHTH</v>
      </c>
      <c r="U270" s="386">
        <v>1</v>
      </c>
      <c r="V270" s="385">
        <v>3</v>
      </c>
    </row>
    <row r="271" spans="18:22">
      <c r="R271" t="str">
        <v>I-MAP-FRN-OIL-NETS_E0</v>
      </c>
      <c r="S271" s="460" t="s">
        <v>554</v>
      </c>
      <c r="T271" t="str">
        <v>MAPMTH</v>
      </c>
      <c r="U271" s="386">
        <v>0</v>
      </c>
      <c r="V271" s="385">
        <v>3</v>
      </c>
    </row>
    <row r="272" spans="18:22">
      <c r="R272" t="str">
        <v>I-MAP-FRN-OIL-NETS_E0</v>
      </c>
      <c r="S272" s="460" t="s">
        <v>554</v>
      </c>
      <c r="T272" t="str">
        <v>MAPLTH</v>
      </c>
      <c r="U272" s="386">
        <v>0</v>
      </c>
      <c r="V272" s="385">
        <v>3</v>
      </c>
    </row>
    <row r="273" spans="18:22">
      <c r="R273" t="str">
        <v>I-MAP-FRN-OIL-NETS_E0</v>
      </c>
      <c r="S273" s="460" t="s">
        <v>554</v>
      </c>
      <c r="T273" t="str">
        <v>MAPHET</v>
      </c>
      <c r="U273" s="386">
        <v>0</v>
      </c>
      <c r="V273" s="385">
        <v>3</v>
      </c>
    </row>
    <row r="274" spans="18:22">
      <c r="R274" t="str">
        <v>I-MAP-BLR-GAS-NETS_E0</v>
      </c>
      <c r="S274" s="460" t="s">
        <v>554</v>
      </c>
      <c r="T274" t="str">
        <v>MAPHTH</v>
      </c>
      <c r="U274" s="386">
        <v>0</v>
      </c>
      <c r="V274" s="385">
        <v>3</v>
      </c>
    </row>
    <row r="275" spans="18:22">
      <c r="R275" t="str">
        <v>I-MAP-BLR-GAS-NETS_E0</v>
      </c>
      <c r="S275" s="460" t="s">
        <v>554</v>
      </c>
      <c r="T275" t="str">
        <v>MAPMTH</v>
      </c>
      <c r="U275" s="386">
        <v>1</v>
      </c>
      <c r="V275" s="385">
        <v>3</v>
      </c>
    </row>
    <row r="276" spans="18:22">
      <c r="R276" t="str">
        <v>I-MAP-BLR-GAS-NETS_E0</v>
      </c>
      <c r="S276" s="460" t="s">
        <v>554</v>
      </c>
      <c r="T276" t="str">
        <v>MAPLTH</v>
      </c>
      <c r="U276" s="386">
        <v>0</v>
      </c>
      <c r="V276" s="385">
        <v>3</v>
      </c>
    </row>
    <row r="277" spans="18:22">
      <c r="R277" t="str">
        <v>I-MAP-BLR-GAS-NETS_E0</v>
      </c>
      <c r="S277" s="460" t="s">
        <v>554</v>
      </c>
      <c r="T277" t="str">
        <v>MAPHET</v>
      </c>
      <c r="U277" s="386">
        <v>0</v>
      </c>
      <c r="V277" s="385">
        <v>3</v>
      </c>
    </row>
    <row r="278" spans="18:22">
      <c r="R278" t="str">
        <v>I-MAP-FRN-GAS-NETS_E0</v>
      </c>
      <c r="S278" s="460" t="s">
        <v>554</v>
      </c>
      <c r="T278" t="str">
        <v>MAPHTH</v>
      </c>
      <c r="U278" s="386">
        <v>1</v>
      </c>
      <c r="V278" s="385">
        <v>3</v>
      </c>
    </row>
    <row r="279" spans="18:22">
      <c r="R279" t="str">
        <v>I-MAP-FRN-GAS-NETS_E0</v>
      </c>
      <c r="S279" s="460" t="s">
        <v>554</v>
      </c>
      <c r="T279" t="str">
        <v>MAPMTH</v>
      </c>
      <c r="U279" s="386">
        <v>0</v>
      </c>
      <c r="V279" s="385">
        <v>3</v>
      </c>
    </row>
    <row r="280" spans="18:22">
      <c r="R280" t="str">
        <v>I-MAP-FRN-GAS-NETS_E0</v>
      </c>
      <c r="S280" s="460" t="s">
        <v>554</v>
      </c>
      <c r="T280" t="str">
        <v>MAPLTH</v>
      </c>
      <c r="U280" s="386">
        <v>0</v>
      </c>
      <c r="V280" s="385">
        <v>3</v>
      </c>
    </row>
    <row r="281" spans="18:22">
      <c r="R281" t="str">
        <v>I-MAP-FRN-GAS-NETS_E0</v>
      </c>
      <c r="S281" s="460" t="s">
        <v>554</v>
      </c>
      <c r="T281" t="str">
        <v>MAPHET</v>
      </c>
      <c r="U281" s="386">
        <v>0</v>
      </c>
      <c r="V281" s="385">
        <v>3</v>
      </c>
    </row>
    <row r="282" spans="18:22">
      <c r="R282" t="str">
        <v>I-OMA-BLR-GAS-ETS_E0</v>
      </c>
      <c r="S282" s="460" t="s">
        <v>554</v>
      </c>
      <c r="T282" t="str">
        <v>OMAHTH</v>
      </c>
      <c r="U282" s="386">
        <v>0</v>
      </c>
      <c r="V282" s="385">
        <v>3</v>
      </c>
    </row>
    <row r="283" spans="18:22">
      <c r="R283" t="str">
        <v>I-OMA-BLR-GAS-ETS_E0</v>
      </c>
      <c r="S283" s="460" t="s">
        <v>554</v>
      </c>
      <c r="T283" t="str">
        <v>OMAMTH</v>
      </c>
      <c r="U283" s="386">
        <v>0</v>
      </c>
      <c r="V283" s="385">
        <v>3</v>
      </c>
    </row>
    <row r="284" spans="18:22">
      <c r="R284" t="str">
        <v>I-OMA-BLR-GAS-ETS_E0</v>
      </c>
      <c r="S284" s="460" t="s">
        <v>554</v>
      </c>
      <c r="T284" t="str">
        <v>OMALTH</v>
      </c>
      <c r="U284" s="386">
        <v>0.59999999999999987</v>
      </c>
      <c r="V284" s="385">
        <v>3</v>
      </c>
    </row>
    <row r="285" spans="18:22">
      <c r="R285" t="str">
        <v>I-OMA-BLR-GAS-ETS_E0</v>
      </c>
      <c r="S285" s="460" t="s">
        <v>554</v>
      </c>
      <c r="T285" t="str">
        <v>OMAHET</v>
      </c>
      <c r="U285" s="386">
        <v>0.4</v>
      </c>
      <c r="V285" s="385">
        <v>3</v>
      </c>
    </row>
    <row r="286" spans="18:22">
      <c r="R286" t="str">
        <v>I-OMA-CHP-GAS-ETS_E0</v>
      </c>
      <c r="S286" s="460" t="s">
        <v>554</v>
      </c>
      <c r="T286" t="str">
        <v>OMAHTH</v>
      </c>
      <c r="U286" s="386">
        <v>0</v>
      </c>
      <c r="V286" s="385">
        <v>3</v>
      </c>
    </row>
    <row r="287" spans="18:22">
      <c r="R287" t="str">
        <v>I-OMA-CHP-GAS-ETS_E0</v>
      </c>
      <c r="S287" s="460" t="s">
        <v>554</v>
      </c>
      <c r="T287" t="str">
        <v>OMAMTH</v>
      </c>
      <c r="U287" s="386">
        <v>0</v>
      </c>
      <c r="V287" s="385">
        <v>3</v>
      </c>
    </row>
    <row r="288" spans="18:22">
      <c r="R288" t="str">
        <v>I-OMA-CHP-GAS-ETS_E0</v>
      </c>
      <c r="S288" s="460" t="s">
        <v>554</v>
      </c>
      <c r="T288" t="str">
        <v>OMALTH</v>
      </c>
      <c r="U288" s="386">
        <v>1</v>
      </c>
      <c r="V288" s="385">
        <v>3</v>
      </c>
    </row>
    <row r="289" spans="18:22">
      <c r="R289" t="str">
        <v>I-OMA-CHP-GAS-ETS_E0</v>
      </c>
      <c r="S289" s="460" t="s">
        <v>554</v>
      </c>
      <c r="T289" t="str">
        <v>OMAHET</v>
      </c>
      <c r="U289" s="386">
        <v>0</v>
      </c>
      <c r="V289" s="385">
        <v>3</v>
      </c>
    </row>
    <row r="290" spans="18:22">
      <c r="R290" t="str">
        <v>I-OMA-DRR-GAS-ETS_E0</v>
      </c>
      <c r="S290" s="460" t="s">
        <v>554</v>
      </c>
      <c r="T290" t="str">
        <v>OMAHTH</v>
      </c>
      <c r="U290" s="386">
        <v>0</v>
      </c>
      <c r="V290" s="385">
        <v>3</v>
      </c>
    </row>
    <row r="291" spans="18:22">
      <c r="R291" t="str">
        <v>I-OMA-DRR-GAS-ETS_E0</v>
      </c>
      <c r="S291" s="460" t="s">
        <v>554</v>
      </c>
      <c r="T291" t="str">
        <v>OMAMTH</v>
      </c>
      <c r="U291" s="386">
        <v>0</v>
      </c>
      <c r="V291" s="385">
        <v>3</v>
      </c>
    </row>
    <row r="292" spans="18:22">
      <c r="R292" t="str">
        <v>I-OMA-DRR-GAS-ETS_E0</v>
      </c>
      <c r="S292" s="460" t="s">
        <v>554</v>
      </c>
      <c r="T292" t="str">
        <v>OMALTH</v>
      </c>
      <c r="U292" s="386">
        <v>1</v>
      </c>
      <c r="V292" s="385">
        <v>3</v>
      </c>
    </row>
    <row r="293" spans="18:22">
      <c r="R293" t="str">
        <v>I-OMA-DRR-GAS-ETS_E0</v>
      </c>
      <c r="S293" s="460" t="s">
        <v>554</v>
      </c>
      <c r="T293" t="str">
        <v>OMAHET</v>
      </c>
      <c r="U293" s="386">
        <v>0</v>
      </c>
      <c r="V293" s="385">
        <v>3</v>
      </c>
    </row>
    <row r="294" spans="18:22">
      <c r="R294" t="str">
        <v>I-OMA-BLR-OIL-NETS_E0</v>
      </c>
      <c r="S294" s="460" t="s">
        <v>554</v>
      </c>
      <c r="T294" t="str">
        <v>OMAHTH</v>
      </c>
      <c r="U294" s="386">
        <v>0</v>
      </c>
      <c r="V294" s="385">
        <v>3</v>
      </c>
    </row>
    <row r="295" spans="18:22">
      <c r="R295" t="str">
        <v>I-OMA-BLR-OIL-NETS_E0</v>
      </c>
      <c r="S295" s="460" t="s">
        <v>554</v>
      </c>
      <c r="T295" t="str">
        <v>OMAMTH</v>
      </c>
      <c r="U295" s="386">
        <v>0</v>
      </c>
      <c r="V295" s="385">
        <v>3</v>
      </c>
    </row>
    <row r="296" spans="18:22">
      <c r="R296" t="str">
        <v>I-OMA-BLR-OIL-NETS_E0</v>
      </c>
      <c r="S296" s="460" t="s">
        <v>554</v>
      </c>
      <c r="T296" t="str">
        <v>OMALTH</v>
      </c>
      <c r="U296" s="386">
        <v>0.59999999999999987</v>
      </c>
      <c r="V296" s="385">
        <v>3</v>
      </c>
    </row>
    <row r="297" spans="18:22">
      <c r="R297" t="str">
        <v>I-OMA-BLR-OIL-NETS_E0</v>
      </c>
      <c r="S297" s="460" t="s">
        <v>554</v>
      </c>
      <c r="T297" t="str">
        <v>OMAHET</v>
      </c>
      <c r="U297" s="386">
        <v>0.4</v>
      </c>
      <c r="V297" s="385">
        <v>3</v>
      </c>
    </row>
    <row r="298" spans="18:22">
      <c r="R298" t="str">
        <v>I-OMA-CHP-OIL-NETS_E0</v>
      </c>
      <c r="S298" s="460" t="s">
        <v>554</v>
      </c>
      <c r="T298" t="str">
        <v>OMAHTH</v>
      </c>
      <c r="U298" s="386">
        <v>0</v>
      </c>
      <c r="V298" s="385">
        <v>3</v>
      </c>
    </row>
    <row r="299" spans="18:22">
      <c r="R299" t="str">
        <v>I-OMA-CHP-OIL-NETS_E0</v>
      </c>
      <c r="S299" s="460" t="s">
        <v>554</v>
      </c>
      <c r="T299" t="str">
        <v>OMAMTH</v>
      </c>
      <c r="U299" s="386">
        <v>0</v>
      </c>
      <c r="V299" s="385">
        <v>3</v>
      </c>
    </row>
    <row r="300" spans="18:22">
      <c r="R300" t="str">
        <v>I-OMA-CHP-OIL-NETS_E0</v>
      </c>
      <c r="S300" s="460" t="s">
        <v>554</v>
      </c>
      <c r="T300" t="str">
        <v>OMALTH</v>
      </c>
      <c r="U300" s="386">
        <v>1</v>
      </c>
      <c r="V300" s="385">
        <v>3</v>
      </c>
    </row>
    <row r="301" spans="18:22">
      <c r="R301" t="str">
        <v>I-OMA-CHP-OIL-NETS_E0</v>
      </c>
      <c r="S301" s="460" t="s">
        <v>554</v>
      </c>
      <c r="T301" t="str">
        <v>OMAHET</v>
      </c>
      <c r="U301" s="386">
        <v>0</v>
      </c>
      <c r="V301" s="385">
        <v>3</v>
      </c>
    </row>
    <row r="302" spans="18:22">
      <c r="R302" t="str">
        <v>I-OMA-OVN-OIL-NETS_E0</v>
      </c>
      <c r="S302" s="460" t="s">
        <v>554</v>
      </c>
      <c r="T302" t="str">
        <v>OMAHTH</v>
      </c>
      <c r="U302" s="386">
        <v>0</v>
      </c>
      <c r="V302" s="385">
        <v>3</v>
      </c>
    </row>
    <row r="303" spans="18:22">
      <c r="R303" t="str">
        <v>I-OMA-OVN-OIL-NETS_E0</v>
      </c>
      <c r="S303" s="460" t="s">
        <v>554</v>
      </c>
      <c r="T303" t="str">
        <v>OMAMTH</v>
      </c>
      <c r="U303" s="386">
        <v>0</v>
      </c>
      <c r="V303" s="385">
        <v>3</v>
      </c>
    </row>
    <row r="304" spans="18:22">
      <c r="R304" t="str">
        <v>I-OMA-OVN-OIL-NETS_E0</v>
      </c>
      <c r="S304" s="460" t="s">
        <v>554</v>
      </c>
      <c r="T304" t="str">
        <v>OMALTH</v>
      </c>
      <c r="U304" s="386">
        <v>1</v>
      </c>
      <c r="V304" s="385">
        <v>3</v>
      </c>
    </row>
    <row r="305" spans="18:22">
      <c r="R305" t="str">
        <v>I-OMA-OVN-OIL-NETS_E0</v>
      </c>
      <c r="S305" s="460" t="s">
        <v>554</v>
      </c>
      <c r="T305" t="str">
        <v>OMAHET</v>
      </c>
      <c r="U305" s="386">
        <v>0</v>
      </c>
      <c r="V305" s="385">
        <v>3</v>
      </c>
    </row>
    <row r="306" spans="18:22">
      <c r="R306" t="str">
        <v>I-OMA-FRN-OIL-NETS_E0</v>
      </c>
      <c r="S306" s="460" t="s">
        <v>554</v>
      </c>
      <c r="T306" t="str">
        <v>OMAHTH</v>
      </c>
      <c r="U306" s="386">
        <v>1</v>
      </c>
      <c r="V306" s="385">
        <v>3</v>
      </c>
    </row>
    <row r="307" spans="18:22">
      <c r="R307" t="str">
        <v>I-OMA-FRN-OIL-NETS_E0</v>
      </c>
      <c r="S307" s="460" t="s">
        <v>554</v>
      </c>
      <c r="T307" t="str">
        <v>OMAMTH</v>
      </c>
      <c r="U307" s="386">
        <v>0</v>
      </c>
      <c r="V307" s="385">
        <v>3</v>
      </c>
    </row>
    <row r="308" spans="18:22">
      <c r="R308" t="str">
        <v>I-OMA-FRN-OIL-NETS_E0</v>
      </c>
      <c r="S308" s="460" t="s">
        <v>554</v>
      </c>
      <c r="T308" t="str">
        <v>OMALTH</v>
      </c>
      <c r="U308" s="386">
        <v>0</v>
      </c>
      <c r="V308" s="385">
        <v>3</v>
      </c>
    </row>
    <row r="309" spans="18:22">
      <c r="R309" t="str">
        <v>I-OMA-FRN-OIL-NETS_E0</v>
      </c>
      <c r="S309" s="460" t="s">
        <v>554</v>
      </c>
      <c r="T309" t="str">
        <v>OMAHET</v>
      </c>
      <c r="U309" s="386">
        <v>0</v>
      </c>
      <c r="V309" s="385">
        <v>3</v>
      </c>
    </row>
    <row r="310" spans="18:22">
      <c r="R310" t="str">
        <v>I-OMA-DRR-OIL-NETS_E0</v>
      </c>
      <c r="S310" s="460" t="s">
        <v>554</v>
      </c>
      <c r="T310" t="str">
        <v>OMAHTH</v>
      </c>
      <c r="U310" s="386">
        <v>0</v>
      </c>
      <c r="V310" s="385">
        <v>3</v>
      </c>
    </row>
    <row r="311" spans="18:22">
      <c r="R311" t="str">
        <v>I-OMA-DRR-OIL-NETS_E0</v>
      </c>
      <c r="S311" s="460" t="s">
        <v>554</v>
      </c>
      <c r="T311" t="str">
        <v>OMAMTH</v>
      </c>
      <c r="U311" s="386">
        <v>0</v>
      </c>
      <c r="V311" s="385">
        <v>3</v>
      </c>
    </row>
    <row r="312" spans="18:22">
      <c r="R312" t="str">
        <v>I-OMA-DRR-OIL-NETS_E0</v>
      </c>
      <c r="S312" s="460" t="s">
        <v>554</v>
      </c>
      <c r="T312" t="str">
        <v>OMALTH</v>
      </c>
      <c r="U312" s="386">
        <v>1</v>
      </c>
      <c r="V312" s="385">
        <v>3</v>
      </c>
    </row>
    <row r="313" spans="18:22">
      <c r="R313" t="str">
        <v>I-OMA-DRR-OIL-NETS_E0</v>
      </c>
      <c r="S313" s="460" t="s">
        <v>554</v>
      </c>
      <c r="T313" t="str">
        <v>OMAHET</v>
      </c>
      <c r="U313" s="386">
        <v>0</v>
      </c>
      <c r="V313" s="385">
        <v>3</v>
      </c>
    </row>
    <row r="314" spans="18:22">
      <c r="R314" t="str">
        <v>I-OMA-BLR-GAS-NETS_E0</v>
      </c>
      <c r="S314" s="460" t="s">
        <v>554</v>
      </c>
      <c r="T314" t="str">
        <v>OMAHTH</v>
      </c>
      <c r="U314" s="386">
        <v>0</v>
      </c>
      <c r="V314" s="385">
        <v>3</v>
      </c>
    </row>
    <row r="315" spans="18:22">
      <c r="R315" t="str">
        <v>I-OMA-BLR-GAS-NETS_E0</v>
      </c>
      <c r="S315" s="460" t="s">
        <v>554</v>
      </c>
      <c r="T315" t="str">
        <v>OMAMTH</v>
      </c>
      <c r="U315" s="386">
        <v>0</v>
      </c>
      <c r="V315" s="385">
        <v>3</v>
      </c>
    </row>
    <row r="316" spans="18:22">
      <c r="R316" t="str">
        <v>I-OMA-BLR-GAS-NETS_E0</v>
      </c>
      <c r="S316" s="460" t="s">
        <v>554</v>
      </c>
      <c r="T316" t="str">
        <v>OMALTH</v>
      </c>
      <c r="U316" s="386">
        <v>0.59999999999999987</v>
      </c>
      <c r="V316" s="385">
        <v>3</v>
      </c>
    </row>
    <row r="317" spans="18:22">
      <c r="R317" t="str">
        <v>I-OMA-BLR-GAS-NETS_E0</v>
      </c>
      <c r="S317" s="460" t="s">
        <v>554</v>
      </c>
      <c r="T317" t="str">
        <v>OMAHET</v>
      </c>
      <c r="U317" s="386">
        <v>0.4</v>
      </c>
      <c r="V317" s="385">
        <v>3</v>
      </c>
    </row>
    <row r="318" spans="18:22">
      <c r="R318" t="str">
        <v>I-OMA-CHP-GAS-NETS_E0</v>
      </c>
      <c r="S318" s="460" t="s">
        <v>554</v>
      </c>
      <c r="T318" t="str">
        <v>OMAHTH</v>
      </c>
      <c r="U318" s="386">
        <v>0</v>
      </c>
      <c r="V318" s="385">
        <v>3</v>
      </c>
    </row>
    <row r="319" spans="18:22">
      <c r="R319" t="str">
        <v>I-OMA-CHP-GAS-NETS_E0</v>
      </c>
      <c r="S319" s="460" t="s">
        <v>554</v>
      </c>
      <c r="T319" t="str">
        <v>OMAMTH</v>
      </c>
      <c r="U319" s="386">
        <v>0</v>
      </c>
      <c r="V319" s="385">
        <v>3</v>
      </c>
    </row>
    <row r="320" spans="18:22">
      <c r="R320" t="str">
        <v>I-OMA-CHP-GAS-NETS_E0</v>
      </c>
      <c r="S320" s="460" t="s">
        <v>554</v>
      </c>
      <c r="T320" t="str">
        <v>OMALTH</v>
      </c>
      <c r="U320" s="386">
        <v>1</v>
      </c>
      <c r="V320" s="385">
        <v>3</v>
      </c>
    </row>
    <row r="321" spans="18:22">
      <c r="R321" t="str">
        <v>I-OMA-CHP-GAS-NETS_E0</v>
      </c>
      <c r="S321" s="460" t="s">
        <v>554</v>
      </c>
      <c r="T321" t="str">
        <v>OMAHET</v>
      </c>
      <c r="U321" s="386">
        <v>0</v>
      </c>
      <c r="V321" s="385">
        <v>3</v>
      </c>
    </row>
    <row r="322" spans="18:22">
      <c r="R322" t="str">
        <v>I-OMA-OVN-GAS-NETS_E0</v>
      </c>
      <c r="S322" s="460" t="s">
        <v>554</v>
      </c>
      <c r="T322" t="str">
        <v>OMAHTH</v>
      </c>
      <c r="U322" s="386">
        <v>0</v>
      </c>
      <c r="V322" s="385">
        <v>3</v>
      </c>
    </row>
    <row r="323" spans="18:22">
      <c r="R323" t="str">
        <v>I-OMA-OVN-GAS-NETS_E0</v>
      </c>
      <c r="S323" s="460" t="s">
        <v>554</v>
      </c>
      <c r="T323" t="str">
        <v>OMAMTH</v>
      </c>
      <c r="U323" s="386">
        <v>0</v>
      </c>
      <c r="V323" s="385">
        <v>3</v>
      </c>
    </row>
    <row r="324" spans="18:22">
      <c r="R324" t="str">
        <v>I-OMA-OVN-GAS-NETS_E0</v>
      </c>
      <c r="S324" s="460" t="s">
        <v>554</v>
      </c>
      <c r="T324" t="str">
        <v>OMALTH</v>
      </c>
      <c r="U324" s="386">
        <v>1</v>
      </c>
      <c r="V324" s="385">
        <v>3</v>
      </c>
    </row>
    <row r="325" spans="18:22">
      <c r="R325" t="str">
        <v>I-OMA-OVN-GAS-NETS_E0</v>
      </c>
      <c r="S325" s="460" t="s">
        <v>554</v>
      </c>
      <c r="T325" t="str">
        <v>OMAHET</v>
      </c>
      <c r="U325" s="386">
        <v>0</v>
      </c>
      <c r="V325" s="385">
        <v>3</v>
      </c>
    </row>
    <row r="326" spans="18:22">
      <c r="R326" t="str">
        <v>I-OMA-FRN-GAS-NETS_E0</v>
      </c>
      <c r="S326" s="460" t="s">
        <v>554</v>
      </c>
      <c r="T326" t="str">
        <v>OMAHTH</v>
      </c>
      <c r="U326" s="386">
        <v>1</v>
      </c>
      <c r="V326" s="385">
        <v>3</v>
      </c>
    </row>
    <row r="327" spans="18:22">
      <c r="R327" t="str">
        <v>I-OMA-FRN-GAS-NETS_E0</v>
      </c>
      <c r="S327" s="460" t="s">
        <v>554</v>
      </c>
      <c r="T327" t="str">
        <v>OMAMTH</v>
      </c>
      <c r="U327" s="386">
        <v>0</v>
      </c>
      <c r="V327" s="385">
        <v>3</v>
      </c>
    </row>
    <row r="328" spans="18:22">
      <c r="R328" t="str">
        <v>I-OMA-FRN-GAS-NETS_E0</v>
      </c>
      <c r="S328" s="460" t="s">
        <v>554</v>
      </c>
      <c r="T328" t="str">
        <v>OMALTH</v>
      </c>
      <c r="U328" s="386">
        <v>0</v>
      </c>
      <c r="V328" s="385">
        <v>3</v>
      </c>
    </row>
    <row r="329" spans="18:22">
      <c r="R329" t="str">
        <v>I-OMA-FRN-GAS-NETS_E0</v>
      </c>
      <c r="S329" s="460" t="s">
        <v>554</v>
      </c>
      <c r="T329" t="str">
        <v>OMAHET</v>
      </c>
      <c r="U329" s="386">
        <v>0</v>
      </c>
      <c r="V329" s="385">
        <v>3</v>
      </c>
    </row>
    <row r="330" spans="18:22">
      <c r="R330" t="str">
        <v>I-OMA-DRR-GAS-NETS_E0</v>
      </c>
      <c r="S330" s="460" t="s">
        <v>554</v>
      </c>
      <c r="T330" t="str">
        <v>OMAHTH</v>
      </c>
      <c r="U330" s="386">
        <v>0</v>
      </c>
      <c r="V330" s="385">
        <v>3</v>
      </c>
    </row>
    <row r="331" spans="18:22">
      <c r="R331" t="str">
        <v>I-OMA-DRR-GAS-NETS_E0</v>
      </c>
      <c r="S331" s="460" t="s">
        <v>554</v>
      </c>
      <c r="T331" t="str">
        <v>OMAMTH</v>
      </c>
      <c r="U331" s="386">
        <v>0</v>
      </c>
      <c r="V331" s="385">
        <v>3</v>
      </c>
    </row>
    <row r="332" spans="18:22">
      <c r="R332" t="str">
        <v>I-OMA-DRR-GAS-NETS_E0</v>
      </c>
      <c r="S332" s="460" t="s">
        <v>554</v>
      </c>
      <c r="T332" t="str">
        <v>OMALTH</v>
      </c>
      <c r="U332" s="386">
        <v>1</v>
      </c>
      <c r="V332" s="385">
        <v>3</v>
      </c>
    </row>
    <row r="333" spans="18:22">
      <c r="R333" t="str">
        <v>I-OMA-DRR-GAS-NETS_E0</v>
      </c>
      <c r="S333" s="460" t="s">
        <v>554</v>
      </c>
      <c r="T333" t="str">
        <v>OMAHET</v>
      </c>
      <c r="U333" s="386">
        <v>0</v>
      </c>
      <c r="V333" s="385">
        <v>3</v>
      </c>
    </row>
    <row r="334" spans="18:22">
      <c r="R334" t="str">
        <v>I-ONM-BLR-COA-ETS_E0</v>
      </c>
      <c r="S334" s="460" t="s">
        <v>554</v>
      </c>
      <c r="T334" t="str">
        <v>ONMHTH</v>
      </c>
      <c r="U334" s="386">
        <v>0</v>
      </c>
      <c r="V334" s="385">
        <v>3</v>
      </c>
    </row>
    <row r="335" spans="18:22">
      <c r="R335" t="str">
        <v>I-ONM-BLR-COA-ETS_E0</v>
      </c>
      <c r="S335" s="460" t="s">
        <v>554</v>
      </c>
      <c r="T335" t="str">
        <v>ONMMTH</v>
      </c>
      <c r="U335" s="386">
        <v>0</v>
      </c>
      <c r="V335" s="385">
        <v>3</v>
      </c>
    </row>
    <row r="336" spans="18:22">
      <c r="R336" t="str">
        <v>I-ONM-BLR-COA-ETS_E0</v>
      </c>
      <c r="S336" s="460" t="s">
        <v>554</v>
      </c>
      <c r="T336" t="str">
        <v>ONMLTH</v>
      </c>
      <c r="U336" s="386">
        <v>1</v>
      </c>
      <c r="V336" s="385">
        <v>3</v>
      </c>
    </row>
    <row r="337" spans="18:22">
      <c r="R337" t="str">
        <v>I-ONM-BLR-COA-ETS_E0</v>
      </c>
      <c r="S337" s="460" t="s">
        <v>554</v>
      </c>
      <c r="T337" t="str">
        <v>ONMHET</v>
      </c>
      <c r="U337" s="386">
        <v>0</v>
      </c>
      <c r="V337" s="385">
        <v>3</v>
      </c>
    </row>
    <row r="338" spans="18:22">
      <c r="R338" t="str">
        <v>I-ONM-DRR-COA-ETS_E0</v>
      </c>
      <c r="S338" s="460" t="s">
        <v>554</v>
      </c>
      <c r="T338" t="str">
        <v>ONMHTH</v>
      </c>
      <c r="U338" s="386">
        <v>0</v>
      </c>
      <c r="V338" s="385">
        <v>3</v>
      </c>
    </row>
    <row r="339" spans="18:22">
      <c r="R339" t="str">
        <v>I-ONM-DRR-COA-ETS_E0</v>
      </c>
      <c r="S339" s="460" t="s">
        <v>554</v>
      </c>
      <c r="T339" t="str">
        <v>ONMMTH</v>
      </c>
      <c r="U339" s="386">
        <v>1</v>
      </c>
      <c r="V339" s="385">
        <v>3</v>
      </c>
    </row>
    <row r="340" spans="18:22">
      <c r="R340" t="str">
        <v>I-ONM-DRR-COA-ETS_E0</v>
      </c>
      <c r="S340" s="460" t="s">
        <v>554</v>
      </c>
      <c r="T340" t="str">
        <v>ONMLTH</v>
      </c>
      <c r="U340" s="386">
        <v>0</v>
      </c>
      <c r="V340" s="385">
        <v>3</v>
      </c>
    </row>
    <row r="341" spans="18:22">
      <c r="R341" t="str">
        <v>I-ONM-DRR-COA-ETS_E0</v>
      </c>
      <c r="S341" s="460" t="s">
        <v>554</v>
      </c>
      <c r="T341" t="str">
        <v>ONMHET</v>
      </c>
      <c r="U341" s="386">
        <v>0</v>
      </c>
      <c r="V341" s="385">
        <v>3</v>
      </c>
    </row>
    <row r="342" spans="18:22">
      <c r="R342" t="str">
        <v>I-ONM-OKL-GAS-ETS_E0</v>
      </c>
      <c r="S342" s="460" t="s">
        <v>554</v>
      </c>
      <c r="T342" t="str">
        <v>ONMHTH</v>
      </c>
      <c r="U342" s="386">
        <v>1</v>
      </c>
      <c r="V342" s="385">
        <v>3</v>
      </c>
    </row>
    <row r="343" spans="18:22">
      <c r="R343" t="str">
        <v>I-ONM-OKL-GAS-ETS_E0</v>
      </c>
      <c r="S343" s="460" t="s">
        <v>554</v>
      </c>
      <c r="T343" t="str">
        <v>ONMMTH</v>
      </c>
      <c r="U343" s="386">
        <v>0</v>
      </c>
      <c r="V343" s="385">
        <v>3</v>
      </c>
    </row>
    <row r="344" spans="18:22">
      <c r="R344" t="str">
        <v>I-ONM-OKL-GAS-ETS_E0</v>
      </c>
      <c r="S344" s="460" t="s">
        <v>554</v>
      </c>
      <c r="T344" t="str">
        <v>ONMLTH</v>
      </c>
      <c r="U344" s="386">
        <v>0</v>
      </c>
      <c r="V344" s="385">
        <v>3</v>
      </c>
    </row>
    <row r="345" spans="18:22">
      <c r="R345" t="str">
        <v>I-ONM-OKL-GAS-ETS_E0</v>
      </c>
      <c r="S345" s="460" t="s">
        <v>554</v>
      </c>
      <c r="T345" t="str">
        <v>ONMHET</v>
      </c>
      <c r="U345" s="386">
        <v>0</v>
      </c>
      <c r="V345" s="385">
        <v>3</v>
      </c>
    </row>
    <row r="346" spans="18:22">
      <c r="R346" t="str">
        <v>I-ONM-BLR-GAS-ETS_E0</v>
      </c>
      <c r="S346" s="460" t="s">
        <v>554</v>
      </c>
      <c r="T346" t="str">
        <v>ONMHTH</v>
      </c>
      <c r="U346" s="386">
        <v>0</v>
      </c>
      <c r="V346" s="385">
        <v>3</v>
      </c>
    </row>
    <row r="347" spans="18:22">
      <c r="R347" t="str">
        <v>I-ONM-BLR-GAS-ETS_E0</v>
      </c>
      <c r="S347" s="460" t="s">
        <v>554</v>
      </c>
      <c r="T347" t="str">
        <v>ONMMTH</v>
      </c>
      <c r="U347" s="386">
        <v>0</v>
      </c>
      <c r="V347" s="385">
        <v>3</v>
      </c>
    </row>
    <row r="348" spans="18:22">
      <c r="R348" t="str">
        <v>I-ONM-BLR-GAS-ETS_E0</v>
      </c>
      <c r="S348" s="460" t="s">
        <v>554</v>
      </c>
      <c r="T348" t="str">
        <v>ONMLTH</v>
      </c>
      <c r="U348" s="386">
        <v>1</v>
      </c>
      <c r="V348" s="385">
        <v>3</v>
      </c>
    </row>
    <row r="349" spans="18:22">
      <c r="R349" t="str">
        <v>I-ONM-BLR-GAS-ETS_E0</v>
      </c>
      <c r="S349" s="460" t="s">
        <v>554</v>
      </c>
      <c r="T349" t="str">
        <v>ONMHET</v>
      </c>
      <c r="U349" s="386">
        <v>0</v>
      </c>
      <c r="V349" s="385">
        <v>3</v>
      </c>
    </row>
    <row r="350" spans="18:22">
      <c r="R350" t="str">
        <v>I-ONM-DRR-GAS-ETS_E0</v>
      </c>
      <c r="S350" s="460" t="s">
        <v>554</v>
      </c>
      <c r="T350" t="str">
        <v>ONMHTH</v>
      </c>
      <c r="U350" s="386">
        <v>0</v>
      </c>
      <c r="V350" s="385">
        <v>3</v>
      </c>
    </row>
    <row r="351" spans="18:22">
      <c r="R351" t="str">
        <v>I-ONM-DRR-GAS-ETS_E0</v>
      </c>
      <c r="S351" s="460" t="s">
        <v>554</v>
      </c>
      <c r="T351" t="str">
        <v>ONMMTH</v>
      </c>
      <c r="U351" s="386">
        <v>1</v>
      </c>
      <c r="V351" s="385">
        <v>3</v>
      </c>
    </row>
    <row r="352" spans="18:22">
      <c r="R352" t="str">
        <v>I-ONM-DRR-GAS-ETS_E0</v>
      </c>
      <c r="S352" s="460" t="s">
        <v>554</v>
      </c>
      <c r="T352" t="str">
        <v>ONMLTH</v>
      </c>
      <c r="U352" s="386">
        <v>0</v>
      </c>
      <c r="V352" s="385">
        <v>3</v>
      </c>
    </row>
    <row r="353" spans="18:22">
      <c r="R353" t="str">
        <v>I-ONM-DRR-GAS-ETS_E0</v>
      </c>
      <c r="S353" s="460" t="s">
        <v>554</v>
      </c>
      <c r="T353" t="str">
        <v>ONMHET</v>
      </c>
      <c r="U353" s="386">
        <v>0</v>
      </c>
      <c r="V353" s="385">
        <v>3</v>
      </c>
    </row>
    <row r="354" spans="18:22">
      <c r="R354" t="str">
        <v>I-ONM-OKL-BIO-NETS_E0</v>
      </c>
      <c r="S354" s="460" t="s">
        <v>554</v>
      </c>
      <c r="T354" t="str">
        <v>ONMHTH</v>
      </c>
      <c r="U354" s="386">
        <v>1</v>
      </c>
      <c r="V354" s="385">
        <v>3</v>
      </c>
    </row>
    <row r="355" spans="18:22">
      <c r="R355" t="str">
        <v>I-ONM-OKL-BIO-NETS_E0</v>
      </c>
      <c r="S355" s="460" t="s">
        <v>554</v>
      </c>
      <c r="T355" t="str">
        <v>ONMMTH</v>
      </c>
      <c r="U355" s="386">
        <v>0</v>
      </c>
      <c r="V355" s="385">
        <v>3</v>
      </c>
    </row>
    <row r="356" spans="18:22">
      <c r="R356" t="str">
        <v>I-ONM-OKL-BIO-NETS_E0</v>
      </c>
      <c r="S356" s="460" t="s">
        <v>554</v>
      </c>
      <c r="T356" t="str">
        <v>ONMLTH</v>
      </c>
      <c r="U356" s="386">
        <v>0</v>
      </c>
      <c r="V356" s="385">
        <v>3</v>
      </c>
    </row>
    <row r="357" spans="18:22">
      <c r="R357" t="str">
        <v>I-ONM-OKL-BIO-NETS_E0</v>
      </c>
      <c r="S357" s="460" t="s">
        <v>554</v>
      </c>
      <c r="T357" t="str">
        <v>ONMHET</v>
      </c>
      <c r="U357" s="386">
        <v>0</v>
      </c>
      <c r="V357" s="385">
        <v>3</v>
      </c>
    </row>
    <row r="358" spans="18:22">
      <c r="R358" t="str">
        <v>I-ONM-BLR-BIO-NETS_E0</v>
      </c>
      <c r="S358" s="460" t="s">
        <v>554</v>
      </c>
      <c r="T358" t="str">
        <v>ONMHTH</v>
      </c>
      <c r="U358" s="386">
        <v>0</v>
      </c>
      <c r="V358" s="385">
        <v>3</v>
      </c>
    </row>
    <row r="359" spans="18:22">
      <c r="R359" t="str">
        <v>I-ONM-BLR-BIO-NETS_E0</v>
      </c>
      <c r="S359" s="460" t="s">
        <v>554</v>
      </c>
      <c r="T359" t="str">
        <v>ONMMTH</v>
      </c>
      <c r="U359" s="386">
        <v>0</v>
      </c>
      <c r="V359" s="385">
        <v>3</v>
      </c>
    </row>
    <row r="360" spans="18:22">
      <c r="R360" t="str">
        <v>I-ONM-BLR-BIO-NETS_E0</v>
      </c>
      <c r="S360" s="460" t="s">
        <v>554</v>
      </c>
      <c r="T360" t="str">
        <v>ONMLTH</v>
      </c>
      <c r="U360" s="386">
        <v>1</v>
      </c>
      <c r="V360" s="385">
        <v>3</v>
      </c>
    </row>
    <row r="361" spans="18:22">
      <c r="R361" t="str">
        <v>I-ONM-BLR-BIO-NETS_E0</v>
      </c>
      <c r="S361" s="460" t="s">
        <v>554</v>
      </c>
      <c r="T361" t="str">
        <v>ONMHET</v>
      </c>
      <c r="U361" s="386">
        <v>0</v>
      </c>
      <c r="V361" s="385">
        <v>3</v>
      </c>
    </row>
    <row r="362" spans="18:22">
      <c r="R362" t="str">
        <v>I-ONM-DRR-BIO-NETS_E0</v>
      </c>
      <c r="S362" s="460" t="s">
        <v>554</v>
      </c>
      <c r="T362" t="str">
        <v>ONMHTH</v>
      </c>
      <c r="U362" s="386">
        <v>0</v>
      </c>
      <c r="V362" s="385">
        <v>3</v>
      </c>
    </row>
    <row r="363" spans="18:22">
      <c r="R363" t="str">
        <v>I-ONM-DRR-BIO-NETS_E0</v>
      </c>
      <c r="S363" s="460" t="s">
        <v>554</v>
      </c>
      <c r="T363" t="str">
        <v>ONMMTH</v>
      </c>
      <c r="U363" s="386">
        <v>1</v>
      </c>
      <c r="V363" s="385">
        <v>3</v>
      </c>
    </row>
    <row r="364" spans="18:22">
      <c r="R364" t="str">
        <v>I-ONM-DRR-BIO-NETS_E0</v>
      </c>
      <c r="S364" s="460" t="s">
        <v>554</v>
      </c>
      <c r="T364" t="str">
        <v>ONMLTH</v>
      </c>
      <c r="U364" s="386">
        <v>0</v>
      </c>
      <c r="V364" s="385">
        <v>3</v>
      </c>
    </row>
    <row r="365" spans="18:22">
      <c r="R365" t="str">
        <v>I-ONM-DRR-BIO-NETS_E0</v>
      </c>
      <c r="S365" s="460" t="s">
        <v>554</v>
      </c>
      <c r="T365" t="str">
        <v>ONMHET</v>
      </c>
      <c r="U365" s="386">
        <v>0</v>
      </c>
      <c r="V365" s="385">
        <v>3</v>
      </c>
    </row>
    <row r="366" spans="18:22">
      <c r="R366" t="str">
        <v>I-ONM-OKL-OIL-NETS_E0</v>
      </c>
      <c r="S366" s="460" t="s">
        <v>554</v>
      </c>
      <c r="T366" t="str">
        <v>ONMHTH</v>
      </c>
      <c r="U366" s="386">
        <v>1</v>
      </c>
      <c r="V366" s="385">
        <v>3</v>
      </c>
    </row>
    <row r="367" spans="18:22">
      <c r="R367" t="str">
        <v>I-ONM-OKL-OIL-NETS_E0</v>
      </c>
      <c r="S367" s="460" t="s">
        <v>554</v>
      </c>
      <c r="T367" t="str">
        <v>ONMMTH</v>
      </c>
      <c r="U367" s="386">
        <v>0</v>
      </c>
      <c r="V367" s="385">
        <v>3</v>
      </c>
    </row>
    <row r="368" spans="18:22">
      <c r="R368" t="str">
        <v>I-ONM-OKL-OIL-NETS_E0</v>
      </c>
      <c r="S368" s="460" t="s">
        <v>554</v>
      </c>
      <c r="T368" t="str">
        <v>ONMLTH</v>
      </c>
      <c r="U368" s="386">
        <v>0</v>
      </c>
      <c r="V368" s="385">
        <v>3</v>
      </c>
    </row>
    <row r="369" spans="18:22">
      <c r="R369" t="str">
        <v>I-ONM-OKL-OIL-NETS_E0</v>
      </c>
      <c r="S369" s="460" t="s">
        <v>554</v>
      </c>
      <c r="T369" t="str">
        <v>ONMHET</v>
      </c>
      <c r="U369" s="386">
        <v>0</v>
      </c>
      <c r="V369" s="385">
        <v>3</v>
      </c>
    </row>
    <row r="370" spans="18:22">
      <c r="R370" t="str">
        <v>I-ONM-BLR-OIL-NETS_E0</v>
      </c>
      <c r="S370" s="460" t="s">
        <v>554</v>
      </c>
      <c r="T370" t="str">
        <v>ONMHTH</v>
      </c>
      <c r="U370" s="386">
        <v>0</v>
      </c>
      <c r="V370" s="385">
        <v>3</v>
      </c>
    </row>
    <row r="371" spans="18:22">
      <c r="R371" t="str">
        <v>I-ONM-BLR-OIL-NETS_E0</v>
      </c>
      <c r="S371" s="460" t="s">
        <v>554</v>
      </c>
      <c r="T371" t="str">
        <v>ONMMTH</v>
      </c>
      <c r="U371" s="386">
        <v>0</v>
      </c>
      <c r="V371" s="385">
        <v>3</v>
      </c>
    </row>
    <row r="372" spans="18:22">
      <c r="R372" t="str">
        <v>I-ONM-BLR-OIL-NETS_E0</v>
      </c>
      <c r="S372" s="460" t="s">
        <v>554</v>
      </c>
      <c r="T372" t="str">
        <v>ONMLTH</v>
      </c>
      <c r="U372" s="386">
        <v>1</v>
      </c>
      <c r="V372" s="385">
        <v>3</v>
      </c>
    </row>
    <row r="373" spans="18:22">
      <c r="R373" t="str">
        <v>I-ONM-BLR-OIL-NETS_E0</v>
      </c>
      <c r="S373" s="460" t="s">
        <v>554</v>
      </c>
      <c r="T373" t="str">
        <v>ONMHET</v>
      </c>
      <c r="U373" s="386">
        <v>0</v>
      </c>
      <c r="V373" s="385">
        <v>3</v>
      </c>
    </row>
    <row r="374" spans="18:22">
      <c r="R374" t="str">
        <v>I-ONM-DRR-OIL-NETS_E0</v>
      </c>
      <c r="S374" s="460" t="s">
        <v>554</v>
      </c>
      <c r="T374" t="str">
        <v>ONMHTH</v>
      </c>
      <c r="U374" s="386">
        <v>0</v>
      </c>
      <c r="V374" s="385">
        <v>3</v>
      </c>
    </row>
    <row r="375" spans="18:22">
      <c r="R375" t="str">
        <v>I-ONM-DRR-OIL-NETS_E0</v>
      </c>
      <c r="S375" s="460" t="s">
        <v>554</v>
      </c>
      <c r="T375" t="str">
        <v>ONMMTH</v>
      </c>
      <c r="U375" s="386">
        <v>1</v>
      </c>
      <c r="V375" s="385">
        <v>3</v>
      </c>
    </row>
    <row r="376" spans="18:22">
      <c r="R376" t="str">
        <v>I-ONM-DRR-OIL-NETS_E0</v>
      </c>
      <c r="S376" s="460" t="s">
        <v>554</v>
      </c>
      <c r="T376" t="str">
        <v>ONMLTH</v>
      </c>
      <c r="U376" s="386">
        <v>0</v>
      </c>
      <c r="V376" s="385">
        <v>3</v>
      </c>
    </row>
    <row r="377" spans="18:22">
      <c r="R377" t="str">
        <v>I-ONM-DRR-OIL-NETS_E0</v>
      </c>
      <c r="S377" s="460" t="s">
        <v>554</v>
      </c>
      <c r="T377" t="str">
        <v>ONMHET</v>
      </c>
      <c r="U377" s="386">
        <v>0</v>
      </c>
      <c r="V377" s="385">
        <v>3</v>
      </c>
    </row>
    <row r="378" spans="18:22">
      <c r="R378" t="str">
        <v>\I:  I-REF-BLR-GAS-ETS_E0</v>
      </c>
      <c r="S378" s="460" t="s">
        <v>554</v>
      </c>
      <c r="T378" t="str">
        <v>REFHTH</v>
      </c>
      <c r="U378" s="386">
        <v>0</v>
      </c>
      <c r="V378" s="385">
        <v>3</v>
      </c>
    </row>
    <row r="379" spans="18:22">
      <c r="R379" t="str">
        <v>\I:  I-REF-BLR-GAS-ETS_E0</v>
      </c>
      <c r="S379" s="460" t="s">
        <v>554</v>
      </c>
      <c r="T379" t="str">
        <v>REFMTH</v>
      </c>
      <c r="U379" s="386">
        <v>1</v>
      </c>
      <c r="V379" s="385">
        <v>3</v>
      </c>
    </row>
    <row r="380" spans="18:22">
      <c r="R380" t="str">
        <v>\I:  I-REF-BLR-GAS-ETS_E0</v>
      </c>
      <c r="S380" s="460" t="s">
        <v>554</v>
      </c>
      <c r="T380" t="str">
        <v>REFLTH</v>
      </c>
      <c r="U380" s="386">
        <v>0</v>
      </c>
      <c r="V380" s="385">
        <v>3</v>
      </c>
    </row>
    <row r="381" spans="18:22">
      <c r="R381" t="str">
        <v>\I:  I-REF-BLR-GAS-ETS_E0</v>
      </c>
      <c r="S381" s="460" t="s">
        <v>554</v>
      </c>
      <c r="T381" t="str">
        <v>REFHET</v>
      </c>
      <c r="U381" s="386">
        <v>0</v>
      </c>
      <c r="V381" s="385">
        <v>3</v>
      </c>
    </row>
    <row r="382" spans="18:22">
      <c r="R382" t="str">
        <v>\I:  I-REF-CHP-GAS-ETS_E0</v>
      </c>
      <c r="S382" s="460" t="s">
        <v>554</v>
      </c>
      <c r="T382" t="str">
        <v>REFHTH</v>
      </c>
      <c r="U382" s="386">
        <v>0</v>
      </c>
      <c r="V382" s="385">
        <v>3</v>
      </c>
    </row>
    <row r="383" spans="18:22">
      <c r="R383" t="str">
        <v>\I:  I-REF-CHP-GAS-ETS_E0</v>
      </c>
      <c r="S383" s="460" t="s">
        <v>554</v>
      </c>
      <c r="T383" t="str">
        <v>REFMTH</v>
      </c>
      <c r="U383" s="386">
        <v>1</v>
      </c>
      <c r="V383" s="385">
        <v>3</v>
      </c>
    </row>
    <row r="384" spans="18:22">
      <c r="R384" t="str">
        <v>\I:  I-REF-CHP-GAS-ETS_E0</v>
      </c>
      <c r="S384" s="460" t="s">
        <v>554</v>
      </c>
      <c r="T384" t="str">
        <v>REFLTH</v>
      </c>
      <c r="U384" s="386">
        <v>0</v>
      </c>
      <c r="V384" s="385">
        <v>3</v>
      </c>
    </row>
    <row r="385" spans="18:22">
      <c r="R385" t="str">
        <v>\I:  I-REF-CHP-GAS-ETS_E0</v>
      </c>
      <c r="S385" s="460" t="s">
        <v>554</v>
      </c>
      <c r="T385" t="str">
        <v>REFHET</v>
      </c>
      <c r="U385" s="386">
        <v>0</v>
      </c>
      <c r="V385" s="385">
        <v>3</v>
      </c>
    </row>
    <row r="386" spans="18:22">
      <c r="R386" t="str">
        <v>\I:  I-REF-FRN-GAS-ETS_E0</v>
      </c>
      <c r="S386" s="460" t="s">
        <v>554</v>
      </c>
      <c r="T386" t="str">
        <v>REFHTH</v>
      </c>
      <c r="U386" s="386">
        <v>0</v>
      </c>
      <c r="V386" s="385">
        <v>3</v>
      </c>
    </row>
    <row r="387" spans="18:22">
      <c r="R387" t="str">
        <v>\I:  I-REF-FRN-GAS-ETS_E0</v>
      </c>
      <c r="S387" s="460" t="s">
        <v>554</v>
      </c>
      <c r="T387" t="str">
        <v>REFMTH</v>
      </c>
      <c r="U387" s="386">
        <v>1</v>
      </c>
      <c r="V387" s="385">
        <v>3</v>
      </c>
    </row>
    <row r="388" spans="18:22">
      <c r="R388" t="str">
        <v>\I:  I-REF-FRN-GAS-ETS_E0</v>
      </c>
      <c r="S388" s="460" t="s">
        <v>554</v>
      </c>
      <c r="T388" t="str">
        <v>REFLTH</v>
      </c>
      <c r="U388" s="386">
        <v>0</v>
      </c>
      <c r="V388" s="385">
        <v>3</v>
      </c>
    </row>
    <row r="389" spans="18:22">
      <c r="R389" t="str">
        <v>\I:  I-REF-FRN-GAS-ETS_E0</v>
      </c>
      <c r="S389" s="460" t="s">
        <v>554</v>
      </c>
      <c r="T389" t="str">
        <v>REFHET</v>
      </c>
      <c r="U389" s="386">
        <v>0</v>
      </c>
      <c r="V389" s="385">
        <v>3</v>
      </c>
    </row>
    <row r="390" spans="18:22">
      <c r="R390" t="str">
        <v>I-WAP-BLR-BIO-ETS_E0</v>
      </c>
      <c r="S390" s="460" t="s">
        <v>554</v>
      </c>
      <c r="T390" t="str">
        <v>WAPHTH</v>
      </c>
      <c r="U390" s="386">
        <v>0</v>
      </c>
      <c r="V390" s="385">
        <v>3</v>
      </c>
    </row>
    <row r="391" spans="18:22">
      <c r="R391" t="str">
        <v>I-WAP-BLR-BIO-ETS_E0</v>
      </c>
      <c r="S391" s="460" t="s">
        <v>554</v>
      </c>
      <c r="T391" t="str">
        <v>WAPMTH</v>
      </c>
      <c r="U391" s="386">
        <v>0</v>
      </c>
      <c r="V391" s="385">
        <v>3</v>
      </c>
    </row>
    <row r="392" spans="18:22">
      <c r="R392" t="str">
        <v>I-WAP-BLR-BIO-ETS_E0</v>
      </c>
      <c r="S392" s="460" t="s">
        <v>554</v>
      </c>
      <c r="T392" t="str">
        <v>WAPLTH</v>
      </c>
      <c r="U392" s="386">
        <v>1</v>
      </c>
      <c r="V392" s="385">
        <v>3</v>
      </c>
    </row>
    <row r="393" spans="18:22">
      <c r="R393" t="str">
        <v>I-WAP-BLR-BIO-ETS_E0</v>
      </c>
      <c r="S393" s="460" t="s">
        <v>554</v>
      </c>
      <c r="T393" t="str">
        <v>WAPHET</v>
      </c>
      <c r="U393" s="386">
        <v>0</v>
      </c>
      <c r="V393" s="385">
        <v>3</v>
      </c>
    </row>
    <row r="394" spans="18:22">
      <c r="R394" t="str">
        <v>I-WAP-DRR-BIO-ETS_E0</v>
      </c>
      <c r="S394" s="460" t="s">
        <v>554</v>
      </c>
      <c r="T394" t="str">
        <v>WAPHTH</v>
      </c>
      <c r="U394" s="386">
        <v>0</v>
      </c>
      <c r="V394" s="385">
        <v>3</v>
      </c>
    </row>
    <row r="395" spans="18:22">
      <c r="R395" t="str">
        <v>I-WAP-DRR-BIO-ETS_E0</v>
      </c>
      <c r="S395" s="460" t="s">
        <v>554</v>
      </c>
      <c r="T395" t="str">
        <v>WAPMTH</v>
      </c>
      <c r="U395" s="386">
        <v>0</v>
      </c>
      <c r="V395" s="385">
        <v>3</v>
      </c>
    </row>
    <row r="396" spans="18:22">
      <c r="R396" t="str">
        <v>I-WAP-DRR-BIO-ETS_E0</v>
      </c>
      <c r="S396" s="460" t="s">
        <v>554</v>
      </c>
      <c r="T396" t="str">
        <v>WAPLTH</v>
      </c>
      <c r="U396" s="386">
        <v>1</v>
      </c>
      <c r="V396" s="385">
        <v>3</v>
      </c>
    </row>
    <row r="397" spans="18:22">
      <c r="R397" t="str">
        <v>I-WAP-DRR-BIO-ETS_E0</v>
      </c>
      <c r="S397" s="460" t="s">
        <v>554</v>
      </c>
      <c r="T397" t="str">
        <v>WAPHET</v>
      </c>
      <c r="U397" s="386">
        <v>0</v>
      </c>
      <c r="V397" s="385">
        <v>3</v>
      </c>
    </row>
    <row r="398" spans="18:22">
      <c r="R398" t="str">
        <v>I-WAP-BLR-BIO-NETS_E0</v>
      </c>
      <c r="S398" s="460" t="s">
        <v>554</v>
      </c>
      <c r="T398" t="str">
        <v>WAPHTH</v>
      </c>
      <c r="U398" s="386">
        <v>0</v>
      </c>
      <c r="V398" s="385">
        <v>3</v>
      </c>
    </row>
    <row r="399" spans="18:22">
      <c r="R399" t="str">
        <v>I-WAP-BLR-BIO-NETS_E0</v>
      </c>
      <c r="S399" s="460" t="s">
        <v>554</v>
      </c>
      <c r="T399" t="str">
        <v>WAPMTH</v>
      </c>
      <c r="U399" s="386">
        <v>0</v>
      </c>
      <c r="V399" s="385">
        <v>3</v>
      </c>
    </row>
    <row r="400" spans="18:22">
      <c r="R400" t="str">
        <v>I-WAP-BLR-BIO-NETS_E0</v>
      </c>
      <c r="S400" s="460" t="s">
        <v>554</v>
      </c>
      <c r="T400" t="str">
        <v>WAPLTH</v>
      </c>
      <c r="U400" s="386">
        <v>1</v>
      </c>
      <c r="V400" s="385">
        <v>3</v>
      </c>
    </row>
    <row r="401" spans="18:22">
      <c r="R401" t="str">
        <v>I-WAP-BLR-BIO-NETS_E0</v>
      </c>
      <c r="S401" s="460" t="s">
        <v>554</v>
      </c>
      <c r="T401" t="str">
        <v>WAPHET</v>
      </c>
      <c r="U401" s="386">
        <v>0</v>
      </c>
      <c r="V401" s="385">
        <v>3</v>
      </c>
    </row>
    <row r="402" spans="18:22">
      <c r="R402" t="str">
        <v>I-WAP-DRR-BIO-NETS_E0</v>
      </c>
      <c r="S402" s="460" t="s">
        <v>554</v>
      </c>
      <c r="T402" t="str">
        <v>WAPHTH</v>
      </c>
      <c r="U402" s="386">
        <v>0</v>
      </c>
      <c r="V402" s="385">
        <v>3</v>
      </c>
    </row>
    <row r="403" spans="18:22">
      <c r="R403" t="str">
        <v>I-WAP-DRR-BIO-NETS_E0</v>
      </c>
      <c r="S403" s="460" t="s">
        <v>554</v>
      </c>
      <c r="T403" t="str">
        <v>WAPMTH</v>
      </c>
      <c r="U403" s="386">
        <v>0</v>
      </c>
      <c r="V403" s="385">
        <v>3</v>
      </c>
    </row>
    <row r="404" spans="18:22">
      <c r="R404" t="str">
        <v>I-WAP-DRR-BIO-NETS_E0</v>
      </c>
      <c r="S404" s="460" t="s">
        <v>554</v>
      </c>
      <c r="T404" t="str">
        <v>WAPLTH</v>
      </c>
      <c r="U404" s="386">
        <v>1</v>
      </c>
      <c r="V404" s="385">
        <v>3</v>
      </c>
    </row>
    <row r="405" spans="18:22">
      <c r="R405" t="str">
        <v>I-WAP-DRR-BIO-NETS_E0</v>
      </c>
      <c r="S405" s="460" t="s">
        <v>554</v>
      </c>
      <c r="T405" t="str">
        <v>WAPHET</v>
      </c>
      <c r="U405" s="386">
        <v>0</v>
      </c>
      <c r="V405" s="385">
        <v>3</v>
      </c>
    </row>
    <row r="406" spans="18:22">
      <c r="R406" t="str">
        <v>I-WAP-BLR-OIL-NETS_E0</v>
      </c>
      <c r="S406" s="460" t="s">
        <v>554</v>
      </c>
      <c r="T406" t="str">
        <v>WAPHTH</v>
      </c>
      <c r="U406" s="386">
        <v>0</v>
      </c>
      <c r="V406" s="385">
        <v>3</v>
      </c>
    </row>
    <row r="407" spans="18:22">
      <c r="R407" t="str">
        <v>I-WAP-BLR-OIL-NETS_E0</v>
      </c>
      <c r="S407" s="460" t="s">
        <v>554</v>
      </c>
      <c r="T407" t="str">
        <v>WAPMTH</v>
      </c>
      <c r="U407" s="386">
        <v>0</v>
      </c>
      <c r="V407" s="385">
        <v>3</v>
      </c>
    </row>
    <row r="408" spans="18:22">
      <c r="R408" t="str">
        <v>I-WAP-BLR-OIL-NETS_E0</v>
      </c>
      <c r="S408" s="460" t="s">
        <v>554</v>
      </c>
      <c r="T408" t="str">
        <v>WAPLTH</v>
      </c>
      <c r="U408" s="386">
        <v>1</v>
      </c>
      <c r="V408" s="385">
        <v>3</v>
      </c>
    </row>
    <row r="409" spans="18:22">
      <c r="R409" t="str">
        <v>I-WAP-BLR-OIL-NETS_E0</v>
      </c>
      <c r="S409" s="460" t="s">
        <v>554</v>
      </c>
      <c r="T409" t="str">
        <v>WAPHET</v>
      </c>
      <c r="U409" s="386">
        <v>0</v>
      </c>
      <c r="V409" s="385">
        <v>3</v>
      </c>
    </row>
    <row r="410" spans="18:22">
      <c r="R410" t="str">
        <v>I-WAP-DRR-OIL-NETS_E0</v>
      </c>
      <c r="S410" s="460" t="s">
        <v>554</v>
      </c>
      <c r="T410" t="str">
        <v>WAPHTH</v>
      </c>
      <c r="U410" s="386">
        <v>0</v>
      </c>
      <c r="V410" s="385">
        <v>3</v>
      </c>
    </row>
    <row r="411" spans="18:22">
      <c r="R411" t="str">
        <v>I-WAP-DRR-OIL-NETS_E0</v>
      </c>
      <c r="S411" s="460" t="s">
        <v>554</v>
      </c>
      <c r="T411" t="str">
        <v>WAPMTH</v>
      </c>
      <c r="U411" s="386">
        <v>0</v>
      </c>
      <c r="V411" s="385">
        <v>3</v>
      </c>
    </row>
    <row r="412" spans="18:22">
      <c r="R412" t="str">
        <v>I-WAP-DRR-OIL-NETS_E0</v>
      </c>
      <c r="S412" s="460" t="s">
        <v>554</v>
      </c>
      <c r="T412" t="str">
        <v>WAPLTH</v>
      </c>
      <c r="U412" s="386">
        <v>1</v>
      </c>
      <c r="V412" s="385">
        <v>3</v>
      </c>
    </row>
    <row r="413" spans="18:22">
      <c r="R413" t="str">
        <v>I-WAP-DRR-OIL-NETS_E0</v>
      </c>
      <c r="S413" s="460" t="s">
        <v>554</v>
      </c>
      <c r="T413" t="str">
        <v>WAPHET</v>
      </c>
      <c r="U413" s="386">
        <v>0</v>
      </c>
      <c r="V413" s="385">
        <v>3</v>
      </c>
    </row>
    <row r="414" spans="18:22">
      <c r="R414" t="str">
        <v>I-WAP-BLR-GAS-NETS_E0</v>
      </c>
      <c r="S414" s="460" t="s">
        <v>554</v>
      </c>
      <c r="T414" t="str">
        <v>WAPHTH</v>
      </c>
      <c r="U414" s="386">
        <v>0</v>
      </c>
      <c r="V414" s="385">
        <v>3</v>
      </c>
    </row>
    <row r="415" spans="18:22">
      <c r="R415" t="str">
        <v>I-WAP-BLR-GAS-NETS_E0</v>
      </c>
      <c r="S415" s="460" t="s">
        <v>554</v>
      </c>
      <c r="T415" t="str">
        <v>WAPMTH</v>
      </c>
      <c r="U415" s="386">
        <v>0</v>
      </c>
      <c r="V415" s="385">
        <v>3</v>
      </c>
    </row>
    <row r="416" spans="18:22">
      <c r="R416" t="str">
        <v>I-WAP-BLR-GAS-NETS_E0</v>
      </c>
      <c r="S416" s="460" t="s">
        <v>554</v>
      </c>
      <c r="T416" t="str">
        <v>WAPLTH</v>
      </c>
      <c r="U416" s="386">
        <v>1</v>
      </c>
      <c r="V416" s="385">
        <v>3</v>
      </c>
    </row>
    <row r="417" spans="18:22">
      <c r="R417" t="str">
        <v>I-WAP-BLR-GAS-NETS_E0</v>
      </c>
      <c r="S417" s="460" t="s">
        <v>554</v>
      </c>
      <c r="T417" t="str">
        <v>WAPHET</v>
      </c>
      <c r="U417" s="386">
        <v>0</v>
      </c>
      <c r="V417" s="385">
        <v>3</v>
      </c>
    </row>
    <row r="418" spans="18:22">
      <c r="R418" t="str">
        <v>I-WAP-DRR-GAS-NETS_E0</v>
      </c>
      <c r="S418" s="460" t="s">
        <v>554</v>
      </c>
      <c r="T418" t="str">
        <v>WAPHTH</v>
      </c>
      <c r="U418" s="386">
        <v>0</v>
      </c>
      <c r="V418" s="385">
        <v>3</v>
      </c>
    </row>
    <row r="419" spans="18:22">
      <c r="R419" t="str">
        <v>I-WAP-DRR-GAS-NETS_E0</v>
      </c>
      <c r="S419" s="460" t="s">
        <v>554</v>
      </c>
      <c r="T419" t="str">
        <v>WAPMTH</v>
      </c>
      <c r="U419" s="386">
        <v>0</v>
      </c>
      <c r="V419" s="385">
        <v>3</v>
      </c>
    </row>
    <row r="420" spans="18:22">
      <c r="R420" t="str">
        <v>I-WAP-DRR-GAS-NETS_E0</v>
      </c>
      <c r="S420" s="460" t="s">
        <v>554</v>
      </c>
      <c r="T420" t="str">
        <v>WAPLTH</v>
      </c>
      <c r="U420" s="386">
        <v>1</v>
      </c>
      <c r="V420" s="385">
        <v>3</v>
      </c>
    </row>
    <row r="421" spans="18:22">
      <c r="R421" t="str">
        <v>I-WAP-DRR-GAS-NETS_E0</v>
      </c>
      <c r="S421" s="460" t="s">
        <v>554</v>
      </c>
      <c r="T421" t="str">
        <v>WAPHET</v>
      </c>
      <c r="U421" s="386">
        <v>0</v>
      </c>
      <c r="V421" s="385">
        <v>3</v>
      </c>
    </row>
  </sheetData>
  <mergeCells count="1">
    <mergeCell ref="X2:A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2:U29"/>
  <sheetViews>
    <sheetView tabSelected="1" workbookViewId="0">
      <selection activeCell="F16" sqref="F16"/>
    </sheetView>
  </sheetViews>
  <sheetFormatPr defaultRowHeight="14.5"/>
  <cols>
    <col min="2" max="2" width="26.453125" bestFit="1" customWidth="1"/>
    <col min="13" max="13" width="12.1796875" bestFit="1" customWidth="1"/>
    <col min="14" max="14" width="15.7265625" bestFit="1" customWidth="1"/>
    <col min="18" max="18" width="12" bestFit="1" customWidth="1"/>
  </cols>
  <sheetData>
    <row r="2" spans="2:21">
      <c r="B2" s="18" t="s">
        <v>227</v>
      </c>
      <c r="C2" s="18"/>
      <c r="D2" s="19"/>
    </row>
    <row r="3" spans="2:21" ht="15" thickBot="1">
      <c r="B3" s="20" t="s">
        <v>157</v>
      </c>
      <c r="C3" s="20" t="str">
        <f>Regions!C3</f>
        <v>IE</v>
      </c>
      <c r="D3" s="20" t="str">
        <f>Regions!D3</f>
        <v>National</v>
      </c>
    </row>
    <row r="4" spans="2:21">
      <c r="B4" t="str">
        <f>Commodities!D27</f>
        <v>ICEM</v>
      </c>
      <c r="C4" s="35">
        <v>0.52</v>
      </c>
      <c r="D4" s="35">
        <f>C4</f>
        <v>0.52</v>
      </c>
      <c r="F4" s="35"/>
      <c r="G4" s="35"/>
      <c r="H4" s="35" t="s">
        <v>359</v>
      </c>
      <c r="I4" s="35"/>
      <c r="M4" t="s">
        <v>495</v>
      </c>
      <c r="N4" t="s">
        <v>496</v>
      </c>
    </row>
    <row r="5" spans="2:21">
      <c r="B5" t="str">
        <f>Commodities!D28</f>
        <v>ICAF</v>
      </c>
      <c r="C5" s="35">
        <f>+ROUNDDOWN(SUMIF(Techs!$Y$6:$Y$109,Demands!H5,Techs!$P$6:$P$109),1)</f>
        <v>5.7</v>
      </c>
      <c r="D5" s="35">
        <f t="shared" ref="D5:D11" si="0">C5</f>
        <v>5.7</v>
      </c>
      <c r="F5" s="35"/>
      <c r="G5" s="35"/>
      <c r="H5" s="35" t="s">
        <v>387</v>
      </c>
      <c r="I5" s="35"/>
      <c r="M5" t="s">
        <v>497</v>
      </c>
      <c r="N5" t="s">
        <v>498</v>
      </c>
      <c r="O5">
        <v>2018</v>
      </c>
      <c r="P5">
        <v>2019</v>
      </c>
      <c r="U5" s="387"/>
    </row>
    <row r="6" spans="2:21">
      <c r="B6" t="str">
        <f>Commodities!D29</f>
        <v>IFAP</v>
      </c>
      <c r="C6" s="35">
        <f>+ROUNDDOWN(SUMIF(Techs!$Y$6:$Y$109,Demands!H6,Techs!$P$6:$P$109),1)</f>
        <v>13.4</v>
      </c>
      <c r="D6" s="35">
        <f t="shared" si="0"/>
        <v>13.4</v>
      </c>
      <c r="F6" s="35"/>
      <c r="G6" s="35"/>
      <c r="H6" s="35" t="s">
        <v>377</v>
      </c>
      <c r="I6" s="35"/>
      <c r="M6" t="s">
        <v>499</v>
      </c>
      <c r="N6" t="s">
        <v>293</v>
      </c>
      <c r="O6">
        <v>6.3516869254158399</v>
      </c>
      <c r="P6">
        <v>6.27965076473025</v>
      </c>
      <c r="T6" t="s">
        <v>361</v>
      </c>
      <c r="U6" s="387">
        <v>1.6912149018245652</v>
      </c>
    </row>
    <row r="7" spans="2:21">
      <c r="B7" t="str">
        <f>Commodities!D30</f>
        <v>ILIM</v>
      </c>
      <c r="C7" s="35">
        <f>+ROUNDDOWN(SUMIF(Techs!$Y$6:$Y$109,Demands!H7,Techs!$P$6:$P$109),1)</f>
        <v>1.3</v>
      </c>
      <c r="D7" s="35">
        <f t="shared" si="0"/>
        <v>1.3</v>
      </c>
      <c r="F7" s="35"/>
      <c r="G7" s="35"/>
      <c r="H7" s="35" t="s">
        <v>370</v>
      </c>
      <c r="I7" s="35"/>
      <c r="M7" t="s">
        <v>499</v>
      </c>
      <c r="N7" t="s">
        <v>199</v>
      </c>
      <c r="O7">
        <v>8.4817135166897994</v>
      </c>
      <c r="P7">
        <v>8.1424450144577794</v>
      </c>
      <c r="T7" t="s">
        <v>363</v>
      </c>
      <c r="U7">
        <v>2.3601590954574929</v>
      </c>
    </row>
    <row r="8" spans="2:21">
      <c r="B8" t="str">
        <f>Commodities!D31</f>
        <v>IMAP</v>
      </c>
      <c r="C8" s="35">
        <f>+ROUNDDOWN(SUMIF(Techs!$Y$6:$Y$109,Demands!H8,Techs!$P$6:$P$109),1)+5</f>
        <v>16.5</v>
      </c>
      <c r="D8" s="35">
        <f t="shared" si="0"/>
        <v>16.5</v>
      </c>
      <c r="F8" s="35"/>
      <c r="G8" s="35"/>
      <c r="H8" s="35" t="s">
        <v>353</v>
      </c>
      <c r="I8" s="35"/>
      <c r="M8" t="s">
        <v>499</v>
      </c>
      <c r="N8" t="s">
        <v>205</v>
      </c>
      <c r="O8">
        <v>23.4393611070271</v>
      </c>
      <c r="P8">
        <v>23.4393611110286</v>
      </c>
      <c r="T8" t="s">
        <v>365</v>
      </c>
      <c r="U8">
        <v>8.4817136154167887</v>
      </c>
    </row>
    <row r="9" spans="2:21">
      <c r="B9" t="str">
        <f>Commodities!D32</f>
        <v>IOMA</v>
      </c>
      <c r="C9" s="35">
        <f>+ROUNDDOWN(SUMIF(Techs!$Y$6:$Y$109,Demands!H9,Techs!$P$6:$P$109),1)</f>
        <v>3.8</v>
      </c>
      <c r="D9" s="35">
        <f t="shared" si="0"/>
        <v>3.8</v>
      </c>
      <c r="F9" s="35"/>
      <c r="G9" s="35"/>
      <c r="H9" s="35" t="s">
        <v>375</v>
      </c>
      <c r="I9" s="35"/>
      <c r="M9" t="s">
        <v>499</v>
      </c>
      <c r="N9" t="s">
        <v>202</v>
      </c>
      <c r="O9">
        <v>48.999108692354099</v>
      </c>
      <c r="P9">
        <v>52.032644090462803</v>
      </c>
      <c r="T9" t="s">
        <v>358</v>
      </c>
      <c r="U9">
        <v>7.3858096777482309</v>
      </c>
    </row>
    <row r="10" spans="2:21">
      <c r="B10" t="str">
        <f>Commodities!D33</f>
        <v>IONM</v>
      </c>
      <c r="C10" s="35">
        <f>+ROUNDDOWN(SUMIF(Techs!$Y$6:$Y$109,Demands!H10,Techs!$P$6:$P$109),1)</f>
        <v>2.4</v>
      </c>
      <c r="D10" s="35">
        <f t="shared" si="0"/>
        <v>2.4</v>
      </c>
      <c r="F10" s="35"/>
      <c r="G10" s="35"/>
      <c r="H10" s="35" t="s">
        <v>388</v>
      </c>
      <c r="I10" s="35"/>
      <c r="M10" t="s">
        <v>499</v>
      </c>
      <c r="N10" t="s">
        <v>474</v>
      </c>
      <c r="O10">
        <v>4.8019100789418596</v>
      </c>
      <c r="P10">
        <v>5.4698960775058101</v>
      </c>
      <c r="Q10" s="35">
        <f>+NRG_shares!H143+NRG_shares!M143</f>
        <v>4.8019100797322194</v>
      </c>
      <c r="T10" t="s">
        <v>356</v>
      </c>
      <c r="U10">
        <v>49.095516345444501</v>
      </c>
    </row>
    <row r="11" spans="2:21">
      <c r="B11" t="str">
        <f>Commodities!D35</f>
        <v>IWAP</v>
      </c>
      <c r="C11" s="35">
        <f>+ROUNDDOWN(SUMIF(Techs!$Y$6:$Y$109,Demands!H11,Techs!$P$6:$P$109),1)</f>
        <v>5</v>
      </c>
      <c r="D11" s="35">
        <f t="shared" si="0"/>
        <v>5</v>
      </c>
      <c r="F11" s="35"/>
      <c r="G11" s="35"/>
      <c r="H11" s="35" t="s">
        <v>372</v>
      </c>
      <c r="I11" s="35"/>
      <c r="M11" t="s">
        <v>499</v>
      </c>
      <c r="N11" t="s">
        <v>471</v>
      </c>
      <c r="O11">
        <v>16.1569255331904</v>
      </c>
      <c r="P11">
        <v>19.815376028944101</v>
      </c>
      <c r="Q11" s="35">
        <f>+NRG_shares!E143+NRG_shares!J143</f>
        <v>16.15692553566096</v>
      </c>
      <c r="T11" t="s">
        <v>374</v>
      </c>
      <c r="U11">
        <v>6.5413028749788538</v>
      </c>
    </row>
    <row r="12" spans="2:21">
      <c r="B12" s="38" t="s">
        <v>482</v>
      </c>
      <c r="C12" s="35">
        <f>+NRG_shares!AV190</f>
        <v>23.439361110035826</v>
      </c>
      <c r="D12" s="35">
        <f>+C12</f>
        <v>23.439361110035826</v>
      </c>
      <c r="F12" s="35"/>
      <c r="G12" s="35"/>
      <c r="H12" s="35" t="s">
        <v>432</v>
      </c>
      <c r="I12" s="35"/>
      <c r="M12" t="s">
        <v>499</v>
      </c>
      <c r="N12" t="s">
        <v>473</v>
      </c>
      <c r="O12">
        <v>19.983464381066</v>
      </c>
      <c r="P12">
        <v>30.1913926266038</v>
      </c>
      <c r="Q12" s="35">
        <f>+NRG_shares!G143+NRG_shares!L143</f>
        <v>19.983464384269901</v>
      </c>
      <c r="T12" t="s">
        <v>431</v>
      </c>
      <c r="U12">
        <v>75.555716510870425</v>
      </c>
    </row>
    <row r="13" spans="2:21">
      <c r="B13" s="38" t="s">
        <v>484</v>
      </c>
      <c r="C13" s="35">
        <v>0</v>
      </c>
      <c r="D13" s="35">
        <f>+C13</f>
        <v>0</v>
      </c>
      <c r="F13" s="35"/>
      <c r="G13" s="35"/>
      <c r="H13" s="35"/>
      <c r="I13" s="35"/>
      <c r="M13" t="s">
        <v>499</v>
      </c>
      <c r="N13" t="s">
        <v>472</v>
      </c>
      <c r="O13">
        <v>17.762840034219899</v>
      </c>
      <c r="P13">
        <v>28.606390939752899</v>
      </c>
      <c r="Q13" s="35">
        <f>+NRG_shares!F143+NRG_shares!K143</f>
        <v>17.762840037430223</v>
      </c>
      <c r="T13" t="s">
        <v>432</v>
      </c>
    </row>
    <row r="14" spans="2:21">
      <c r="C14" s="35"/>
      <c r="D14" s="35"/>
      <c r="F14" s="35"/>
      <c r="G14" s="35"/>
      <c r="H14" s="35"/>
      <c r="I14" s="35"/>
      <c r="M14" t="s">
        <v>499</v>
      </c>
      <c r="N14" t="s">
        <v>295</v>
      </c>
      <c r="O14">
        <v>2.3601590844575902</v>
      </c>
      <c r="P14">
        <v>2.26575273200933</v>
      </c>
    </row>
    <row r="15" spans="2:21">
      <c r="C15" s="35"/>
      <c r="D15" s="35"/>
      <c r="F15" s="35"/>
      <c r="G15" s="35"/>
      <c r="H15" s="35"/>
      <c r="I15" s="35"/>
      <c r="M15" t="s">
        <v>499</v>
      </c>
      <c r="N15" t="s">
        <v>459</v>
      </c>
      <c r="O15">
        <v>5.3704920692555103</v>
      </c>
      <c r="P15">
        <v>7.0903773021112002</v>
      </c>
    </row>
    <row r="16" spans="2:21">
      <c r="C16" s="35"/>
      <c r="D16" s="35"/>
      <c r="F16" s="35"/>
      <c r="G16" s="35"/>
      <c r="H16" s="35"/>
      <c r="I16" s="35"/>
      <c r="M16" t="s">
        <v>499</v>
      </c>
      <c r="N16" t="s">
        <v>294</v>
      </c>
      <c r="O16">
        <v>1.6912148910693401</v>
      </c>
      <c r="P16">
        <v>1.62356630625292</v>
      </c>
    </row>
    <row r="17" spans="3:17">
      <c r="C17" s="35"/>
      <c r="D17" s="35"/>
      <c r="F17" s="35"/>
      <c r="G17" s="35"/>
      <c r="H17" s="35"/>
      <c r="I17" s="35"/>
      <c r="M17" t="s">
        <v>500</v>
      </c>
      <c r="N17" t="s">
        <v>501</v>
      </c>
      <c r="O17">
        <v>5.7257417326097597</v>
      </c>
      <c r="P17">
        <v>9.7037603879898597</v>
      </c>
      <c r="Q17">
        <f>+VLOOKUP(N17,$B$4:$D$13,2,FALSE)</f>
        <v>5.7</v>
      </c>
    </row>
    <row r="18" spans="3:17">
      <c r="M18" t="s">
        <v>500</v>
      </c>
      <c r="N18" t="s">
        <v>502</v>
      </c>
      <c r="O18">
        <v>10.410587632936201</v>
      </c>
      <c r="P18">
        <v>10.4105876328408</v>
      </c>
      <c r="Q18">
        <f t="shared" ref="Q18:Q29" si="1">+VLOOKUP(N18,$B$4:$D$13,2,FALSE)</f>
        <v>0.52</v>
      </c>
    </row>
    <row r="19" spans="3:17">
      <c r="M19" t="s">
        <v>500</v>
      </c>
      <c r="N19" t="s">
        <v>482</v>
      </c>
      <c r="O19">
        <v>23.4393611070271</v>
      </c>
      <c r="P19">
        <v>23.4393611110286</v>
      </c>
      <c r="Q19">
        <f t="shared" si="1"/>
        <v>23.439361110035826</v>
      </c>
    </row>
    <row r="20" spans="3:17">
      <c r="M20" t="s">
        <v>500</v>
      </c>
      <c r="N20" t="s">
        <v>503</v>
      </c>
      <c r="O20">
        <v>13.432067580389401</v>
      </c>
      <c r="P20">
        <v>13.432067579316801</v>
      </c>
      <c r="Q20">
        <f t="shared" si="1"/>
        <v>13.4</v>
      </c>
    </row>
    <row r="21" spans="3:17">
      <c r="M21" t="s">
        <v>500</v>
      </c>
      <c r="N21" t="s">
        <v>504</v>
      </c>
      <c r="O21">
        <v>1.3034567050759001</v>
      </c>
      <c r="P21">
        <v>1.3034567050877699</v>
      </c>
      <c r="Q21">
        <f t="shared" si="1"/>
        <v>1.3</v>
      </c>
    </row>
    <row r="22" spans="3:17">
      <c r="M22" t="s">
        <v>500</v>
      </c>
      <c r="N22" t="s">
        <v>505</v>
      </c>
      <c r="O22">
        <v>16.528420723584102</v>
      </c>
      <c r="P22">
        <v>20.746846223752399</v>
      </c>
      <c r="Q22">
        <f t="shared" si="1"/>
        <v>16.5</v>
      </c>
    </row>
    <row r="23" spans="3:17">
      <c r="M23" t="s">
        <v>500</v>
      </c>
      <c r="N23" t="s">
        <v>474</v>
      </c>
      <c r="O23">
        <v>4.8019100660040497</v>
      </c>
      <c r="P23">
        <v>5.1730463363177703</v>
      </c>
      <c r="Q23" t="e">
        <f t="shared" si="1"/>
        <v>#N/A</v>
      </c>
    </row>
    <row r="24" spans="3:17">
      <c r="M24" t="s">
        <v>500</v>
      </c>
      <c r="N24" t="s">
        <v>471</v>
      </c>
      <c r="O24">
        <v>16.024111453977099</v>
      </c>
      <c r="P24">
        <v>15.383146995987801</v>
      </c>
      <c r="Q24" t="e">
        <f t="shared" si="1"/>
        <v>#N/A</v>
      </c>
    </row>
    <row r="25" spans="3:17">
      <c r="M25" t="s">
        <v>500</v>
      </c>
      <c r="N25" t="s">
        <v>473</v>
      </c>
      <c r="O25">
        <v>19.529598631913899</v>
      </c>
      <c r="P25">
        <v>18.748414687415099</v>
      </c>
      <c r="Q25" t="e">
        <f t="shared" si="1"/>
        <v>#N/A</v>
      </c>
    </row>
    <row r="26" spans="3:17">
      <c r="M26" t="s">
        <v>500</v>
      </c>
      <c r="N26" t="s">
        <v>472</v>
      </c>
      <c r="O26">
        <v>17.762840032891301</v>
      </c>
      <c r="P26">
        <v>20.909372824937002</v>
      </c>
      <c r="Q26" t="e">
        <f t="shared" si="1"/>
        <v>#N/A</v>
      </c>
    </row>
    <row r="27" spans="3:17">
      <c r="M27" t="s">
        <v>500</v>
      </c>
      <c r="N27" t="s">
        <v>506</v>
      </c>
      <c r="O27">
        <v>3.8202752657893302</v>
      </c>
      <c r="P27">
        <v>4.3090308454898398</v>
      </c>
      <c r="Q27">
        <f t="shared" si="1"/>
        <v>3.8</v>
      </c>
    </row>
    <row r="28" spans="3:17">
      <c r="M28" t="s">
        <v>500</v>
      </c>
      <c r="N28" t="s">
        <v>507</v>
      </c>
      <c r="O28">
        <v>2.4362560799328801</v>
      </c>
      <c r="P28">
        <v>17.613308732611902</v>
      </c>
      <c r="Q28">
        <f t="shared" si="1"/>
        <v>2.4</v>
      </c>
    </row>
    <row r="29" spans="3:17">
      <c r="M29" t="s">
        <v>500</v>
      </c>
      <c r="N29" t="s">
        <v>508</v>
      </c>
      <c r="O29">
        <v>5.0483343071005198</v>
      </c>
      <c r="P29">
        <v>6.5639975657173704</v>
      </c>
      <c r="Q29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E64A-E89E-446D-BB7D-3894006317E5}">
  <dimension ref="C5:W28"/>
  <sheetViews>
    <sheetView workbookViewId="0">
      <selection activeCell="F7" sqref="F7"/>
    </sheetView>
  </sheetViews>
  <sheetFormatPr defaultRowHeight="14.5"/>
  <sheetData>
    <row r="5" spans="5:23">
      <c r="F5" s="501" t="s">
        <v>581</v>
      </c>
    </row>
    <row r="6" spans="5:23" ht="15" thickBot="1">
      <c r="E6" s="500" t="s">
        <v>203</v>
      </c>
      <c r="F6" s="500" t="s">
        <v>157</v>
      </c>
      <c r="G6" s="500" t="s">
        <v>199</v>
      </c>
      <c r="H6" s="500" t="s">
        <v>197</v>
      </c>
      <c r="I6" s="500" t="s">
        <v>583</v>
      </c>
      <c r="J6" s="500" t="s">
        <v>584</v>
      </c>
      <c r="K6" s="500" t="s">
        <v>585</v>
      </c>
      <c r="L6" s="500" t="s">
        <v>586</v>
      </c>
      <c r="M6" s="500" t="s">
        <v>249</v>
      </c>
      <c r="N6" s="500" t="s">
        <v>202</v>
      </c>
      <c r="O6" s="493" t="s">
        <v>459</v>
      </c>
    </row>
    <row r="7" spans="5:23">
      <c r="E7" s="37" t="s">
        <v>582</v>
      </c>
      <c r="F7" t="s">
        <v>185</v>
      </c>
      <c r="G7">
        <v>94.6</v>
      </c>
      <c r="H7">
        <v>116.7</v>
      </c>
      <c r="I7">
        <v>71.400000000000006</v>
      </c>
      <c r="J7">
        <v>76</v>
      </c>
      <c r="K7">
        <v>63.7</v>
      </c>
      <c r="L7">
        <v>73.3</v>
      </c>
      <c r="M7">
        <v>92.9</v>
      </c>
      <c r="N7">
        <v>56.9</v>
      </c>
      <c r="O7" s="387">
        <f>+I7*W7+J7*W9+K7*W10+L7*W11</f>
        <v>77.235000000000014</v>
      </c>
      <c r="S7" t="s">
        <v>168</v>
      </c>
      <c r="T7" t="s">
        <v>459</v>
      </c>
      <c r="U7">
        <v>1</v>
      </c>
      <c r="V7">
        <v>50</v>
      </c>
      <c r="W7">
        <v>0.04</v>
      </c>
    </row>
    <row r="8" spans="5:23">
      <c r="S8" t="s">
        <v>299</v>
      </c>
      <c r="W8">
        <v>0</v>
      </c>
    </row>
    <row r="9" spans="5:23">
      <c r="S9" t="s">
        <v>169</v>
      </c>
      <c r="W9">
        <v>0.18</v>
      </c>
    </row>
    <row r="10" spans="5:23">
      <c r="S10" t="s">
        <v>171</v>
      </c>
      <c r="W10">
        <v>0.32</v>
      </c>
    </row>
    <row r="11" spans="5:23">
      <c r="S11" t="s">
        <v>170</v>
      </c>
      <c r="W11">
        <v>0.55000000000000004</v>
      </c>
    </row>
    <row r="12" spans="5:23">
      <c r="S12" t="s">
        <v>296</v>
      </c>
      <c r="W12">
        <v>0</v>
      </c>
    </row>
    <row r="18" spans="3:16">
      <c r="C18" s="494"/>
      <c r="G18" s="495"/>
      <c r="H18" s="496"/>
      <c r="I18" s="496"/>
      <c r="J18" s="496"/>
    </row>
    <row r="19" spans="3:16" ht="15" thickBot="1">
      <c r="C19" s="497"/>
      <c r="D19" s="497"/>
      <c r="E19" s="497" t="s">
        <v>497</v>
      </c>
      <c r="F19" s="497" t="s">
        <v>562</v>
      </c>
      <c r="G19" s="499" t="s">
        <v>563</v>
      </c>
      <c r="H19" s="499" t="s">
        <v>564</v>
      </c>
      <c r="I19" s="499" t="s">
        <v>565</v>
      </c>
      <c r="J19" s="499" t="s">
        <v>566</v>
      </c>
      <c r="K19" s="498" t="s">
        <v>567</v>
      </c>
      <c r="M19" t="s">
        <v>159</v>
      </c>
      <c r="N19" t="s">
        <v>568</v>
      </c>
    </row>
    <row r="20" spans="3:16">
      <c r="E20" t="s">
        <v>569</v>
      </c>
      <c r="H20" t="s">
        <v>570</v>
      </c>
      <c r="I20" t="s">
        <v>185</v>
      </c>
      <c r="J20" t="s">
        <v>199</v>
      </c>
      <c r="K20">
        <v>94.6</v>
      </c>
      <c r="M20" t="s">
        <v>571</v>
      </c>
      <c r="N20" t="s">
        <v>572</v>
      </c>
    </row>
    <row r="21" spans="3:16">
      <c r="E21" t="s">
        <v>569</v>
      </c>
      <c r="H21" t="s">
        <v>570</v>
      </c>
      <c r="I21" t="s">
        <v>185</v>
      </c>
      <c r="J21" t="s">
        <v>197</v>
      </c>
      <c r="K21">
        <v>116.7</v>
      </c>
    </row>
    <row r="22" spans="3:16">
      <c r="E22" t="s">
        <v>569</v>
      </c>
      <c r="H22" t="s">
        <v>570</v>
      </c>
      <c r="I22" t="s">
        <v>185</v>
      </c>
      <c r="J22" t="s">
        <v>573</v>
      </c>
      <c r="K22">
        <v>71.400000000000006</v>
      </c>
    </row>
    <row r="23" spans="3:16">
      <c r="E23" t="s">
        <v>569</v>
      </c>
      <c r="H23" t="s">
        <v>570</v>
      </c>
      <c r="I23" t="s">
        <v>185</v>
      </c>
      <c r="J23" t="s">
        <v>247</v>
      </c>
      <c r="K23">
        <v>76</v>
      </c>
    </row>
    <row r="24" spans="3:16">
      <c r="E24" t="s">
        <v>569</v>
      </c>
      <c r="H24" t="s">
        <v>570</v>
      </c>
      <c r="I24" t="s">
        <v>185</v>
      </c>
      <c r="J24" t="s">
        <v>248</v>
      </c>
      <c r="K24">
        <v>63.7</v>
      </c>
    </row>
    <row r="25" spans="3:16">
      <c r="E25" t="s">
        <v>569</v>
      </c>
      <c r="H25" t="s">
        <v>570</v>
      </c>
      <c r="I25" t="s">
        <v>185</v>
      </c>
      <c r="J25" t="s">
        <v>251</v>
      </c>
      <c r="K25">
        <v>73.3</v>
      </c>
    </row>
    <row r="26" spans="3:16">
      <c r="E26" t="s">
        <v>569</v>
      </c>
      <c r="H26" t="s">
        <v>570</v>
      </c>
      <c r="I26" t="s">
        <v>185</v>
      </c>
      <c r="J26" t="s">
        <v>249</v>
      </c>
      <c r="K26">
        <v>92.9</v>
      </c>
    </row>
    <row r="27" spans="3:16">
      <c r="E27" t="s">
        <v>569</v>
      </c>
      <c r="H27" t="s">
        <v>570</v>
      </c>
      <c r="I27" t="s">
        <v>185</v>
      </c>
      <c r="J27" t="s">
        <v>202</v>
      </c>
      <c r="K27">
        <v>56.9</v>
      </c>
      <c r="N27" t="s">
        <v>574</v>
      </c>
      <c r="O27" t="s">
        <v>575</v>
      </c>
      <c r="P27" t="s">
        <v>576</v>
      </c>
    </row>
    <row r="28" spans="3:16">
      <c r="E28" t="s">
        <v>577</v>
      </c>
      <c r="H28" t="s">
        <v>578</v>
      </c>
      <c r="I28" t="s">
        <v>187</v>
      </c>
      <c r="K28" s="387">
        <v>197.87211538461537</v>
      </c>
      <c r="M28" t="s">
        <v>579</v>
      </c>
      <c r="N28" t="s">
        <v>580</v>
      </c>
      <c r="O28">
        <v>2057.87</v>
      </c>
      <c r="P28">
        <v>10.4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65C-4DC2-40CB-99F8-1156A8726AB3}">
  <sheetPr>
    <tabColor rgb="FF92D050"/>
  </sheetPr>
  <dimension ref="A1:BF217"/>
  <sheetViews>
    <sheetView showGridLines="0" topLeftCell="Q179" zoomScale="85" zoomScaleNormal="85" workbookViewId="0">
      <selection activeCell="AJ210" sqref="AJ210"/>
    </sheetView>
  </sheetViews>
  <sheetFormatPr defaultRowHeight="14.5"/>
  <cols>
    <col min="3" max="3" width="13" customWidth="1"/>
    <col min="4" max="15" width="11.26953125" customWidth="1"/>
    <col min="16" max="16" width="10.54296875" bestFit="1" customWidth="1"/>
    <col min="17" max="17" width="12.7265625" bestFit="1" customWidth="1"/>
    <col min="18" max="18" width="9.81640625" bestFit="1" customWidth="1"/>
    <col min="19" max="19" width="10.26953125" customWidth="1"/>
    <col min="20" max="20" width="9.81640625" bestFit="1" customWidth="1"/>
    <col min="21" max="22" width="9.26953125" bestFit="1" customWidth="1"/>
  </cols>
  <sheetData>
    <row r="1" spans="1:22">
      <c r="A1" t="s">
        <v>588</v>
      </c>
    </row>
    <row r="2" spans="1:22">
      <c r="B2" t="s">
        <v>426</v>
      </c>
    </row>
    <row r="3" spans="1:22" ht="15" thickBot="1">
      <c r="B3" s="377" t="s">
        <v>414</v>
      </c>
      <c r="C3" s="377" t="s">
        <v>415</v>
      </c>
      <c r="D3" s="377" t="s">
        <v>416</v>
      </c>
      <c r="E3" s="377" t="s">
        <v>417</v>
      </c>
      <c r="F3" s="377" t="s">
        <v>418</v>
      </c>
      <c r="G3" s="377" t="s">
        <v>399</v>
      </c>
      <c r="H3" s="377" t="s">
        <v>400</v>
      </c>
      <c r="I3" s="377" t="s">
        <v>401</v>
      </c>
      <c r="J3" s="377" t="s">
        <v>402</v>
      </c>
      <c r="K3" s="377" t="s">
        <v>403</v>
      </c>
      <c r="L3" s="377" t="s">
        <v>404</v>
      </c>
      <c r="M3" s="377" t="s">
        <v>405</v>
      </c>
      <c r="N3" s="377" t="s">
        <v>406</v>
      </c>
      <c r="O3" s="377" t="s">
        <v>407</v>
      </c>
      <c r="P3" s="377" t="s">
        <v>408</v>
      </c>
      <c r="Q3" s="377" t="s">
        <v>409</v>
      </c>
      <c r="R3" s="377" t="s">
        <v>410</v>
      </c>
      <c r="S3" s="377" t="s">
        <v>411</v>
      </c>
      <c r="T3" s="377" t="s">
        <v>412</v>
      </c>
      <c r="U3" s="378" t="s">
        <v>413</v>
      </c>
    </row>
    <row r="4" spans="1:22" ht="15" thickTop="1">
      <c r="B4" s="376" t="s">
        <v>352</v>
      </c>
      <c r="C4" s="376" t="s">
        <v>359</v>
      </c>
      <c r="D4" s="376" t="s">
        <v>354</v>
      </c>
      <c r="E4" s="376" t="s">
        <v>362</v>
      </c>
      <c r="F4" s="376" t="s">
        <v>363</v>
      </c>
      <c r="G4" s="379">
        <v>700801.54934857693</v>
      </c>
      <c r="H4" s="379">
        <v>154709.36183466294</v>
      </c>
      <c r="I4" s="379">
        <v>1562.720826612757</v>
      </c>
      <c r="J4" s="391">
        <v>0.8166913745845078</v>
      </c>
      <c r="K4" s="379">
        <v>778668.38816508546</v>
      </c>
      <c r="L4" s="379">
        <v>1562.720826612757</v>
      </c>
      <c r="M4" s="379">
        <v>154709.36183466294</v>
      </c>
      <c r="N4" s="376">
        <v>0.79219063334697259</v>
      </c>
      <c r="O4" s="376">
        <v>700801.54934857693</v>
      </c>
      <c r="P4" s="376">
        <v>700801.54934857693</v>
      </c>
      <c r="Q4" s="376">
        <v>0</v>
      </c>
      <c r="R4" s="376">
        <v>0</v>
      </c>
      <c r="S4" s="376">
        <v>0</v>
      </c>
      <c r="T4" s="376" t="s">
        <v>419</v>
      </c>
      <c r="U4" s="380">
        <v>156272.08266127569</v>
      </c>
      <c r="V4">
        <f>+O4/K4</f>
        <v>0.9</v>
      </c>
    </row>
    <row r="5" spans="1:22">
      <c r="B5" s="375" t="s">
        <v>352</v>
      </c>
      <c r="C5" s="375" t="s">
        <v>359</v>
      </c>
      <c r="D5" s="375" t="s">
        <v>354</v>
      </c>
      <c r="E5" s="375" t="s">
        <v>385</v>
      </c>
      <c r="F5" s="375" t="s">
        <v>363</v>
      </c>
      <c r="G5" s="381">
        <v>22155.925271501401</v>
      </c>
      <c r="H5" s="381">
        <v>4784.8256237524602</v>
      </c>
      <c r="I5" s="381">
        <v>48.331571957095555</v>
      </c>
      <c r="J5" s="392">
        <v>0.8166913745845078</v>
      </c>
      <c r="K5" s="381">
        <v>24082.527469023262</v>
      </c>
      <c r="L5" s="381">
        <v>48.331571957095555</v>
      </c>
      <c r="M5" s="381">
        <v>4784.8256237524602</v>
      </c>
      <c r="N5" s="375">
        <v>2.4500741237535234E-2</v>
      </c>
      <c r="O5" s="375">
        <v>22155.925271501401</v>
      </c>
      <c r="P5" s="375">
        <v>0</v>
      </c>
      <c r="Q5" s="375">
        <v>22155.925271501401</v>
      </c>
      <c r="R5" s="375">
        <v>0</v>
      </c>
      <c r="S5" s="375">
        <v>0</v>
      </c>
      <c r="T5" s="375" t="s">
        <v>420</v>
      </c>
      <c r="U5" s="382">
        <v>4833.1571957095557</v>
      </c>
      <c r="V5">
        <f t="shared" ref="V5:V68" si="0">+O5/K5</f>
        <v>0.92</v>
      </c>
    </row>
    <row r="6" spans="1:22">
      <c r="B6" s="376" t="s">
        <v>352</v>
      </c>
      <c r="C6" s="376" t="s">
        <v>359</v>
      </c>
      <c r="D6" s="376" t="s">
        <v>354</v>
      </c>
      <c r="E6" s="376" t="s">
        <v>360</v>
      </c>
      <c r="F6" s="376" t="s">
        <v>361</v>
      </c>
      <c r="G6" s="379">
        <v>700801.54934857704</v>
      </c>
      <c r="H6" s="379">
        <v>154709.36183466291</v>
      </c>
      <c r="I6" s="379">
        <v>1562.7208266127566</v>
      </c>
      <c r="J6" s="391">
        <v>0.58521504992915563</v>
      </c>
      <c r="K6" s="379">
        <v>778668.38816508558</v>
      </c>
      <c r="L6" s="379">
        <v>1562.7208266127566</v>
      </c>
      <c r="M6" s="379">
        <v>154709.36183466291</v>
      </c>
      <c r="N6" s="376">
        <v>0.56765859843128097</v>
      </c>
      <c r="O6" s="376">
        <v>700801.54934857704</v>
      </c>
      <c r="P6" s="376">
        <v>700801.54934857704</v>
      </c>
      <c r="Q6" s="376">
        <v>0</v>
      </c>
      <c r="R6" s="376">
        <v>0</v>
      </c>
      <c r="S6" s="376">
        <v>0</v>
      </c>
      <c r="T6" s="376" t="s">
        <v>419</v>
      </c>
      <c r="U6" s="380">
        <v>156272.08266127566</v>
      </c>
      <c r="V6">
        <f t="shared" si="0"/>
        <v>0.9</v>
      </c>
    </row>
    <row r="7" spans="1:22">
      <c r="B7" s="375" t="s">
        <v>352</v>
      </c>
      <c r="C7" s="375" t="s">
        <v>359</v>
      </c>
      <c r="D7" s="375" t="s">
        <v>354</v>
      </c>
      <c r="E7" s="375" t="s">
        <v>386</v>
      </c>
      <c r="F7" s="375" t="s">
        <v>361</v>
      </c>
      <c r="G7" s="381">
        <v>22155.925271501401</v>
      </c>
      <c r="H7" s="381">
        <v>4784.8256237524611</v>
      </c>
      <c r="I7" s="381">
        <v>48.331571957095569</v>
      </c>
      <c r="J7" s="392">
        <v>0.58521504992915563</v>
      </c>
      <c r="K7" s="381">
        <v>24082.527469023262</v>
      </c>
      <c r="L7" s="381">
        <v>48.331571957095569</v>
      </c>
      <c r="M7" s="381">
        <v>4784.8256237524611</v>
      </c>
      <c r="N7" s="375">
        <v>1.7556451497874669E-2</v>
      </c>
      <c r="O7" s="375">
        <v>22155.925271501401</v>
      </c>
      <c r="P7" s="375">
        <v>0</v>
      </c>
      <c r="Q7" s="375">
        <v>22155.925271501401</v>
      </c>
      <c r="R7" s="375">
        <v>0</v>
      </c>
      <c r="S7" s="375">
        <v>0</v>
      </c>
      <c r="T7" s="375" t="s">
        <v>420</v>
      </c>
      <c r="U7" s="382">
        <v>4833.1571957095566</v>
      </c>
      <c r="V7">
        <f t="shared" si="0"/>
        <v>0.92</v>
      </c>
    </row>
    <row r="8" spans="1:22">
      <c r="B8" s="376" t="s">
        <v>352</v>
      </c>
      <c r="C8" s="376" t="s">
        <v>359</v>
      </c>
      <c r="D8" s="376" t="s">
        <v>354</v>
      </c>
      <c r="E8" s="376" t="s">
        <v>364</v>
      </c>
      <c r="F8" s="376" t="s">
        <v>365</v>
      </c>
      <c r="G8" s="379">
        <v>700801.54934857693</v>
      </c>
      <c r="H8" s="379">
        <v>154709.36183466294</v>
      </c>
      <c r="I8" s="379">
        <v>1562.720826612757</v>
      </c>
      <c r="J8" s="391">
        <v>2.5664154172803317</v>
      </c>
      <c r="K8" s="379">
        <v>778668.38816508546</v>
      </c>
      <c r="L8" s="379">
        <v>1562.720826612757</v>
      </c>
      <c r="M8" s="379">
        <v>154709.36183466294</v>
      </c>
      <c r="N8" s="376">
        <v>2.4894229547619218</v>
      </c>
      <c r="O8" s="376">
        <v>700801.54934857693</v>
      </c>
      <c r="P8" s="376">
        <v>700801.54934857693</v>
      </c>
      <c r="Q8" s="376">
        <v>0</v>
      </c>
      <c r="R8" s="376">
        <v>0</v>
      </c>
      <c r="S8" s="376">
        <v>0</v>
      </c>
      <c r="T8" s="376" t="s">
        <v>419</v>
      </c>
      <c r="U8" s="380">
        <v>156272.08266127569</v>
      </c>
      <c r="V8">
        <f t="shared" si="0"/>
        <v>0.9</v>
      </c>
    </row>
    <row r="9" spans="1:22">
      <c r="B9" s="375" t="s">
        <v>352</v>
      </c>
      <c r="C9" s="375" t="s">
        <v>359</v>
      </c>
      <c r="D9" s="375" t="s">
        <v>354</v>
      </c>
      <c r="E9" s="375" t="s">
        <v>384</v>
      </c>
      <c r="F9" s="375" t="s">
        <v>365</v>
      </c>
      <c r="G9" s="381">
        <v>22155.925271501404</v>
      </c>
      <c r="H9" s="381">
        <v>4784.8256237524602</v>
      </c>
      <c r="I9" s="381">
        <v>48.331571957095555</v>
      </c>
      <c r="J9" s="392">
        <v>2.5664154172803317</v>
      </c>
      <c r="K9" s="381">
        <v>24082.527469023265</v>
      </c>
      <c r="L9" s="381">
        <v>48.331571957095555</v>
      </c>
      <c r="M9" s="381">
        <v>4784.8256237524602</v>
      </c>
      <c r="N9" s="375">
        <v>7.6992462518409965E-2</v>
      </c>
      <c r="O9" s="375">
        <v>22155.925271501404</v>
      </c>
      <c r="P9" s="375">
        <v>0</v>
      </c>
      <c r="Q9" s="375">
        <v>22155.925271501404</v>
      </c>
      <c r="R9" s="375">
        <v>0</v>
      </c>
      <c r="S9" s="375">
        <v>0</v>
      </c>
      <c r="T9" s="375" t="s">
        <v>420</v>
      </c>
      <c r="U9" s="382">
        <v>4833.1571957095557</v>
      </c>
      <c r="V9">
        <f t="shared" si="0"/>
        <v>0.92</v>
      </c>
    </row>
    <row r="10" spans="1:22">
      <c r="B10" s="376" t="s">
        <v>352</v>
      </c>
      <c r="C10" s="376" t="s">
        <v>359</v>
      </c>
      <c r="D10" s="376" t="s">
        <v>354</v>
      </c>
      <c r="E10" s="376" t="s">
        <v>429</v>
      </c>
      <c r="F10" s="376" t="s">
        <v>358</v>
      </c>
      <c r="G10" s="379">
        <v>700801.54934857693</v>
      </c>
      <c r="H10" s="379">
        <v>154709.36183466294</v>
      </c>
      <c r="I10" s="379">
        <v>1562.720826612757</v>
      </c>
      <c r="J10" s="391">
        <v>3.1544078347838532E-2</v>
      </c>
      <c r="K10" s="379">
        <v>778668.38816508546</v>
      </c>
      <c r="L10" s="379">
        <v>1562.720826612757</v>
      </c>
      <c r="M10" s="379">
        <v>154709.36183466294</v>
      </c>
      <c r="N10" s="376">
        <v>3.0597755997403376E-2</v>
      </c>
      <c r="O10" s="376">
        <v>700801.54934857693</v>
      </c>
      <c r="P10" s="376">
        <v>700801.54934857693</v>
      </c>
      <c r="Q10" s="376">
        <v>0</v>
      </c>
      <c r="R10" s="376">
        <v>0</v>
      </c>
      <c r="S10" s="376">
        <v>0</v>
      </c>
      <c r="T10" s="376" t="s">
        <v>419</v>
      </c>
      <c r="U10" s="380">
        <v>156272.08266127569</v>
      </c>
      <c r="V10">
        <f t="shared" si="0"/>
        <v>0.9</v>
      </c>
    </row>
    <row r="11" spans="1:22">
      <c r="B11" s="375" t="s">
        <v>352</v>
      </c>
      <c r="C11" s="375" t="s">
        <v>359</v>
      </c>
      <c r="D11" s="375" t="s">
        <v>354</v>
      </c>
      <c r="E11" s="375" t="s">
        <v>391</v>
      </c>
      <c r="F11" s="375" t="s">
        <v>358</v>
      </c>
      <c r="G11" s="381">
        <v>22155.925271501401</v>
      </c>
      <c r="H11" s="381">
        <v>4784.8256237524611</v>
      </c>
      <c r="I11" s="381">
        <v>48.331571957095569</v>
      </c>
      <c r="J11" s="392">
        <v>3.1544078347838525E-2</v>
      </c>
      <c r="K11" s="381">
        <v>24082.527469023262</v>
      </c>
      <c r="L11" s="381">
        <v>48.331571957095569</v>
      </c>
      <c r="M11" s="381">
        <v>4784.8256237524611</v>
      </c>
      <c r="N11" s="375">
        <v>9.4632235043515581E-4</v>
      </c>
      <c r="O11" s="375">
        <v>22155.925271501401</v>
      </c>
      <c r="P11" s="375">
        <v>0</v>
      </c>
      <c r="Q11" s="375">
        <v>22155.925271501401</v>
      </c>
      <c r="R11" s="375">
        <v>0</v>
      </c>
      <c r="S11" s="375">
        <v>0</v>
      </c>
      <c r="T11" s="375" t="s">
        <v>420</v>
      </c>
      <c r="U11" s="382">
        <v>4833.1571957095566</v>
      </c>
      <c r="V11">
        <f t="shared" si="0"/>
        <v>0.92</v>
      </c>
    </row>
    <row r="12" spans="1:22">
      <c r="B12" s="376" t="s">
        <v>352</v>
      </c>
      <c r="C12" s="376" t="s">
        <v>359</v>
      </c>
      <c r="D12" s="376" t="s">
        <v>354</v>
      </c>
      <c r="E12" s="376" t="s">
        <v>371</v>
      </c>
      <c r="F12" s="376" t="s">
        <v>356</v>
      </c>
      <c r="G12" s="379">
        <v>700801.54934857693</v>
      </c>
      <c r="H12" s="379">
        <v>154709.36183466291</v>
      </c>
      <c r="I12" s="379">
        <v>1562.7208266127566</v>
      </c>
      <c r="J12" s="391">
        <v>1.3407985816647636E-4</v>
      </c>
      <c r="K12" s="379">
        <v>778668.38816508546</v>
      </c>
      <c r="L12" s="379">
        <v>1562.7208266127566</v>
      </c>
      <c r="M12" s="379">
        <v>154709.36183466291</v>
      </c>
      <c r="N12" s="376">
        <v>1.3005746242148207E-4</v>
      </c>
      <c r="O12" s="376">
        <v>700801.54934857693</v>
      </c>
      <c r="P12" s="376">
        <v>700801.54934857693</v>
      </c>
      <c r="Q12" s="376">
        <v>0</v>
      </c>
      <c r="R12" s="376">
        <v>0</v>
      </c>
      <c r="S12" s="376">
        <v>0</v>
      </c>
      <c r="T12" s="376" t="s">
        <v>419</v>
      </c>
      <c r="U12" s="380">
        <v>156272.08266127566</v>
      </c>
      <c r="V12">
        <f t="shared" si="0"/>
        <v>0.9</v>
      </c>
    </row>
    <row r="13" spans="1:22">
      <c r="B13" s="375" t="s">
        <v>352</v>
      </c>
      <c r="C13" s="375" t="s">
        <v>359</v>
      </c>
      <c r="D13" s="375" t="s">
        <v>354</v>
      </c>
      <c r="E13" s="375" t="s">
        <v>390</v>
      </c>
      <c r="F13" s="375" t="s">
        <v>356</v>
      </c>
      <c r="G13" s="381">
        <v>22155.925271501401</v>
      </c>
      <c r="H13" s="381">
        <v>4784.8256237524611</v>
      </c>
      <c r="I13" s="381">
        <v>48.331571957095569</v>
      </c>
      <c r="J13" s="392">
        <v>1.3407985816647636E-4</v>
      </c>
      <c r="K13" s="381">
        <v>24082.527469023262</v>
      </c>
      <c r="L13" s="381">
        <v>48.331571957095569</v>
      </c>
      <c r="M13" s="381">
        <v>4784.8256237524611</v>
      </c>
      <c r="N13" s="375">
        <v>4.0223957449942901E-6</v>
      </c>
      <c r="O13" s="375">
        <v>22155.925271501401</v>
      </c>
      <c r="P13" s="375">
        <v>0</v>
      </c>
      <c r="Q13" s="375">
        <v>22155.925271501401</v>
      </c>
      <c r="R13" s="375">
        <v>0</v>
      </c>
      <c r="S13" s="375">
        <v>0</v>
      </c>
      <c r="T13" s="375" t="s">
        <v>420</v>
      </c>
      <c r="U13" s="382">
        <v>4833.1571957095566</v>
      </c>
      <c r="V13">
        <f t="shared" si="0"/>
        <v>0.92</v>
      </c>
    </row>
    <row r="14" spans="1:22">
      <c r="B14" s="376" t="s">
        <v>352</v>
      </c>
      <c r="C14" s="376" t="s">
        <v>387</v>
      </c>
      <c r="D14" s="376" t="s">
        <v>354</v>
      </c>
      <c r="E14" s="376" t="s">
        <v>381</v>
      </c>
      <c r="F14" s="376" t="s">
        <v>358</v>
      </c>
      <c r="G14" s="379">
        <v>11518.273164948983</v>
      </c>
      <c r="H14" s="379">
        <v>6959.790259026654</v>
      </c>
      <c r="I14" s="379">
        <v>1088.4261113601781</v>
      </c>
      <c r="J14" s="383">
        <v>2.6718469589948715</v>
      </c>
      <c r="K14" s="379">
        <v>12519.862135814112</v>
      </c>
      <c r="L14" s="379">
        <v>1088.4261113601781</v>
      </c>
      <c r="M14" s="379">
        <v>6959.790259026654</v>
      </c>
      <c r="N14" s="376">
        <v>0.60116556577384617</v>
      </c>
      <c r="O14" s="376">
        <v>11518.273164948983</v>
      </c>
      <c r="P14" s="376">
        <v>0</v>
      </c>
      <c r="Q14" s="376">
        <v>1151.8273164948985</v>
      </c>
      <c r="R14" s="376">
        <v>8062.7912154642881</v>
      </c>
      <c r="S14" s="376">
        <v>2303.6546329897969</v>
      </c>
      <c r="T14" s="376" t="s">
        <v>422</v>
      </c>
      <c r="U14" s="380">
        <v>9070.2175946681509</v>
      </c>
      <c r="V14">
        <f t="shared" si="0"/>
        <v>0.92</v>
      </c>
    </row>
    <row r="15" spans="1:22">
      <c r="B15" s="375" t="s">
        <v>352</v>
      </c>
      <c r="C15" s="375" t="s">
        <v>387</v>
      </c>
      <c r="D15" s="375" t="s">
        <v>354</v>
      </c>
      <c r="E15" s="375" t="s">
        <v>357</v>
      </c>
      <c r="F15" s="375" t="s">
        <v>358</v>
      </c>
      <c r="G15" s="381">
        <v>13910.957928682348</v>
      </c>
      <c r="H15" s="381">
        <v>15466.200575614792</v>
      </c>
      <c r="I15" s="381">
        <v>2418.7246919115069</v>
      </c>
      <c r="J15" s="384">
        <v>1.3359234794974353</v>
      </c>
      <c r="K15" s="381">
        <v>27821.915857364696</v>
      </c>
      <c r="L15" s="381">
        <v>2418.7246919115069</v>
      </c>
      <c r="M15" s="381">
        <v>15466.200575614792</v>
      </c>
      <c r="N15" s="375">
        <v>0.66796173974871764</v>
      </c>
      <c r="O15" s="375">
        <v>13910.957928682348</v>
      </c>
      <c r="P15" s="375">
        <v>0</v>
      </c>
      <c r="Q15" s="375">
        <v>13910.957928682348</v>
      </c>
      <c r="R15" s="375">
        <v>0</v>
      </c>
      <c r="S15" s="375">
        <v>0</v>
      </c>
      <c r="T15" s="375" t="s">
        <v>421</v>
      </c>
      <c r="U15" s="382">
        <v>20156.039099262558</v>
      </c>
      <c r="V15">
        <f t="shared" si="0"/>
        <v>0.5</v>
      </c>
    </row>
    <row r="16" spans="1:22">
      <c r="B16" s="376" t="s">
        <v>352</v>
      </c>
      <c r="C16" s="376" t="s">
        <v>387</v>
      </c>
      <c r="D16" s="376" t="s">
        <v>354</v>
      </c>
      <c r="E16" s="376" t="s">
        <v>382</v>
      </c>
      <c r="F16" s="376" t="s">
        <v>358</v>
      </c>
      <c r="G16" s="379">
        <v>2559.6162588775514</v>
      </c>
      <c r="H16" s="379">
        <v>1546.6200575614787</v>
      </c>
      <c r="I16" s="379">
        <v>241.87246919115066</v>
      </c>
      <c r="J16" s="383">
        <v>1.3359234794974357</v>
      </c>
      <c r="K16" s="379">
        <v>2782.1915857364688</v>
      </c>
      <c r="L16" s="379">
        <v>241.87246919115066</v>
      </c>
      <c r="M16" s="379">
        <v>1546.6200575614787</v>
      </c>
      <c r="N16" s="376">
        <v>6.6796173974871781E-2</v>
      </c>
      <c r="O16" s="376">
        <v>2559.6162588775514</v>
      </c>
      <c r="P16" s="376">
        <v>0</v>
      </c>
      <c r="Q16" s="376">
        <v>0</v>
      </c>
      <c r="R16" s="376">
        <v>2559.6162588775514</v>
      </c>
      <c r="S16" s="376">
        <v>0</v>
      </c>
      <c r="T16" s="376" t="s">
        <v>423</v>
      </c>
      <c r="U16" s="380">
        <v>2015.6039099262555</v>
      </c>
      <c r="V16">
        <f t="shared" si="0"/>
        <v>0.92</v>
      </c>
    </row>
    <row r="17" spans="2:22">
      <c r="B17" s="375" t="s">
        <v>352</v>
      </c>
      <c r="C17" s="375" t="s">
        <v>387</v>
      </c>
      <c r="D17" s="375" t="s">
        <v>354</v>
      </c>
      <c r="E17" s="375" t="s">
        <v>368</v>
      </c>
      <c r="F17" s="375" t="s">
        <v>356</v>
      </c>
      <c r="G17" s="381">
        <v>11518.273164948983</v>
      </c>
      <c r="H17" s="381">
        <v>6959.790259026654</v>
      </c>
      <c r="I17" s="381">
        <v>1088.4261113601781</v>
      </c>
      <c r="J17" s="384">
        <v>35.32815304100513</v>
      </c>
      <c r="K17" s="381">
        <v>12519.862135814112</v>
      </c>
      <c r="L17" s="381">
        <v>1088.4261113601781</v>
      </c>
      <c r="M17" s="381">
        <v>6959.790259026654</v>
      </c>
      <c r="N17" s="375">
        <v>7.9488344342261552</v>
      </c>
      <c r="O17" s="375">
        <v>11518.273164948983</v>
      </c>
      <c r="P17" s="375">
        <v>0</v>
      </c>
      <c r="Q17" s="375">
        <v>1151.8273164948985</v>
      </c>
      <c r="R17" s="375">
        <v>8062.7912154642881</v>
      </c>
      <c r="S17" s="375">
        <v>2303.6546329897969</v>
      </c>
      <c r="T17" s="375" t="s">
        <v>422</v>
      </c>
      <c r="U17" s="382">
        <v>9070.2175946681509</v>
      </c>
      <c r="V17">
        <f t="shared" si="0"/>
        <v>0.92</v>
      </c>
    </row>
    <row r="18" spans="2:22">
      <c r="B18" s="376" t="s">
        <v>352</v>
      </c>
      <c r="C18" s="376" t="s">
        <v>387</v>
      </c>
      <c r="D18" s="376" t="s">
        <v>354</v>
      </c>
      <c r="E18" s="376" t="s">
        <v>355</v>
      </c>
      <c r="F18" s="376" t="s">
        <v>356</v>
      </c>
      <c r="G18" s="379">
        <v>13910.957928682346</v>
      </c>
      <c r="H18" s="379">
        <v>15466.200575614785</v>
      </c>
      <c r="I18" s="379">
        <v>2418.7246919115069</v>
      </c>
      <c r="J18" s="383">
        <v>17.664076520502565</v>
      </c>
      <c r="K18" s="379">
        <v>27821.915857364693</v>
      </c>
      <c r="L18" s="379">
        <v>2418.7246919115069</v>
      </c>
      <c r="M18" s="379">
        <v>15466.200575614785</v>
      </c>
      <c r="N18" s="376">
        <v>8.8320382602512826</v>
      </c>
      <c r="O18" s="376">
        <v>13910.957928682346</v>
      </c>
      <c r="P18" s="376">
        <v>0</v>
      </c>
      <c r="Q18" s="376">
        <v>13910.957928682346</v>
      </c>
      <c r="R18" s="376">
        <v>0</v>
      </c>
      <c r="S18" s="376">
        <v>0</v>
      </c>
      <c r="T18" s="376" t="s">
        <v>421</v>
      </c>
      <c r="U18" s="380">
        <v>20156.039099262558</v>
      </c>
      <c r="V18">
        <f t="shared" si="0"/>
        <v>0.5</v>
      </c>
    </row>
    <row r="19" spans="2:22">
      <c r="B19" s="375" t="s">
        <v>352</v>
      </c>
      <c r="C19" s="375" t="s">
        <v>387</v>
      </c>
      <c r="D19" s="375" t="s">
        <v>354</v>
      </c>
      <c r="E19" s="375" t="s">
        <v>379</v>
      </c>
      <c r="F19" s="375" t="s">
        <v>356</v>
      </c>
      <c r="G19" s="381">
        <v>2559.6162588775514</v>
      </c>
      <c r="H19" s="381">
        <v>1546.6200575614787</v>
      </c>
      <c r="I19" s="381">
        <v>241.87246919115069</v>
      </c>
      <c r="J19" s="384">
        <v>17.664076520502565</v>
      </c>
      <c r="K19" s="381">
        <v>2782.1915857364688</v>
      </c>
      <c r="L19" s="381">
        <v>241.87246919115069</v>
      </c>
      <c r="M19" s="381">
        <v>1546.6200575614787</v>
      </c>
      <c r="N19" s="375">
        <v>0.88320382602512837</v>
      </c>
      <c r="O19" s="375">
        <v>2559.6162588775514</v>
      </c>
      <c r="P19" s="375">
        <v>0</v>
      </c>
      <c r="Q19" s="375">
        <v>0</v>
      </c>
      <c r="R19" s="375">
        <v>2559.6162588775514</v>
      </c>
      <c r="S19" s="375">
        <v>0</v>
      </c>
      <c r="T19" s="375" t="s">
        <v>423</v>
      </c>
      <c r="U19" s="382">
        <v>2015.6039099262557</v>
      </c>
      <c r="V19">
        <f t="shared" si="0"/>
        <v>0.92</v>
      </c>
    </row>
    <row r="20" spans="2:22">
      <c r="B20" s="376" t="s">
        <v>352</v>
      </c>
      <c r="C20" s="376" t="s">
        <v>387</v>
      </c>
      <c r="D20" s="376" t="s">
        <v>394</v>
      </c>
      <c r="E20" s="376" t="s">
        <v>389</v>
      </c>
      <c r="F20" s="376" t="s">
        <v>365</v>
      </c>
      <c r="G20" s="379">
        <v>3614.3276717845733</v>
      </c>
      <c r="H20" s="379">
        <v>2196.4410079290897</v>
      </c>
      <c r="I20" s="379">
        <v>343.49652160733791</v>
      </c>
      <c r="J20" s="383">
        <v>17.665492337474813</v>
      </c>
      <c r="K20" s="379">
        <v>3928.6170345484493</v>
      </c>
      <c r="L20" s="379">
        <v>343.49652160733791</v>
      </c>
      <c r="M20" s="379">
        <v>2196.4410079290897</v>
      </c>
      <c r="N20" s="376">
        <v>12.365844636232367</v>
      </c>
      <c r="O20" s="376">
        <v>3614.3276717845733</v>
      </c>
      <c r="P20" s="376">
        <v>0</v>
      </c>
      <c r="Q20" s="376">
        <v>361.43276717845737</v>
      </c>
      <c r="R20" s="376">
        <v>2530.0293702492013</v>
      </c>
      <c r="S20" s="376">
        <v>722.86553435691474</v>
      </c>
      <c r="T20" s="376" t="s">
        <v>422</v>
      </c>
      <c r="U20" s="380">
        <v>2862.4710133944827</v>
      </c>
      <c r="V20">
        <f t="shared" si="0"/>
        <v>0.92</v>
      </c>
    </row>
    <row r="21" spans="2:22">
      <c r="B21" s="375" t="s">
        <v>352</v>
      </c>
      <c r="C21" s="375" t="s">
        <v>387</v>
      </c>
      <c r="D21" s="375" t="s">
        <v>394</v>
      </c>
      <c r="E21" s="375" t="s">
        <v>395</v>
      </c>
      <c r="F21" s="375" t="s">
        <v>365</v>
      </c>
      <c r="G21" s="381">
        <v>561.23100493549271</v>
      </c>
      <c r="H21" s="381">
        <v>627.55457369402575</v>
      </c>
      <c r="I21" s="381">
        <v>98.141863316382256</v>
      </c>
      <c r="J21" s="384">
        <v>17.665492337474817</v>
      </c>
      <c r="K21" s="381">
        <v>1122.4620098709854</v>
      </c>
      <c r="L21" s="381">
        <v>98.141863316382256</v>
      </c>
      <c r="M21" s="381">
        <v>627.55457369402575</v>
      </c>
      <c r="N21" s="375">
        <v>3.5330984674949635</v>
      </c>
      <c r="O21" s="375">
        <v>561.23100493549271</v>
      </c>
      <c r="P21" s="375">
        <v>0</v>
      </c>
      <c r="Q21" s="375">
        <v>561.23100493549271</v>
      </c>
      <c r="R21" s="375">
        <v>0</v>
      </c>
      <c r="S21" s="375">
        <v>0</v>
      </c>
      <c r="T21" s="375" t="s">
        <v>421</v>
      </c>
      <c r="U21" s="382">
        <v>817.84886096985213</v>
      </c>
      <c r="V21">
        <f t="shared" si="0"/>
        <v>0.5</v>
      </c>
    </row>
    <row r="22" spans="2:22">
      <c r="B22" s="376" t="s">
        <v>352</v>
      </c>
      <c r="C22" s="376" t="s">
        <v>387</v>
      </c>
      <c r="D22" s="376" t="s">
        <v>394</v>
      </c>
      <c r="E22" s="376" t="s">
        <v>398</v>
      </c>
      <c r="F22" s="376" t="s">
        <v>365</v>
      </c>
      <c r="G22" s="379">
        <v>258.16626227032668</v>
      </c>
      <c r="H22" s="379">
        <v>156.88864342350644</v>
      </c>
      <c r="I22" s="379">
        <v>24.535465829095564</v>
      </c>
      <c r="J22" s="383">
        <v>17.665492337474817</v>
      </c>
      <c r="K22" s="379">
        <v>280.61550246774635</v>
      </c>
      <c r="L22" s="379">
        <v>24.535465829095564</v>
      </c>
      <c r="M22" s="379">
        <v>156.88864342350644</v>
      </c>
      <c r="N22" s="376">
        <v>0.88327461687374087</v>
      </c>
      <c r="O22" s="376">
        <v>258.16626227032668</v>
      </c>
      <c r="P22" s="376">
        <v>0</v>
      </c>
      <c r="Q22" s="376">
        <v>0</v>
      </c>
      <c r="R22" s="376">
        <v>258.16626227032668</v>
      </c>
      <c r="S22" s="376">
        <v>0</v>
      </c>
      <c r="T22" s="376" t="s">
        <v>423</v>
      </c>
      <c r="U22" s="380">
        <v>204.46221524246303</v>
      </c>
      <c r="V22">
        <f t="shared" si="0"/>
        <v>0.92000000000000015</v>
      </c>
    </row>
    <row r="23" spans="2:22">
      <c r="B23" s="375" t="s">
        <v>352</v>
      </c>
      <c r="C23" s="375" t="s">
        <v>387</v>
      </c>
      <c r="D23" s="375" t="s">
        <v>394</v>
      </c>
      <c r="E23" s="375" t="s">
        <v>384</v>
      </c>
      <c r="F23" s="375" t="s">
        <v>365</v>
      </c>
      <c r="G23" s="381">
        <v>258.16626227032668</v>
      </c>
      <c r="H23" s="381">
        <v>156.88864342350644</v>
      </c>
      <c r="I23" s="381">
        <v>24.535465829095564</v>
      </c>
      <c r="J23" s="384">
        <v>17.665492337474817</v>
      </c>
      <c r="K23" s="381">
        <v>280.61550246774635</v>
      </c>
      <c r="L23" s="381">
        <v>24.535465829095564</v>
      </c>
      <c r="M23" s="381">
        <v>156.88864342350644</v>
      </c>
      <c r="N23" s="375">
        <v>0.88327461687374087</v>
      </c>
      <c r="O23" s="375">
        <v>258.16626227032668</v>
      </c>
      <c r="P23" s="375">
        <v>0</v>
      </c>
      <c r="Q23" s="375">
        <v>0</v>
      </c>
      <c r="R23" s="375">
        <v>258.16626227032668</v>
      </c>
      <c r="S23" s="375">
        <v>0</v>
      </c>
      <c r="T23" s="375" t="s">
        <v>420</v>
      </c>
      <c r="U23" s="382">
        <v>204.46221524246303</v>
      </c>
      <c r="V23">
        <f t="shared" si="0"/>
        <v>0.92000000000000015</v>
      </c>
    </row>
    <row r="24" spans="2:22">
      <c r="B24" s="376" t="s">
        <v>352</v>
      </c>
      <c r="C24" s="376" t="s">
        <v>387</v>
      </c>
      <c r="D24" s="376" t="s">
        <v>394</v>
      </c>
      <c r="E24" s="376" t="s">
        <v>381</v>
      </c>
      <c r="F24" s="376" t="s">
        <v>358</v>
      </c>
      <c r="G24" s="379">
        <v>3614.3276717845729</v>
      </c>
      <c r="H24" s="379">
        <v>2196.4410079290897</v>
      </c>
      <c r="I24" s="379">
        <v>343.49652160733785</v>
      </c>
      <c r="J24" s="383">
        <v>19.156758725838721</v>
      </c>
      <c r="K24" s="379">
        <v>3928.6170345484488</v>
      </c>
      <c r="L24" s="379">
        <v>343.49652160733785</v>
      </c>
      <c r="M24" s="379">
        <v>2196.4410079290897</v>
      </c>
      <c r="N24" s="376">
        <v>13.409731108087103</v>
      </c>
      <c r="O24" s="376">
        <v>3614.3276717845729</v>
      </c>
      <c r="P24" s="376">
        <v>0</v>
      </c>
      <c r="Q24" s="376">
        <v>361.43276717845731</v>
      </c>
      <c r="R24" s="376">
        <v>2530.0293702492008</v>
      </c>
      <c r="S24" s="376">
        <v>722.86553435691462</v>
      </c>
      <c r="T24" s="376" t="s">
        <v>422</v>
      </c>
      <c r="U24" s="380">
        <v>2862.4710133944823</v>
      </c>
      <c r="V24">
        <f t="shared" si="0"/>
        <v>0.92</v>
      </c>
    </row>
    <row r="25" spans="2:22">
      <c r="B25" s="375" t="s">
        <v>352</v>
      </c>
      <c r="C25" s="375" t="s">
        <v>387</v>
      </c>
      <c r="D25" s="375" t="s">
        <v>394</v>
      </c>
      <c r="E25" s="375" t="s">
        <v>357</v>
      </c>
      <c r="F25" s="375" t="s">
        <v>358</v>
      </c>
      <c r="G25" s="381">
        <v>561.23100493549271</v>
      </c>
      <c r="H25" s="381">
        <v>627.55457369402575</v>
      </c>
      <c r="I25" s="381">
        <v>98.14186331638227</v>
      </c>
      <c r="J25" s="384">
        <v>19.156758725838724</v>
      </c>
      <c r="K25" s="381">
        <v>1122.4620098709854</v>
      </c>
      <c r="L25" s="381">
        <v>98.14186331638227</v>
      </c>
      <c r="M25" s="381">
        <v>627.55457369402575</v>
      </c>
      <c r="N25" s="375">
        <v>3.831351745167745</v>
      </c>
      <c r="O25" s="375">
        <v>561.23100493549271</v>
      </c>
      <c r="P25" s="375">
        <v>0</v>
      </c>
      <c r="Q25" s="375">
        <v>561.23100493549271</v>
      </c>
      <c r="R25" s="375">
        <v>0</v>
      </c>
      <c r="S25" s="375">
        <v>0</v>
      </c>
      <c r="T25" s="375" t="s">
        <v>421</v>
      </c>
      <c r="U25" s="382">
        <v>817.84886096985224</v>
      </c>
      <c r="V25">
        <f t="shared" si="0"/>
        <v>0.5</v>
      </c>
    </row>
    <row r="26" spans="2:22">
      <c r="B26" s="376" t="s">
        <v>352</v>
      </c>
      <c r="C26" s="376" t="s">
        <v>387</v>
      </c>
      <c r="D26" s="376" t="s">
        <v>394</v>
      </c>
      <c r="E26" s="376" t="s">
        <v>382</v>
      </c>
      <c r="F26" s="376" t="s">
        <v>358</v>
      </c>
      <c r="G26" s="379">
        <v>258.16626227032668</v>
      </c>
      <c r="H26" s="379">
        <v>156.88864342350644</v>
      </c>
      <c r="I26" s="379">
        <v>24.535465829095568</v>
      </c>
      <c r="J26" s="383">
        <v>19.156758725838724</v>
      </c>
      <c r="K26" s="379">
        <v>280.61550246774635</v>
      </c>
      <c r="L26" s="379">
        <v>24.535465829095568</v>
      </c>
      <c r="M26" s="379">
        <v>156.88864342350644</v>
      </c>
      <c r="N26" s="376">
        <v>0.95783793629193625</v>
      </c>
      <c r="O26" s="376">
        <v>258.16626227032668</v>
      </c>
      <c r="P26" s="376">
        <v>0</v>
      </c>
      <c r="Q26" s="376">
        <v>0</v>
      </c>
      <c r="R26" s="376">
        <v>258.16626227032668</v>
      </c>
      <c r="S26" s="376">
        <v>0</v>
      </c>
      <c r="T26" s="376" t="s">
        <v>423</v>
      </c>
      <c r="U26" s="380">
        <v>204.46221524246306</v>
      </c>
      <c r="V26">
        <f t="shared" si="0"/>
        <v>0.92000000000000015</v>
      </c>
    </row>
    <row r="27" spans="2:22">
      <c r="B27" s="375" t="s">
        <v>352</v>
      </c>
      <c r="C27" s="375" t="s">
        <v>387</v>
      </c>
      <c r="D27" s="375" t="s">
        <v>394</v>
      </c>
      <c r="E27" s="375" t="s">
        <v>391</v>
      </c>
      <c r="F27" s="375" t="s">
        <v>358</v>
      </c>
      <c r="G27" s="381">
        <v>258.16626227032668</v>
      </c>
      <c r="H27" s="381">
        <v>156.88864342350644</v>
      </c>
      <c r="I27" s="381">
        <v>24.535465829095568</v>
      </c>
      <c r="J27" s="384">
        <v>19.156758725838724</v>
      </c>
      <c r="K27" s="381">
        <v>280.61550246774635</v>
      </c>
      <c r="L27" s="381">
        <v>24.535465829095568</v>
      </c>
      <c r="M27" s="381">
        <v>156.88864342350644</v>
      </c>
      <c r="N27" s="375">
        <v>0.95783793629193625</v>
      </c>
      <c r="O27" s="375">
        <v>258.16626227032668</v>
      </c>
      <c r="P27" s="375">
        <v>0</v>
      </c>
      <c r="Q27" s="375">
        <v>0</v>
      </c>
      <c r="R27" s="375">
        <v>258.16626227032668</v>
      </c>
      <c r="S27" s="375">
        <v>0</v>
      </c>
      <c r="T27" s="375" t="s">
        <v>420</v>
      </c>
      <c r="U27" s="382">
        <v>204.46221524246306</v>
      </c>
      <c r="V27">
        <f t="shared" si="0"/>
        <v>0.92000000000000015</v>
      </c>
    </row>
    <row r="28" spans="2:22">
      <c r="B28" s="376" t="s">
        <v>352</v>
      </c>
      <c r="C28" s="376" t="s">
        <v>387</v>
      </c>
      <c r="D28" s="376" t="s">
        <v>394</v>
      </c>
      <c r="E28" s="376" t="s">
        <v>368</v>
      </c>
      <c r="F28" s="376" t="s">
        <v>356</v>
      </c>
      <c r="G28" s="379">
        <v>3614.3276717845733</v>
      </c>
      <c r="H28" s="379">
        <v>2196.4410079290892</v>
      </c>
      <c r="I28" s="379">
        <v>343.49652160733791</v>
      </c>
      <c r="J28" s="383">
        <v>142.17774893668644</v>
      </c>
      <c r="K28" s="379">
        <v>3928.6170345484493</v>
      </c>
      <c r="L28" s="379">
        <v>343.49652160733791</v>
      </c>
      <c r="M28" s="379">
        <v>2196.4410079290892</v>
      </c>
      <c r="N28" s="376">
        <v>99.524424255680501</v>
      </c>
      <c r="O28" s="376">
        <v>3614.3276717845733</v>
      </c>
      <c r="P28" s="376">
        <v>0</v>
      </c>
      <c r="Q28" s="376">
        <v>361.43276717845737</v>
      </c>
      <c r="R28" s="376">
        <v>2530.0293702492013</v>
      </c>
      <c r="S28" s="376">
        <v>722.86553435691474</v>
      </c>
      <c r="T28" s="376" t="s">
        <v>422</v>
      </c>
      <c r="U28" s="380">
        <v>2862.4710133944827</v>
      </c>
      <c r="V28">
        <f t="shared" si="0"/>
        <v>0.92</v>
      </c>
    </row>
    <row r="29" spans="2:22">
      <c r="B29" s="375" t="s">
        <v>352</v>
      </c>
      <c r="C29" s="375" t="s">
        <v>387</v>
      </c>
      <c r="D29" s="375" t="s">
        <v>394</v>
      </c>
      <c r="E29" s="375" t="s">
        <v>355</v>
      </c>
      <c r="F29" s="375" t="s">
        <v>356</v>
      </c>
      <c r="G29" s="381">
        <v>561.23100493549271</v>
      </c>
      <c r="H29" s="381">
        <v>627.55457369402563</v>
      </c>
      <c r="I29" s="381">
        <v>98.14186331638227</v>
      </c>
      <c r="J29" s="384">
        <v>142.17774893668644</v>
      </c>
      <c r="K29" s="381">
        <v>1122.4620098709854</v>
      </c>
      <c r="L29" s="381">
        <v>98.14186331638227</v>
      </c>
      <c r="M29" s="381">
        <v>627.55457369402563</v>
      </c>
      <c r="N29" s="375">
        <v>28.435549787337287</v>
      </c>
      <c r="O29" s="375">
        <v>561.23100493549271</v>
      </c>
      <c r="P29" s="375">
        <v>0</v>
      </c>
      <c r="Q29" s="375">
        <v>561.23100493549271</v>
      </c>
      <c r="R29" s="375">
        <v>0</v>
      </c>
      <c r="S29" s="375">
        <v>0</v>
      </c>
      <c r="T29" s="375" t="s">
        <v>421</v>
      </c>
      <c r="U29" s="382">
        <v>817.84886096985224</v>
      </c>
      <c r="V29">
        <f t="shared" si="0"/>
        <v>0.5</v>
      </c>
    </row>
    <row r="30" spans="2:22">
      <c r="B30" s="376" t="s">
        <v>352</v>
      </c>
      <c r="C30" s="376" t="s">
        <v>387</v>
      </c>
      <c r="D30" s="376" t="s">
        <v>394</v>
      </c>
      <c r="E30" s="376" t="s">
        <v>379</v>
      </c>
      <c r="F30" s="376" t="s">
        <v>356</v>
      </c>
      <c r="G30" s="379">
        <v>258.16626227032668</v>
      </c>
      <c r="H30" s="379">
        <v>156.88864342350641</v>
      </c>
      <c r="I30" s="379">
        <v>24.535465829095568</v>
      </c>
      <c r="J30" s="383">
        <v>142.17774893668644</v>
      </c>
      <c r="K30" s="379">
        <v>280.61550246774635</v>
      </c>
      <c r="L30" s="379">
        <v>24.535465829095568</v>
      </c>
      <c r="M30" s="379">
        <v>156.88864342350641</v>
      </c>
      <c r="N30" s="376">
        <v>7.1088874468343217</v>
      </c>
      <c r="O30" s="376">
        <v>258.16626227032668</v>
      </c>
      <c r="P30" s="376">
        <v>0</v>
      </c>
      <c r="Q30" s="376">
        <v>0</v>
      </c>
      <c r="R30" s="376">
        <v>258.16626227032668</v>
      </c>
      <c r="S30" s="376">
        <v>0</v>
      </c>
      <c r="T30" s="376" t="s">
        <v>423</v>
      </c>
      <c r="U30" s="380">
        <v>204.46221524246306</v>
      </c>
      <c r="V30">
        <f t="shared" si="0"/>
        <v>0.92000000000000015</v>
      </c>
    </row>
    <row r="31" spans="2:22">
      <c r="B31" s="375" t="s">
        <v>352</v>
      </c>
      <c r="C31" s="375" t="s">
        <v>387</v>
      </c>
      <c r="D31" s="375" t="s">
        <v>394</v>
      </c>
      <c r="E31" s="375" t="s">
        <v>390</v>
      </c>
      <c r="F31" s="375" t="s">
        <v>356</v>
      </c>
      <c r="G31" s="381">
        <v>258.16626227032668</v>
      </c>
      <c r="H31" s="381">
        <v>156.88864342350641</v>
      </c>
      <c r="I31" s="381">
        <v>24.535465829095568</v>
      </c>
      <c r="J31" s="384">
        <v>142.17774893668644</v>
      </c>
      <c r="K31" s="381">
        <v>280.61550246774635</v>
      </c>
      <c r="L31" s="381">
        <v>24.535465829095568</v>
      </c>
      <c r="M31" s="381">
        <v>156.88864342350641</v>
      </c>
      <c r="N31" s="375">
        <v>7.1088874468343217</v>
      </c>
      <c r="O31" s="375">
        <v>258.16626227032668</v>
      </c>
      <c r="P31" s="375">
        <v>0</v>
      </c>
      <c r="Q31" s="375">
        <v>0</v>
      </c>
      <c r="R31" s="375">
        <v>258.16626227032668</v>
      </c>
      <c r="S31" s="375">
        <v>0</v>
      </c>
      <c r="T31" s="375" t="s">
        <v>420</v>
      </c>
      <c r="U31" s="382">
        <v>204.46221524246306</v>
      </c>
      <c r="V31">
        <f t="shared" si="0"/>
        <v>0.92000000000000015</v>
      </c>
    </row>
    <row r="32" spans="2:22">
      <c r="B32" s="376" t="s">
        <v>352</v>
      </c>
      <c r="C32" s="376" t="s">
        <v>377</v>
      </c>
      <c r="D32" s="376" t="s">
        <v>354</v>
      </c>
      <c r="E32" s="376" t="s">
        <v>376</v>
      </c>
      <c r="F32" s="376" t="s">
        <v>374</v>
      </c>
      <c r="G32" s="379">
        <v>25336.63402326277</v>
      </c>
      <c r="H32" s="379">
        <v>4431.3629426572097</v>
      </c>
      <c r="I32" s="379">
        <v>2672.2009286600437</v>
      </c>
      <c r="J32" s="383">
        <v>2.1769286405903774</v>
      </c>
      <c r="K32" s="379">
        <v>27539.819590503008</v>
      </c>
      <c r="L32" s="379">
        <v>2672.2009286600437</v>
      </c>
      <c r="M32" s="379">
        <v>4431.3629426572097</v>
      </c>
      <c r="N32" s="376">
        <v>0.43538572811807541</v>
      </c>
      <c r="O32" s="376">
        <v>25336.63402326277</v>
      </c>
      <c r="P32" s="376">
        <v>0</v>
      </c>
      <c r="Q32" s="376">
        <v>2533.6634023262773</v>
      </c>
      <c r="R32" s="376">
        <v>15201.980413957661</v>
      </c>
      <c r="S32" s="376">
        <v>7600.9902069788304</v>
      </c>
      <c r="T32" s="376" t="s">
        <v>422</v>
      </c>
      <c r="U32" s="380">
        <v>9897.0404765186795</v>
      </c>
      <c r="V32">
        <f t="shared" si="0"/>
        <v>0.92</v>
      </c>
    </row>
    <row r="33" spans="2:22">
      <c r="B33" s="375" t="s">
        <v>352</v>
      </c>
      <c r="C33" s="375" t="s">
        <v>377</v>
      </c>
      <c r="D33" s="375" t="s">
        <v>354</v>
      </c>
      <c r="E33" s="375" t="s">
        <v>378</v>
      </c>
      <c r="F33" s="375" t="s">
        <v>374</v>
      </c>
      <c r="G33" s="381">
        <v>30982.297039315887</v>
      </c>
      <c r="H33" s="381">
        <v>9970.5666209787232</v>
      </c>
      <c r="I33" s="381">
        <v>6012.4520894850966</v>
      </c>
      <c r="J33" s="384">
        <v>1.0884643202951887</v>
      </c>
      <c r="K33" s="381">
        <v>61964.594078631773</v>
      </c>
      <c r="L33" s="381">
        <v>6012.4520894850966</v>
      </c>
      <c r="M33" s="381">
        <v>9970.5666209787232</v>
      </c>
      <c r="N33" s="375">
        <v>0.48980894413283493</v>
      </c>
      <c r="O33" s="375">
        <v>30982.297039315887</v>
      </c>
      <c r="P33" s="375">
        <v>0</v>
      </c>
      <c r="Q33" s="375">
        <v>0</v>
      </c>
      <c r="R33" s="375">
        <v>30982.297039315887</v>
      </c>
      <c r="S33" s="375">
        <v>0</v>
      </c>
      <c r="T33" s="375" t="s">
        <v>421</v>
      </c>
      <c r="U33" s="382">
        <v>22268.341072167023</v>
      </c>
      <c r="V33">
        <f t="shared" si="0"/>
        <v>0.5</v>
      </c>
    </row>
    <row r="34" spans="2:22">
      <c r="B34" s="376" t="s">
        <v>352</v>
      </c>
      <c r="C34" s="376" t="s">
        <v>377</v>
      </c>
      <c r="D34" s="376" t="s">
        <v>354</v>
      </c>
      <c r="E34" s="376" t="s">
        <v>380</v>
      </c>
      <c r="F34" s="376" t="s">
        <v>374</v>
      </c>
      <c r="G34" s="379">
        <v>25336.63402326277</v>
      </c>
      <c r="H34" s="379">
        <v>4431.3629426572097</v>
      </c>
      <c r="I34" s="379">
        <v>2672.2009286600437</v>
      </c>
      <c r="J34" s="383">
        <v>0.54423216014759435</v>
      </c>
      <c r="K34" s="379">
        <v>27539.819590503008</v>
      </c>
      <c r="L34" s="379">
        <v>2672.2009286600437</v>
      </c>
      <c r="M34" s="379">
        <v>4431.3629426572097</v>
      </c>
      <c r="N34" s="376">
        <v>0.10884643202951885</v>
      </c>
      <c r="O34" s="376">
        <v>25336.63402326277</v>
      </c>
      <c r="P34" s="376">
        <v>0</v>
      </c>
      <c r="Q34" s="376">
        <v>25336.63402326277</v>
      </c>
      <c r="R34" s="376">
        <v>0</v>
      </c>
      <c r="S34" s="376">
        <v>0</v>
      </c>
      <c r="T34" s="376" t="s">
        <v>423</v>
      </c>
      <c r="U34" s="380">
        <v>9897.0404765186795</v>
      </c>
      <c r="V34">
        <f t="shared" si="0"/>
        <v>0.92</v>
      </c>
    </row>
    <row r="35" spans="2:22">
      <c r="B35" s="375" t="s">
        <v>352</v>
      </c>
      <c r="C35" s="375" t="s">
        <v>377</v>
      </c>
      <c r="D35" s="375" t="s">
        <v>354</v>
      </c>
      <c r="E35" s="375" t="s">
        <v>373</v>
      </c>
      <c r="F35" s="375" t="s">
        <v>374</v>
      </c>
      <c r="G35" s="381">
        <v>12668.317011631385</v>
      </c>
      <c r="H35" s="381">
        <v>2215.6814713286049</v>
      </c>
      <c r="I35" s="381">
        <v>1336.1004643300219</v>
      </c>
      <c r="J35" s="384">
        <v>0.54423216014759435</v>
      </c>
      <c r="K35" s="381">
        <v>13769.909795251504</v>
      </c>
      <c r="L35" s="381">
        <v>1336.1004643300219</v>
      </c>
      <c r="M35" s="381">
        <v>2215.6814713286049</v>
      </c>
      <c r="N35" s="375">
        <v>5.4423216014759426E-2</v>
      </c>
      <c r="O35" s="375">
        <v>12668.317011631385</v>
      </c>
      <c r="P35" s="375">
        <v>0</v>
      </c>
      <c r="Q35" s="375">
        <v>0</v>
      </c>
      <c r="R35" s="375">
        <v>0</v>
      </c>
      <c r="S35" s="375">
        <v>12668.317011631385</v>
      </c>
      <c r="T35" s="375" t="s">
        <v>420</v>
      </c>
      <c r="U35" s="382">
        <v>4948.5202382593397</v>
      </c>
      <c r="V35">
        <f t="shared" si="0"/>
        <v>0.92</v>
      </c>
    </row>
    <row r="36" spans="2:22">
      <c r="B36" s="376" t="s">
        <v>352</v>
      </c>
      <c r="C36" s="376" t="s">
        <v>377</v>
      </c>
      <c r="D36" s="376" t="s">
        <v>354</v>
      </c>
      <c r="E36" s="376" t="s">
        <v>381</v>
      </c>
      <c r="F36" s="376" t="s">
        <v>358</v>
      </c>
      <c r="G36" s="379">
        <v>25336.63402326277</v>
      </c>
      <c r="H36" s="379">
        <v>4431.3629426572079</v>
      </c>
      <c r="I36" s="379">
        <v>2672.2009286600437</v>
      </c>
      <c r="J36" s="383">
        <v>3.92366413622275</v>
      </c>
      <c r="K36" s="379">
        <v>27539.819590503008</v>
      </c>
      <c r="L36" s="379">
        <v>2672.2009286600437</v>
      </c>
      <c r="M36" s="379">
        <v>4431.3629426572079</v>
      </c>
      <c r="N36" s="376">
        <v>0.78473282724454996</v>
      </c>
      <c r="O36" s="376">
        <v>25336.63402326277</v>
      </c>
      <c r="P36" s="376">
        <v>0</v>
      </c>
      <c r="Q36" s="376">
        <v>2533.6634023262773</v>
      </c>
      <c r="R36" s="376">
        <v>15201.980413957661</v>
      </c>
      <c r="S36" s="376">
        <v>7600.9902069788304</v>
      </c>
      <c r="T36" s="376" t="s">
        <v>422</v>
      </c>
      <c r="U36" s="380">
        <v>9897.0404765186795</v>
      </c>
      <c r="V36">
        <f t="shared" si="0"/>
        <v>0.92</v>
      </c>
    </row>
    <row r="37" spans="2:22">
      <c r="B37" s="375" t="s">
        <v>352</v>
      </c>
      <c r="C37" s="375" t="s">
        <v>377</v>
      </c>
      <c r="D37" s="375" t="s">
        <v>354</v>
      </c>
      <c r="E37" s="375" t="s">
        <v>357</v>
      </c>
      <c r="F37" s="375" t="s">
        <v>358</v>
      </c>
      <c r="G37" s="381">
        <v>30982.297039315879</v>
      </c>
      <c r="H37" s="381">
        <v>9970.5666209787232</v>
      </c>
      <c r="I37" s="381">
        <v>6012.4520894850966</v>
      </c>
      <c r="J37" s="384">
        <v>1.961832068111375</v>
      </c>
      <c r="K37" s="381">
        <v>61964.594078631759</v>
      </c>
      <c r="L37" s="381">
        <v>6012.4520894850966</v>
      </c>
      <c r="M37" s="381">
        <v>9970.5666209787232</v>
      </c>
      <c r="N37" s="375">
        <v>0.88282443065011862</v>
      </c>
      <c r="O37" s="375">
        <v>30982.297039315879</v>
      </c>
      <c r="P37" s="375">
        <v>0</v>
      </c>
      <c r="Q37" s="375">
        <v>0</v>
      </c>
      <c r="R37" s="375">
        <v>30982.297039315879</v>
      </c>
      <c r="S37" s="375">
        <v>0</v>
      </c>
      <c r="T37" s="375" t="s">
        <v>421</v>
      </c>
      <c r="U37" s="382">
        <v>22268.341072167023</v>
      </c>
      <c r="V37">
        <f t="shared" si="0"/>
        <v>0.5</v>
      </c>
    </row>
    <row r="38" spans="2:22">
      <c r="B38" s="376" t="s">
        <v>352</v>
      </c>
      <c r="C38" s="376" t="s">
        <v>377</v>
      </c>
      <c r="D38" s="376" t="s">
        <v>354</v>
      </c>
      <c r="E38" s="376" t="s">
        <v>382</v>
      </c>
      <c r="F38" s="376" t="s">
        <v>358</v>
      </c>
      <c r="G38" s="379">
        <v>25336.63402326277</v>
      </c>
      <c r="H38" s="379">
        <v>4431.3629426572079</v>
      </c>
      <c r="I38" s="379">
        <v>2672.2009286600437</v>
      </c>
      <c r="J38" s="383">
        <v>0.9809160340556875</v>
      </c>
      <c r="K38" s="379">
        <v>27539.819590503008</v>
      </c>
      <c r="L38" s="379">
        <v>2672.2009286600437</v>
      </c>
      <c r="M38" s="379">
        <v>4431.3629426572079</v>
      </c>
      <c r="N38" s="376">
        <v>0.19618320681113749</v>
      </c>
      <c r="O38" s="376">
        <v>25336.63402326277</v>
      </c>
      <c r="P38" s="376">
        <v>0</v>
      </c>
      <c r="Q38" s="376">
        <v>25336.63402326277</v>
      </c>
      <c r="R38" s="376">
        <v>0</v>
      </c>
      <c r="S38" s="376">
        <v>0</v>
      </c>
      <c r="T38" s="376" t="s">
        <v>423</v>
      </c>
      <c r="U38" s="380">
        <v>9897.0404765186795</v>
      </c>
      <c r="V38">
        <f t="shared" si="0"/>
        <v>0.92</v>
      </c>
    </row>
    <row r="39" spans="2:22">
      <c r="B39" s="375" t="s">
        <v>352</v>
      </c>
      <c r="C39" s="375" t="s">
        <v>377</v>
      </c>
      <c r="D39" s="375" t="s">
        <v>354</v>
      </c>
      <c r="E39" s="375" t="s">
        <v>391</v>
      </c>
      <c r="F39" s="375" t="s">
        <v>358</v>
      </c>
      <c r="G39" s="381">
        <v>12668.317011631385</v>
      </c>
      <c r="H39" s="381">
        <v>2215.6814713286039</v>
      </c>
      <c r="I39" s="381">
        <v>1336.1004643300219</v>
      </c>
      <c r="J39" s="384">
        <v>0.9809160340556875</v>
      </c>
      <c r="K39" s="381">
        <v>13769.909795251504</v>
      </c>
      <c r="L39" s="381">
        <v>1336.1004643300219</v>
      </c>
      <c r="M39" s="381">
        <v>2215.6814713286039</v>
      </c>
      <c r="N39" s="375">
        <v>9.8091603405568745E-2</v>
      </c>
      <c r="O39" s="375">
        <v>12668.317011631385</v>
      </c>
      <c r="P39" s="375">
        <v>0</v>
      </c>
      <c r="Q39" s="375">
        <v>0</v>
      </c>
      <c r="R39" s="375">
        <v>0</v>
      </c>
      <c r="S39" s="375">
        <v>12668.317011631385</v>
      </c>
      <c r="T39" s="375" t="s">
        <v>420</v>
      </c>
      <c r="U39" s="382">
        <v>4948.5202382593397</v>
      </c>
      <c r="V39">
        <f t="shared" si="0"/>
        <v>0.92</v>
      </c>
    </row>
    <row r="40" spans="2:22">
      <c r="B40" s="376" t="s">
        <v>352</v>
      </c>
      <c r="C40" s="376" t="s">
        <v>377</v>
      </c>
      <c r="D40" s="376" t="s">
        <v>354</v>
      </c>
      <c r="E40" s="376" t="s">
        <v>368</v>
      </c>
      <c r="F40" s="376" t="s">
        <v>356</v>
      </c>
      <c r="G40" s="379">
        <v>25336.634023262774</v>
      </c>
      <c r="H40" s="379">
        <v>4431.3629426572079</v>
      </c>
      <c r="I40" s="379">
        <v>2672.2009286600437</v>
      </c>
      <c r="J40" s="383">
        <v>53.89940722318687</v>
      </c>
      <c r="K40" s="379">
        <v>27539.819590503012</v>
      </c>
      <c r="L40" s="379">
        <v>2672.2009286600437</v>
      </c>
      <c r="M40" s="379">
        <v>4431.3629426572079</v>
      </c>
      <c r="N40" s="376">
        <v>10.779881444637375</v>
      </c>
      <c r="O40" s="376">
        <v>25336.634023262774</v>
      </c>
      <c r="P40" s="376">
        <v>0</v>
      </c>
      <c r="Q40" s="376">
        <v>2533.6634023262777</v>
      </c>
      <c r="R40" s="376">
        <v>15201.980413957663</v>
      </c>
      <c r="S40" s="376">
        <v>7600.9902069788313</v>
      </c>
      <c r="T40" s="376" t="s">
        <v>422</v>
      </c>
      <c r="U40" s="380">
        <v>9897.0404765186795</v>
      </c>
      <c r="V40">
        <f t="shared" si="0"/>
        <v>0.92000000000000015</v>
      </c>
    </row>
    <row r="41" spans="2:22">
      <c r="B41" s="375" t="s">
        <v>352</v>
      </c>
      <c r="C41" s="375" t="s">
        <v>377</v>
      </c>
      <c r="D41" s="375" t="s">
        <v>354</v>
      </c>
      <c r="E41" s="375" t="s">
        <v>355</v>
      </c>
      <c r="F41" s="375" t="s">
        <v>356</v>
      </c>
      <c r="G41" s="381">
        <v>30982.297039315883</v>
      </c>
      <c r="H41" s="381">
        <v>9970.5666209787214</v>
      </c>
      <c r="I41" s="381">
        <v>6012.4520894850975</v>
      </c>
      <c r="J41" s="384">
        <v>26.949703611593435</v>
      </c>
      <c r="K41" s="381">
        <v>61964.594078631766</v>
      </c>
      <c r="L41" s="381">
        <v>6012.4520894850975</v>
      </c>
      <c r="M41" s="381">
        <v>9970.5666209787214</v>
      </c>
      <c r="N41" s="375">
        <v>12.127366625217048</v>
      </c>
      <c r="O41" s="375">
        <v>30982.297039315883</v>
      </c>
      <c r="P41" s="375">
        <v>0</v>
      </c>
      <c r="Q41" s="375">
        <v>0</v>
      </c>
      <c r="R41" s="375">
        <v>30982.297039315883</v>
      </c>
      <c r="S41" s="375">
        <v>0</v>
      </c>
      <c r="T41" s="375" t="s">
        <v>421</v>
      </c>
      <c r="U41" s="382">
        <v>22268.341072167026</v>
      </c>
      <c r="V41">
        <f t="shared" si="0"/>
        <v>0.5</v>
      </c>
    </row>
    <row r="42" spans="2:22">
      <c r="B42" s="376" t="s">
        <v>352</v>
      </c>
      <c r="C42" s="376" t="s">
        <v>377</v>
      </c>
      <c r="D42" s="376" t="s">
        <v>354</v>
      </c>
      <c r="E42" s="376" t="s">
        <v>379</v>
      </c>
      <c r="F42" s="376" t="s">
        <v>356</v>
      </c>
      <c r="G42" s="379">
        <v>25336.634023262774</v>
      </c>
      <c r="H42" s="379">
        <v>4431.3629426572079</v>
      </c>
      <c r="I42" s="379">
        <v>2672.2009286600437</v>
      </c>
      <c r="J42" s="383">
        <v>13.474851805796717</v>
      </c>
      <c r="K42" s="379">
        <v>27539.819590503012</v>
      </c>
      <c r="L42" s="379">
        <v>2672.2009286600437</v>
      </c>
      <c r="M42" s="379">
        <v>4431.3629426572079</v>
      </c>
      <c r="N42" s="376">
        <v>2.6949703611593439</v>
      </c>
      <c r="O42" s="376">
        <v>25336.634023262774</v>
      </c>
      <c r="P42" s="376">
        <v>0</v>
      </c>
      <c r="Q42" s="376">
        <v>25336.634023262774</v>
      </c>
      <c r="R42" s="376">
        <v>0</v>
      </c>
      <c r="S42" s="376">
        <v>0</v>
      </c>
      <c r="T42" s="376" t="s">
        <v>423</v>
      </c>
      <c r="U42" s="380">
        <v>9897.0404765186795</v>
      </c>
      <c r="V42">
        <f t="shared" si="0"/>
        <v>0.92000000000000015</v>
      </c>
    </row>
    <row r="43" spans="2:22">
      <c r="B43" s="375" t="s">
        <v>352</v>
      </c>
      <c r="C43" s="375" t="s">
        <v>377</v>
      </c>
      <c r="D43" s="375" t="s">
        <v>354</v>
      </c>
      <c r="E43" s="375" t="s">
        <v>390</v>
      </c>
      <c r="F43" s="375" t="s">
        <v>356</v>
      </c>
      <c r="G43" s="381">
        <v>12668.317011631387</v>
      </c>
      <c r="H43" s="381">
        <v>2215.6814713286039</v>
      </c>
      <c r="I43" s="381">
        <v>1336.1004643300219</v>
      </c>
      <c r="J43" s="384">
        <v>13.474851805796717</v>
      </c>
      <c r="K43" s="381">
        <v>13769.909795251506</v>
      </c>
      <c r="L43" s="381">
        <v>1336.1004643300219</v>
      </c>
      <c r="M43" s="381">
        <v>2215.6814713286039</v>
      </c>
      <c r="N43" s="375">
        <v>1.3474851805796719</v>
      </c>
      <c r="O43" s="375">
        <v>12668.317011631387</v>
      </c>
      <c r="P43" s="375">
        <v>0</v>
      </c>
      <c r="Q43" s="375">
        <v>0</v>
      </c>
      <c r="R43" s="375">
        <v>0</v>
      </c>
      <c r="S43" s="375">
        <v>12668.317011631387</v>
      </c>
      <c r="T43" s="375" t="s">
        <v>420</v>
      </c>
      <c r="U43" s="382">
        <v>4948.5202382593397</v>
      </c>
      <c r="V43">
        <f t="shared" si="0"/>
        <v>0.92000000000000015</v>
      </c>
    </row>
    <row r="44" spans="2:22">
      <c r="B44" s="376" t="s">
        <v>352</v>
      </c>
      <c r="C44" s="376" t="s">
        <v>377</v>
      </c>
      <c r="D44" s="376" t="s">
        <v>394</v>
      </c>
      <c r="E44" s="376" t="s">
        <v>376</v>
      </c>
      <c r="F44" s="376" t="s">
        <v>374</v>
      </c>
      <c r="G44" s="379">
        <v>796.69018515659673</v>
      </c>
      <c r="H44" s="379">
        <v>138.80316224525308</v>
      </c>
      <c r="I44" s="379">
        <v>83.701096897810103</v>
      </c>
      <c r="J44" s="383">
        <v>131.42233252176379</v>
      </c>
      <c r="K44" s="379">
        <v>865.96759256151813</v>
      </c>
      <c r="L44" s="379">
        <v>83.701096897810103</v>
      </c>
      <c r="M44" s="379">
        <v>138.80316224525308</v>
      </c>
      <c r="N44" s="376">
        <v>91.995632765234632</v>
      </c>
      <c r="O44" s="376">
        <v>796.69018515659673</v>
      </c>
      <c r="P44" s="376">
        <v>0</v>
      </c>
      <c r="Q44" s="376">
        <v>79.669018515659673</v>
      </c>
      <c r="R44" s="376">
        <v>478.01411109395804</v>
      </c>
      <c r="S44" s="376">
        <v>239.00705554697902</v>
      </c>
      <c r="T44" s="376" t="s">
        <v>422</v>
      </c>
      <c r="U44" s="380">
        <v>310.00406258448186</v>
      </c>
      <c r="V44">
        <f t="shared" si="0"/>
        <v>0.92</v>
      </c>
    </row>
    <row r="45" spans="2:22">
      <c r="B45" s="375" t="s">
        <v>352</v>
      </c>
      <c r="C45" s="375" t="s">
        <v>377</v>
      </c>
      <c r="D45" s="375" t="s">
        <v>394</v>
      </c>
      <c r="E45" s="375" t="s">
        <v>378</v>
      </c>
      <c r="F45" s="375" t="s">
        <v>374</v>
      </c>
      <c r="G45" s="381">
        <v>92.782242060162631</v>
      </c>
      <c r="H45" s="381">
        <v>29.743534766839957</v>
      </c>
      <c r="I45" s="381">
        <v>17.93594933524502</v>
      </c>
      <c r="J45" s="384">
        <v>131.42233252176382</v>
      </c>
      <c r="K45" s="381">
        <v>185.56448412032526</v>
      </c>
      <c r="L45" s="381">
        <v>17.93594933524502</v>
      </c>
      <c r="M45" s="381">
        <v>29.743534766839957</v>
      </c>
      <c r="N45" s="375">
        <v>19.713349878264566</v>
      </c>
      <c r="O45" s="375">
        <v>92.782242060162631</v>
      </c>
      <c r="P45" s="375">
        <v>0</v>
      </c>
      <c r="Q45" s="375">
        <v>0</v>
      </c>
      <c r="R45" s="375">
        <v>92.782242060162631</v>
      </c>
      <c r="S45" s="375">
        <v>0</v>
      </c>
      <c r="T45" s="375" t="s">
        <v>421</v>
      </c>
      <c r="U45" s="382">
        <v>66.429441982388965</v>
      </c>
      <c r="V45">
        <f t="shared" si="0"/>
        <v>0.5</v>
      </c>
    </row>
    <row r="46" spans="2:22">
      <c r="B46" s="376" t="s">
        <v>352</v>
      </c>
      <c r="C46" s="376" t="s">
        <v>377</v>
      </c>
      <c r="D46" s="376" t="s">
        <v>394</v>
      </c>
      <c r="E46" s="376" t="s">
        <v>380</v>
      </c>
      <c r="F46" s="376" t="s">
        <v>374</v>
      </c>
      <c r="G46" s="379">
        <v>113.81288359379953</v>
      </c>
      <c r="H46" s="379">
        <v>19.829023177893301</v>
      </c>
      <c r="I46" s="379">
        <v>11.957299556830016</v>
      </c>
      <c r="J46" s="383">
        <v>131.42233252176379</v>
      </c>
      <c r="K46" s="379">
        <v>123.70965608021687</v>
      </c>
      <c r="L46" s="379">
        <v>11.957299556830016</v>
      </c>
      <c r="M46" s="379">
        <v>19.829023177893301</v>
      </c>
      <c r="N46" s="376">
        <v>13.142233252176382</v>
      </c>
      <c r="O46" s="376">
        <v>113.81288359379953</v>
      </c>
      <c r="P46" s="376">
        <v>0</v>
      </c>
      <c r="Q46" s="376">
        <v>113.81288359379953</v>
      </c>
      <c r="R46" s="376">
        <v>0</v>
      </c>
      <c r="S46" s="376">
        <v>0</v>
      </c>
      <c r="T46" s="376" t="s">
        <v>423</v>
      </c>
      <c r="U46" s="380">
        <v>44.286294654925982</v>
      </c>
      <c r="V46">
        <f t="shared" si="0"/>
        <v>0.92</v>
      </c>
    </row>
    <row r="47" spans="2:22">
      <c r="B47" s="375" t="s">
        <v>352</v>
      </c>
      <c r="C47" s="375" t="s">
        <v>377</v>
      </c>
      <c r="D47" s="375" t="s">
        <v>394</v>
      </c>
      <c r="E47" s="375" t="s">
        <v>373</v>
      </c>
      <c r="F47" s="375" t="s">
        <v>374</v>
      </c>
      <c r="G47" s="381">
        <v>56.906441796899763</v>
      </c>
      <c r="H47" s="381">
        <v>9.9145115889466506</v>
      </c>
      <c r="I47" s="381">
        <v>5.9786497784150079</v>
      </c>
      <c r="J47" s="384">
        <v>131.42233252176379</v>
      </c>
      <c r="K47" s="381">
        <v>61.854828040108437</v>
      </c>
      <c r="L47" s="381">
        <v>5.9786497784150079</v>
      </c>
      <c r="M47" s="381">
        <v>9.9145115889466506</v>
      </c>
      <c r="N47" s="375">
        <v>6.571116626088191</v>
      </c>
      <c r="O47" s="375">
        <v>56.906441796899763</v>
      </c>
      <c r="P47" s="375">
        <v>0</v>
      </c>
      <c r="Q47" s="375">
        <v>0</v>
      </c>
      <c r="R47" s="375">
        <v>0</v>
      </c>
      <c r="S47" s="375">
        <v>56.906441796899763</v>
      </c>
      <c r="T47" s="375" t="s">
        <v>420</v>
      </c>
      <c r="U47" s="382">
        <v>22.143147327462991</v>
      </c>
      <c r="V47">
        <f t="shared" si="0"/>
        <v>0.92</v>
      </c>
    </row>
    <row r="48" spans="2:22">
      <c r="B48" s="376" t="s">
        <v>352</v>
      </c>
      <c r="C48" s="376" t="s">
        <v>377</v>
      </c>
      <c r="D48" s="376" t="s">
        <v>394</v>
      </c>
      <c r="E48" s="376" t="s">
        <v>381</v>
      </c>
      <c r="F48" s="376" t="s">
        <v>358</v>
      </c>
      <c r="G48" s="379">
        <v>796.69018515659661</v>
      </c>
      <c r="H48" s="379">
        <v>138.80316224525311</v>
      </c>
      <c r="I48" s="379">
        <v>83.701096897810089</v>
      </c>
      <c r="J48" s="383">
        <v>421.62255034405695</v>
      </c>
      <c r="K48" s="379">
        <v>865.96759256151802</v>
      </c>
      <c r="L48" s="379">
        <v>83.701096897810089</v>
      </c>
      <c r="M48" s="379">
        <v>138.80316224525311</v>
      </c>
      <c r="N48" s="376">
        <v>295.13578524083982</v>
      </c>
      <c r="O48" s="376">
        <v>796.69018515659661</v>
      </c>
      <c r="P48" s="376">
        <v>0</v>
      </c>
      <c r="Q48" s="376">
        <v>79.669018515659673</v>
      </c>
      <c r="R48" s="376">
        <v>478.01411109395792</v>
      </c>
      <c r="S48" s="376">
        <v>239.00705554697896</v>
      </c>
      <c r="T48" s="376" t="s">
        <v>422</v>
      </c>
      <c r="U48" s="380">
        <v>310.0040625844818</v>
      </c>
      <c r="V48">
        <f t="shared" si="0"/>
        <v>0.92</v>
      </c>
    </row>
    <row r="49" spans="2:22">
      <c r="B49" s="375" t="s">
        <v>352</v>
      </c>
      <c r="C49" s="375" t="s">
        <v>377</v>
      </c>
      <c r="D49" s="375" t="s">
        <v>394</v>
      </c>
      <c r="E49" s="375" t="s">
        <v>357</v>
      </c>
      <c r="F49" s="375" t="s">
        <v>358</v>
      </c>
      <c r="G49" s="381">
        <v>92.782242060162645</v>
      </c>
      <c r="H49" s="381">
        <v>29.74353476683995</v>
      </c>
      <c r="I49" s="381">
        <v>17.93594933524502</v>
      </c>
      <c r="J49" s="384">
        <v>421.62255034405695</v>
      </c>
      <c r="K49" s="381">
        <v>185.56448412032529</v>
      </c>
      <c r="L49" s="381">
        <v>17.93594933524502</v>
      </c>
      <c r="M49" s="381">
        <v>29.74353476683995</v>
      </c>
      <c r="N49" s="375">
        <v>63.243382551608534</v>
      </c>
      <c r="O49" s="375">
        <v>92.782242060162645</v>
      </c>
      <c r="P49" s="375">
        <v>0</v>
      </c>
      <c r="Q49" s="375">
        <v>0</v>
      </c>
      <c r="R49" s="375">
        <v>92.782242060162645</v>
      </c>
      <c r="S49" s="375">
        <v>0</v>
      </c>
      <c r="T49" s="375" t="s">
        <v>421</v>
      </c>
      <c r="U49" s="382">
        <v>66.429441982388965</v>
      </c>
      <c r="V49">
        <f t="shared" si="0"/>
        <v>0.5</v>
      </c>
    </row>
    <row r="50" spans="2:22">
      <c r="B50" s="376" t="s">
        <v>352</v>
      </c>
      <c r="C50" s="376" t="s">
        <v>377</v>
      </c>
      <c r="D50" s="376" t="s">
        <v>394</v>
      </c>
      <c r="E50" s="376" t="s">
        <v>382</v>
      </c>
      <c r="F50" s="376" t="s">
        <v>358</v>
      </c>
      <c r="G50" s="379">
        <v>113.81288359379951</v>
      </c>
      <c r="H50" s="379">
        <v>19.829023177893305</v>
      </c>
      <c r="I50" s="379">
        <v>11.957299556830016</v>
      </c>
      <c r="J50" s="383">
        <v>421.62255034405695</v>
      </c>
      <c r="K50" s="379">
        <v>123.70965608021686</v>
      </c>
      <c r="L50" s="379">
        <v>11.957299556830016</v>
      </c>
      <c r="M50" s="379">
        <v>19.829023177893305</v>
      </c>
      <c r="N50" s="376">
        <v>42.162255034405696</v>
      </c>
      <c r="O50" s="376">
        <v>113.81288359379951</v>
      </c>
      <c r="P50" s="376">
        <v>0</v>
      </c>
      <c r="Q50" s="376">
        <v>113.81288359379951</v>
      </c>
      <c r="R50" s="376">
        <v>0</v>
      </c>
      <c r="S50" s="376">
        <v>0</v>
      </c>
      <c r="T50" s="376" t="s">
        <v>423</v>
      </c>
      <c r="U50" s="380">
        <v>44.286294654925982</v>
      </c>
      <c r="V50">
        <f t="shared" si="0"/>
        <v>0.92</v>
      </c>
    </row>
    <row r="51" spans="2:22">
      <c r="B51" s="375" t="s">
        <v>352</v>
      </c>
      <c r="C51" s="375" t="s">
        <v>377</v>
      </c>
      <c r="D51" s="375" t="s">
        <v>394</v>
      </c>
      <c r="E51" s="375" t="s">
        <v>391</v>
      </c>
      <c r="F51" s="375" t="s">
        <v>358</v>
      </c>
      <c r="G51" s="381">
        <v>56.906441796899756</v>
      </c>
      <c r="H51" s="381">
        <v>9.9145115889466524</v>
      </c>
      <c r="I51" s="381">
        <v>5.9786497784150079</v>
      </c>
      <c r="J51" s="384">
        <v>421.62255034405695</v>
      </c>
      <c r="K51" s="381">
        <v>61.85482804010843</v>
      </c>
      <c r="L51" s="381">
        <v>5.9786497784150079</v>
      </c>
      <c r="M51" s="381">
        <v>9.9145115889466524</v>
      </c>
      <c r="N51" s="375">
        <v>21.081127517202848</v>
      </c>
      <c r="O51" s="375">
        <v>56.906441796899756</v>
      </c>
      <c r="P51" s="375">
        <v>0</v>
      </c>
      <c r="Q51" s="375">
        <v>0</v>
      </c>
      <c r="R51" s="375">
        <v>0</v>
      </c>
      <c r="S51" s="375">
        <v>56.906441796899756</v>
      </c>
      <c r="T51" s="375" t="s">
        <v>420</v>
      </c>
      <c r="U51" s="382">
        <v>22.143147327462991</v>
      </c>
      <c r="V51">
        <f t="shared" si="0"/>
        <v>0.92</v>
      </c>
    </row>
    <row r="52" spans="2:22">
      <c r="B52" s="376" t="s">
        <v>352</v>
      </c>
      <c r="C52" s="376" t="s">
        <v>377</v>
      </c>
      <c r="D52" s="376" t="s">
        <v>394</v>
      </c>
      <c r="E52" s="376" t="s">
        <v>368</v>
      </c>
      <c r="F52" s="376" t="s">
        <v>356</v>
      </c>
      <c r="G52" s="379">
        <v>796.69018515659661</v>
      </c>
      <c r="H52" s="379">
        <v>138.80316224525308</v>
      </c>
      <c r="I52" s="379">
        <v>83.701096897810103</v>
      </c>
      <c r="J52" s="383">
        <v>117.95511713417932</v>
      </c>
      <c r="K52" s="379">
        <v>865.96759256151802</v>
      </c>
      <c r="L52" s="379">
        <v>83.701096897810103</v>
      </c>
      <c r="M52" s="379">
        <v>138.80316224525308</v>
      </c>
      <c r="N52" s="376">
        <v>82.568581993925505</v>
      </c>
      <c r="O52" s="376">
        <v>796.69018515659661</v>
      </c>
      <c r="P52" s="376">
        <v>0</v>
      </c>
      <c r="Q52" s="376">
        <v>79.669018515659673</v>
      </c>
      <c r="R52" s="376">
        <v>478.01411109395792</v>
      </c>
      <c r="S52" s="376">
        <v>239.00705554697896</v>
      </c>
      <c r="T52" s="376" t="s">
        <v>422</v>
      </c>
      <c r="U52" s="380">
        <v>310.00406258448186</v>
      </c>
      <c r="V52">
        <f t="shared" si="0"/>
        <v>0.92</v>
      </c>
    </row>
    <row r="53" spans="2:22">
      <c r="B53" s="375" t="s">
        <v>352</v>
      </c>
      <c r="C53" s="375" t="s">
        <v>377</v>
      </c>
      <c r="D53" s="375" t="s">
        <v>394</v>
      </c>
      <c r="E53" s="375" t="s">
        <v>355</v>
      </c>
      <c r="F53" s="375" t="s">
        <v>356</v>
      </c>
      <c r="G53" s="381">
        <v>92.782242060162645</v>
      </c>
      <c r="H53" s="381">
        <v>29.743534766839957</v>
      </c>
      <c r="I53" s="381">
        <v>17.93594933524502</v>
      </c>
      <c r="J53" s="384">
        <v>117.95511713417933</v>
      </c>
      <c r="K53" s="381">
        <v>185.56448412032529</v>
      </c>
      <c r="L53" s="381">
        <v>17.93594933524502</v>
      </c>
      <c r="M53" s="381">
        <v>29.743534766839957</v>
      </c>
      <c r="N53" s="375">
        <v>17.693267570126899</v>
      </c>
      <c r="O53" s="375">
        <v>92.782242060162645</v>
      </c>
      <c r="P53" s="375">
        <v>0</v>
      </c>
      <c r="Q53" s="375">
        <v>0</v>
      </c>
      <c r="R53" s="375">
        <v>92.782242060162645</v>
      </c>
      <c r="S53" s="375">
        <v>0</v>
      </c>
      <c r="T53" s="375" t="s">
        <v>421</v>
      </c>
      <c r="U53" s="382">
        <v>66.429441982388965</v>
      </c>
      <c r="V53">
        <f t="shared" si="0"/>
        <v>0.5</v>
      </c>
    </row>
    <row r="54" spans="2:22">
      <c r="B54" s="376" t="s">
        <v>352</v>
      </c>
      <c r="C54" s="376" t="s">
        <v>377</v>
      </c>
      <c r="D54" s="376" t="s">
        <v>394</v>
      </c>
      <c r="E54" s="376" t="s">
        <v>379</v>
      </c>
      <c r="F54" s="376" t="s">
        <v>356</v>
      </c>
      <c r="G54" s="379">
        <v>113.81288359379953</v>
      </c>
      <c r="H54" s="379">
        <v>19.829023177893301</v>
      </c>
      <c r="I54" s="379">
        <v>11.957299556830016</v>
      </c>
      <c r="J54" s="383">
        <v>117.95511713417932</v>
      </c>
      <c r="K54" s="379">
        <v>123.70965608021687</v>
      </c>
      <c r="L54" s="379">
        <v>11.957299556830016</v>
      </c>
      <c r="M54" s="379">
        <v>19.829023177893301</v>
      </c>
      <c r="N54" s="376">
        <v>11.795511713417932</v>
      </c>
      <c r="O54" s="376">
        <v>113.81288359379953</v>
      </c>
      <c r="P54" s="376">
        <v>0</v>
      </c>
      <c r="Q54" s="376">
        <v>113.81288359379953</v>
      </c>
      <c r="R54" s="376">
        <v>0</v>
      </c>
      <c r="S54" s="376">
        <v>0</v>
      </c>
      <c r="T54" s="376" t="s">
        <v>423</v>
      </c>
      <c r="U54" s="380">
        <v>44.286294654925982</v>
      </c>
      <c r="V54">
        <f t="shared" si="0"/>
        <v>0.92</v>
      </c>
    </row>
    <row r="55" spans="2:22">
      <c r="B55" s="375" t="s">
        <v>352</v>
      </c>
      <c r="C55" s="375" t="s">
        <v>377</v>
      </c>
      <c r="D55" s="375" t="s">
        <v>394</v>
      </c>
      <c r="E55" s="375" t="s">
        <v>390</v>
      </c>
      <c r="F55" s="375" t="s">
        <v>356</v>
      </c>
      <c r="G55" s="381">
        <v>56.906441796899763</v>
      </c>
      <c r="H55" s="381">
        <v>9.9145115889466506</v>
      </c>
      <c r="I55" s="381">
        <v>5.9786497784150079</v>
      </c>
      <c r="J55" s="384">
        <v>117.95511713417932</v>
      </c>
      <c r="K55" s="381">
        <v>61.854828040108437</v>
      </c>
      <c r="L55" s="381">
        <v>5.9786497784150079</v>
      </c>
      <c r="M55" s="381">
        <v>9.9145115889466506</v>
      </c>
      <c r="N55" s="375">
        <v>5.8977558567089661</v>
      </c>
      <c r="O55" s="375">
        <v>56.906441796899763</v>
      </c>
      <c r="P55" s="375">
        <v>0</v>
      </c>
      <c r="Q55" s="375">
        <v>0</v>
      </c>
      <c r="R55" s="375">
        <v>0</v>
      </c>
      <c r="S55" s="375">
        <v>56.906441796899763</v>
      </c>
      <c r="T55" s="375" t="s">
        <v>420</v>
      </c>
      <c r="U55" s="382">
        <v>22.143147327462991</v>
      </c>
      <c r="V55">
        <f t="shared" si="0"/>
        <v>0.92</v>
      </c>
    </row>
    <row r="56" spans="2:22">
      <c r="B56" s="376" t="s">
        <v>352</v>
      </c>
      <c r="C56" s="376" t="s">
        <v>370</v>
      </c>
      <c r="D56" s="376" t="s">
        <v>354</v>
      </c>
      <c r="E56" s="376" t="s">
        <v>364</v>
      </c>
      <c r="F56" s="376" t="s">
        <v>365</v>
      </c>
      <c r="G56" s="379">
        <v>92024.203710652975</v>
      </c>
      <c r="H56" s="379">
        <v>20021.626308795476</v>
      </c>
      <c r="I56" s="379">
        <v>202.23864958379269</v>
      </c>
      <c r="J56" s="383">
        <v>1.3436796472691261</v>
      </c>
      <c r="K56" s="379">
        <v>102249.11523405886</v>
      </c>
      <c r="L56" s="379">
        <v>202.23864958379269</v>
      </c>
      <c r="M56" s="379">
        <v>20021.626308795476</v>
      </c>
      <c r="N56" s="376">
        <v>1.0077597354518448</v>
      </c>
      <c r="O56" s="376">
        <v>92024.203710652975</v>
      </c>
      <c r="P56" s="376">
        <v>92024.203710652975</v>
      </c>
      <c r="Q56" s="376">
        <v>0</v>
      </c>
      <c r="R56" s="376">
        <v>0</v>
      </c>
      <c r="S56" s="376">
        <v>0</v>
      </c>
      <c r="T56" s="376" t="s">
        <v>419</v>
      </c>
      <c r="U56" s="380">
        <v>20223.864958379269</v>
      </c>
      <c r="V56">
        <f t="shared" si="0"/>
        <v>0.9</v>
      </c>
    </row>
    <row r="57" spans="2:22">
      <c r="B57" s="375" t="s">
        <v>352</v>
      </c>
      <c r="C57" s="375" t="s">
        <v>370</v>
      </c>
      <c r="D57" s="375" t="s">
        <v>354</v>
      </c>
      <c r="E57" s="375" t="s">
        <v>393</v>
      </c>
      <c r="F57" s="375" t="s">
        <v>365</v>
      </c>
      <c r="G57" s="381">
        <v>5794.1165299300019</v>
      </c>
      <c r="H57" s="381">
        <v>1334.7750872530321</v>
      </c>
      <c r="I57" s="381">
        <v>13.482576638919516</v>
      </c>
      <c r="J57" s="384">
        <v>1.3436796472691261</v>
      </c>
      <c r="K57" s="381">
        <v>6816.6076822705909</v>
      </c>
      <c r="L57" s="381">
        <v>13.482576638919516</v>
      </c>
      <c r="M57" s="381">
        <v>1334.7750872530321</v>
      </c>
      <c r="N57" s="375">
        <v>6.718398236345631E-2</v>
      </c>
      <c r="O57" s="375">
        <v>5794.1165299300019</v>
      </c>
      <c r="P57" s="375">
        <v>5794.1165299300019</v>
      </c>
      <c r="Q57" s="375">
        <v>0</v>
      </c>
      <c r="R57" s="375">
        <v>0</v>
      </c>
      <c r="S57" s="375">
        <v>0</v>
      </c>
      <c r="T57" s="375" t="s">
        <v>425</v>
      </c>
      <c r="U57" s="382">
        <v>1348.2576638919516</v>
      </c>
      <c r="V57">
        <f t="shared" si="0"/>
        <v>0.85</v>
      </c>
    </row>
    <row r="58" spans="2:22">
      <c r="B58" s="376" t="s">
        <v>352</v>
      </c>
      <c r="C58" s="376" t="s">
        <v>370</v>
      </c>
      <c r="D58" s="376" t="s">
        <v>354</v>
      </c>
      <c r="E58" s="376" t="s">
        <v>383</v>
      </c>
      <c r="F58" s="376" t="s">
        <v>365</v>
      </c>
      <c r="G58" s="379">
        <v>23176.466119720008</v>
      </c>
      <c r="H58" s="379">
        <v>5339.1003490121284</v>
      </c>
      <c r="I58" s="379">
        <v>53.930306555678065</v>
      </c>
      <c r="J58" s="383">
        <v>1.3436796472691261</v>
      </c>
      <c r="K58" s="379">
        <v>27266.430729082364</v>
      </c>
      <c r="L58" s="379">
        <v>53.930306555678065</v>
      </c>
      <c r="M58" s="379">
        <v>5339.1003490121284</v>
      </c>
      <c r="N58" s="376">
        <v>0.26873592945382524</v>
      </c>
      <c r="O58" s="376">
        <v>23176.466119720008</v>
      </c>
      <c r="P58" s="376">
        <v>23176.466119720008</v>
      </c>
      <c r="Q58" s="376">
        <v>0</v>
      </c>
      <c r="R58" s="376">
        <v>0</v>
      </c>
      <c r="S58" s="376">
        <v>0</v>
      </c>
      <c r="T58" s="376" t="s">
        <v>424</v>
      </c>
      <c r="U58" s="380">
        <v>5393.0306555678062</v>
      </c>
      <c r="V58">
        <f t="shared" si="0"/>
        <v>0.85</v>
      </c>
    </row>
    <row r="59" spans="2:22">
      <c r="B59" s="375" t="s">
        <v>352</v>
      </c>
      <c r="C59" s="375" t="s">
        <v>370</v>
      </c>
      <c r="D59" s="375" t="s">
        <v>354</v>
      </c>
      <c r="E59" s="375" t="s">
        <v>371</v>
      </c>
      <c r="F59" s="375" t="s">
        <v>356</v>
      </c>
      <c r="G59" s="381">
        <v>92024.20371065299</v>
      </c>
      <c r="H59" s="381">
        <v>20021.626308795483</v>
      </c>
      <c r="I59" s="381">
        <v>202.23864958379275</v>
      </c>
      <c r="J59" s="384">
        <v>1.6487741424501552</v>
      </c>
      <c r="K59" s="381">
        <v>102249.11523405887</v>
      </c>
      <c r="L59" s="381">
        <v>202.23864958379275</v>
      </c>
      <c r="M59" s="381">
        <v>20021.626308795483</v>
      </c>
      <c r="N59" s="375">
        <v>1.2365806068376164</v>
      </c>
      <c r="O59" s="375">
        <v>92024.20371065299</v>
      </c>
      <c r="P59" s="375">
        <v>92024.20371065299</v>
      </c>
      <c r="Q59" s="375">
        <v>0</v>
      </c>
      <c r="R59" s="375">
        <v>0</v>
      </c>
      <c r="S59" s="375">
        <v>0</v>
      </c>
      <c r="T59" s="375" t="s">
        <v>419</v>
      </c>
      <c r="U59" s="382">
        <v>20223.864958379276</v>
      </c>
      <c r="V59">
        <f t="shared" si="0"/>
        <v>0.9</v>
      </c>
    </row>
    <row r="60" spans="2:22">
      <c r="B60" s="376" t="s">
        <v>352</v>
      </c>
      <c r="C60" s="376" t="s">
        <v>370</v>
      </c>
      <c r="D60" s="376" t="s">
        <v>354</v>
      </c>
      <c r="E60" s="376" t="s">
        <v>392</v>
      </c>
      <c r="F60" s="376" t="s">
        <v>356</v>
      </c>
      <c r="G60" s="379">
        <v>5794.1165299300037</v>
      </c>
      <c r="H60" s="379">
        <v>1334.7750872530326</v>
      </c>
      <c r="I60" s="379">
        <v>13.48257663891952</v>
      </c>
      <c r="J60" s="383">
        <v>1.6487741424501552</v>
      </c>
      <c r="K60" s="379">
        <v>6816.6076822705927</v>
      </c>
      <c r="L60" s="379">
        <v>13.48257663891952</v>
      </c>
      <c r="M60" s="379">
        <v>1334.7750872530326</v>
      </c>
      <c r="N60" s="376">
        <v>8.2438707122507782E-2</v>
      </c>
      <c r="O60" s="376">
        <v>5794.1165299300037</v>
      </c>
      <c r="P60" s="376">
        <v>5794.1165299300037</v>
      </c>
      <c r="Q60" s="376">
        <v>0</v>
      </c>
      <c r="R60" s="376">
        <v>0</v>
      </c>
      <c r="S60" s="376">
        <v>0</v>
      </c>
      <c r="T60" s="376" t="s">
        <v>425</v>
      </c>
      <c r="U60" s="380">
        <v>1348.257663891952</v>
      </c>
      <c r="V60">
        <f t="shared" si="0"/>
        <v>0.85</v>
      </c>
    </row>
    <row r="61" spans="2:22">
      <c r="B61" s="375" t="s">
        <v>352</v>
      </c>
      <c r="C61" s="375" t="s">
        <v>370</v>
      </c>
      <c r="D61" s="375" t="s">
        <v>354</v>
      </c>
      <c r="E61" s="375" t="s">
        <v>367</v>
      </c>
      <c r="F61" s="375" t="s">
        <v>356</v>
      </c>
      <c r="G61" s="381">
        <v>23176.466119720015</v>
      </c>
      <c r="H61" s="381">
        <v>5339.1003490121302</v>
      </c>
      <c r="I61" s="381">
        <v>53.930306555678079</v>
      </c>
      <c r="J61" s="384">
        <v>1.6487741424501552</v>
      </c>
      <c r="K61" s="381">
        <v>27266.430729082371</v>
      </c>
      <c r="L61" s="381">
        <v>53.930306555678079</v>
      </c>
      <c r="M61" s="381">
        <v>5339.1003490121302</v>
      </c>
      <c r="N61" s="375">
        <v>0.32975482849003113</v>
      </c>
      <c r="O61" s="375">
        <v>23176.466119720015</v>
      </c>
      <c r="P61" s="375">
        <v>23176.466119720015</v>
      </c>
      <c r="Q61" s="375">
        <v>0</v>
      </c>
      <c r="R61" s="375">
        <v>0</v>
      </c>
      <c r="S61" s="375">
        <v>0</v>
      </c>
      <c r="T61" s="375" t="s">
        <v>424</v>
      </c>
      <c r="U61" s="382">
        <v>5393.030655567808</v>
      </c>
      <c r="V61">
        <f t="shared" si="0"/>
        <v>0.85</v>
      </c>
    </row>
    <row r="62" spans="2:22">
      <c r="B62" s="376" t="s">
        <v>352</v>
      </c>
      <c r="C62" s="376" t="s">
        <v>353</v>
      </c>
      <c r="D62" s="376" t="s">
        <v>354</v>
      </c>
      <c r="E62" s="376" t="s">
        <v>357</v>
      </c>
      <c r="F62" s="376" t="s">
        <v>358</v>
      </c>
      <c r="G62" s="379">
        <v>1833641.8624626175</v>
      </c>
      <c r="H62" s="379">
        <v>-369339.01958450273</v>
      </c>
      <c r="I62" s="379">
        <v>3196.2869595225829</v>
      </c>
      <c r="J62" s="379">
        <v>6.644394060112262E-3</v>
      </c>
      <c r="K62" s="379">
        <v>3667283.7249252349</v>
      </c>
      <c r="L62" s="379">
        <v>3196.2869595225829</v>
      </c>
      <c r="M62" s="379">
        <v>-369339.01958450273</v>
      </c>
      <c r="N62" s="376">
        <v>3.9866364360673567E-3</v>
      </c>
      <c r="O62" s="376">
        <v>1833641.8624626175</v>
      </c>
      <c r="P62" s="376">
        <v>0</v>
      </c>
      <c r="Q62" s="376">
        <v>1833641.8624626175</v>
      </c>
      <c r="R62" s="376">
        <v>0</v>
      </c>
      <c r="S62" s="376">
        <v>0</v>
      </c>
      <c r="T62" s="376" t="s">
        <v>421</v>
      </c>
      <c r="U62" s="380">
        <v>319628.69595225831</v>
      </c>
      <c r="V62">
        <f t="shared" si="0"/>
        <v>0.5</v>
      </c>
    </row>
    <row r="63" spans="2:22">
      <c r="B63" s="375" t="s">
        <v>352</v>
      </c>
      <c r="C63" s="375" t="s">
        <v>353</v>
      </c>
      <c r="D63" s="375" t="s">
        <v>354</v>
      </c>
      <c r="E63" s="375" t="s">
        <v>366</v>
      </c>
      <c r="F63" s="375" t="s">
        <v>358</v>
      </c>
      <c r="G63" s="381">
        <v>277083.65921657329</v>
      </c>
      <c r="H63" s="381">
        <v>-32830.135074178026</v>
      </c>
      <c r="I63" s="381">
        <v>284.11439640200746</v>
      </c>
      <c r="J63" s="381">
        <v>1.9933182180336788E-2</v>
      </c>
      <c r="K63" s="381">
        <v>325980.77554890979</v>
      </c>
      <c r="L63" s="381">
        <v>284.11439640200746</v>
      </c>
      <c r="M63" s="381">
        <v>-32830.135074178026</v>
      </c>
      <c r="N63" s="375">
        <v>1.063103049617962E-3</v>
      </c>
      <c r="O63" s="375">
        <v>277083.65921657329</v>
      </c>
      <c r="P63" s="375">
        <v>277083.65921657329</v>
      </c>
      <c r="Q63" s="375">
        <v>0</v>
      </c>
      <c r="R63" s="375">
        <v>0</v>
      </c>
      <c r="S63" s="375">
        <v>0</v>
      </c>
      <c r="T63" s="375" t="s">
        <v>424</v>
      </c>
      <c r="U63" s="382">
        <v>28411.439640200748</v>
      </c>
      <c r="V63">
        <f t="shared" si="0"/>
        <v>0.84999999999999987</v>
      </c>
    </row>
    <row r="64" spans="2:22">
      <c r="B64" s="376" t="s">
        <v>352</v>
      </c>
      <c r="C64" s="376" t="s">
        <v>353</v>
      </c>
      <c r="D64" s="376" t="s">
        <v>354</v>
      </c>
      <c r="E64" s="376" t="s">
        <v>368</v>
      </c>
      <c r="F64" s="376" t="s">
        <v>356</v>
      </c>
      <c r="G64" s="379">
        <v>224926.73512874771</v>
      </c>
      <c r="H64" s="379">
        <v>-24622.601305633518</v>
      </c>
      <c r="I64" s="379">
        <v>213.08579730150555</v>
      </c>
      <c r="J64" s="383">
        <v>5.9601336356393269</v>
      </c>
      <c r="K64" s="379">
        <v>244485.58166168228</v>
      </c>
      <c r="L64" s="379">
        <v>213.08579730150555</v>
      </c>
      <c r="M64" s="379">
        <v>-24622.601305633518</v>
      </c>
      <c r="N64" s="376">
        <v>0.23840534542557304</v>
      </c>
      <c r="O64" s="376">
        <v>224926.73512874771</v>
      </c>
      <c r="P64" s="376">
        <v>0</v>
      </c>
      <c r="Q64" s="376">
        <v>224926.73512874771</v>
      </c>
      <c r="R64" s="376">
        <v>0</v>
      </c>
      <c r="S64" s="376">
        <v>0</v>
      </c>
      <c r="T64" s="376" t="s">
        <v>422</v>
      </c>
      <c r="U64" s="380">
        <v>21308.579730150555</v>
      </c>
      <c r="V64">
        <f t="shared" si="0"/>
        <v>0.92</v>
      </c>
    </row>
    <row r="65" spans="2:22">
      <c r="B65" s="375" t="s">
        <v>352</v>
      </c>
      <c r="C65" s="375" t="s">
        <v>353</v>
      </c>
      <c r="D65" s="375" t="s">
        <v>354</v>
      </c>
      <c r="E65" s="375" t="s">
        <v>355</v>
      </c>
      <c r="F65" s="375" t="s">
        <v>356</v>
      </c>
      <c r="G65" s="381">
        <v>1833641.8624626177</v>
      </c>
      <c r="H65" s="381">
        <v>-369339.01958450273</v>
      </c>
      <c r="I65" s="381">
        <v>3196.2869595225839</v>
      </c>
      <c r="J65" s="381">
        <v>0.9933556059398877</v>
      </c>
      <c r="K65" s="381">
        <v>3667283.7249252354</v>
      </c>
      <c r="L65" s="381">
        <v>3196.2869595225839</v>
      </c>
      <c r="M65" s="381">
        <v>-369339.01958450273</v>
      </c>
      <c r="N65" s="375">
        <v>0.59601336356393264</v>
      </c>
      <c r="O65" s="375">
        <v>1833641.8624626177</v>
      </c>
      <c r="P65" s="375">
        <v>0</v>
      </c>
      <c r="Q65" s="375">
        <v>1833641.8624626177</v>
      </c>
      <c r="R65" s="375">
        <v>0</v>
      </c>
      <c r="S65" s="375">
        <v>0</v>
      </c>
      <c r="T65" s="375" t="s">
        <v>421</v>
      </c>
      <c r="U65" s="382">
        <v>319628.69595225836</v>
      </c>
      <c r="V65">
        <f t="shared" si="0"/>
        <v>0.5</v>
      </c>
    </row>
    <row r="66" spans="2:22">
      <c r="B66" s="376" t="s">
        <v>352</v>
      </c>
      <c r="C66" s="376" t="s">
        <v>353</v>
      </c>
      <c r="D66" s="376" t="s">
        <v>354</v>
      </c>
      <c r="E66" s="376" t="s">
        <v>367</v>
      </c>
      <c r="F66" s="376" t="s">
        <v>356</v>
      </c>
      <c r="G66" s="379">
        <v>277083.65921657329</v>
      </c>
      <c r="H66" s="379">
        <v>-32830.135074178026</v>
      </c>
      <c r="I66" s="379">
        <v>284.11439640200746</v>
      </c>
      <c r="J66" s="383">
        <v>2.980066817819663</v>
      </c>
      <c r="K66" s="379">
        <v>325980.77554890979</v>
      </c>
      <c r="L66" s="379">
        <v>284.11439640200746</v>
      </c>
      <c r="M66" s="379">
        <v>-32830.135074178026</v>
      </c>
      <c r="N66" s="376">
        <v>0.15893689695038199</v>
      </c>
      <c r="O66" s="376">
        <v>277083.65921657329</v>
      </c>
      <c r="P66" s="376">
        <v>277083.65921657329</v>
      </c>
      <c r="Q66" s="376">
        <v>0</v>
      </c>
      <c r="R66" s="376">
        <v>0</v>
      </c>
      <c r="S66" s="376">
        <v>0</v>
      </c>
      <c r="T66" s="376" t="s">
        <v>424</v>
      </c>
      <c r="U66" s="380">
        <v>28411.439640200748</v>
      </c>
      <c r="V66">
        <f t="shared" si="0"/>
        <v>0.84999999999999987</v>
      </c>
    </row>
    <row r="67" spans="2:22">
      <c r="B67" s="375" t="s">
        <v>352</v>
      </c>
      <c r="C67" s="375" t="s">
        <v>353</v>
      </c>
      <c r="D67" s="375" t="s">
        <v>394</v>
      </c>
      <c r="E67" s="375" t="s">
        <v>389</v>
      </c>
      <c r="F67" s="375" t="s">
        <v>365</v>
      </c>
      <c r="G67" s="381">
        <v>314.34636439742536</v>
      </c>
      <c r="H67" s="381">
        <v>-34.392507749606139</v>
      </c>
      <c r="I67" s="381">
        <v>0.29763528410567652</v>
      </c>
      <c r="J67" s="384">
        <v>1.851101589848221</v>
      </c>
      <c r="K67" s="381">
        <v>341.68083086676671</v>
      </c>
      <c r="L67" s="381">
        <v>0.29763528410567652</v>
      </c>
      <c r="M67" s="381">
        <v>-34.392507749606139</v>
      </c>
      <c r="N67" s="375">
        <v>0.74044063593928833</v>
      </c>
      <c r="O67" s="375">
        <v>314.34636439742536</v>
      </c>
      <c r="P67" s="375">
        <v>0</v>
      </c>
      <c r="Q67" s="375">
        <v>314.34636439742536</v>
      </c>
      <c r="R67" s="375">
        <v>0</v>
      </c>
      <c r="S67" s="375">
        <v>0</v>
      </c>
      <c r="T67" s="375" t="s">
        <v>422</v>
      </c>
      <c r="U67" s="382">
        <v>29.763528410567652</v>
      </c>
      <c r="V67">
        <f t="shared" si="0"/>
        <v>0.91999999999999993</v>
      </c>
    </row>
    <row r="68" spans="2:22">
      <c r="B68" s="376" t="s">
        <v>352</v>
      </c>
      <c r="C68" s="376" t="s">
        <v>353</v>
      </c>
      <c r="D68" s="376" t="s">
        <v>394</v>
      </c>
      <c r="E68" s="376" t="s">
        <v>383</v>
      </c>
      <c r="F68" s="376" t="s">
        <v>365</v>
      </c>
      <c r="G68" s="379">
        <v>435.64305935512755</v>
      </c>
      <c r="H68" s="379">
        <v>-51.588761624409216</v>
      </c>
      <c r="I68" s="379">
        <v>0.44645292615851462</v>
      </c>
      <c r="J68" s="383">
        <v>1.851101589848221</v>
      </c>
      <c r="K68" s="379">
        <v>512.5212463001501</v>
      </c>
      <c r="L68" s="379">
        <v>0.44645292615851462</v>
      </c>
      <c r="M68" s="379">
        <v>-51.588761624409216</v>
      </c>
      <c r="N68" s="376">
        <v>1.1106609539089327</v>
      </c>
      <c r="O68" s="376">
        <v>435.64305935512755</v>
      </c>
      <c r="P68" s="376">
        <v>435.64305935512755</v>
      </c>
      <c r="Q68" s="376">
        <v>0</v>
      </c>
      <c r="R68" s="376">
        <v>0</v>
      </c>
      <c r="S68" s="376">
        <v>0</v>
      </c>
      <c r="T68" s="376" t="s">
        <v>424</v>
      </c>
      <c r="U68" s="380">
        <v>44.64529261585146</v>
      </c>
      <c r="V68">
        <f t="shared" si="0"/>
        <v>0.85</v>
      </c>
    </row>
    <row r="69" spans="2:22">
      <c r="B69" s="375" t="s">
        <v>352</v>
      </c>
      <c r="C69" s="375" t="s">
        <v>353</v>
      </c>
      <c r="D69" s="375" t="s">
        <v>394</v>
      </c>
      <c r="E69" s="375" t="s">
        <v>381</v>
      </c>
      <c r="F69" s="375" t="s">
        <v>358</v>
      </c>
      <c r="G69" s="381">
        <v>314.34636439742542</v>
      </c>
      <c r="H69" s="381">
        <v>-34.392507749606139</v>
      </c>
      <c r="I69" s="381">
        <v>0.29763528410567658</v>
      </c>
      <c r="J69" s="384">
        <v>106.44547800610009</v>
      </c>
      <c r="K69" s="381">
        <v>341.68083086676677</v>
      </c>
      <c r="L69" s="381">
        <v>0.29763528410567658</v>
      </c>
      <c r="M69" s="381">
        <v>-34.392507749606139</v>
      </c>
      <c r="N69" s="375">
        <v>42.578191202440038</v>
      </c>
      <c r="O69" s="375">
        <v>314.34636439742542</v>
      </c>
      <c r="P69" s="375">
        <v>0</v>
      </c>
      <c r="Q69" s="375">
        <v>314.34636439742542</v>
      </c>
      <c r="R69" s="375">
        <v>0</v>
      </c>
      <c r="S69" s="375">
        <v>0</v>
      </c>
      <c r="T69" s="375" t="s">
        <v>422</v>
      </c>
      <c r="U69" s="382">
        <v>29.763528410567655</v>
      </c>
      <c r="V69">
        <f t="shared" ref="V69:V107" si="1">+O69/K69</f>
        <v>0.91999999999999993</v>
      </c>
    </row>
    <row r="70" spans="2:22">
      <c r="B70" s="376" t="s">
        <v>352</v>
      </c>
      <c r="C70" s="376" t="s">
        <v>353</v>
      </c>
      <c r="D70" s="376" t="s">
        <v>394</v>
      </c>
      <c r="E70" s="376" t="s">
        <v>366</v>
      </c>
      <c r="F70" s="376" t="s">
        <v>358</v>
      </c>
      <c r="G70" s="379">
        <v>435.64305935512749</v>
      </c>
      <c r="H70" s="379">
        <v>-51.588761624409209</v>
      </c>
      <c r="I70" s="379">
        <v>0.44645292615851467</v>
      </c>
      <c r="J70" s="383">
        <v>106.44547800610012</v>
      </c>
      <c r="K70" s="379">
        <v>512.52124630014998</v>
      </c>
      <c r="L70" s="379">
        <v>0.44645292615851467</v>
      </c>
      <c r="M70" s="379">
        <v>-51.588761624409209</v>
      </c>
      <c r="N70" s="376">
        <v>63.867286803660051</v>
      </c>
      <c r="O70" s="376">
        <v>435.64305935512749</v>
      </c>
      <c r="P70" s="376">
        <v>435.64305935512749</v>
      </c>
      <c r="Q70" s="376">
        <v>0</v>
      </c>
      <c r="R70" s="376">
        <v>0</v>
      </c>
      <c r="S70" s="376">
        <v>0</v>
      </c>
      <c r="T70" s="376" t="s">
        <v>424</v>
      </c>
      <c r="U70" s="380">
        <v>44.645292615851467</v>
      </c>
      <c r="V70">
        <f t="shared" si="1"/>
        <v>0.85</v>
      </c>
    </row>
    <row r="71" spans="2:22">
      <c r="B71" s="375" t="s">
        <v>352</v>
      </c>
      <c r="C71" s="375" t="s">
        <v>353</v>
      </c>
      <c r="D71" s="375" t="s">
        <v>394</v>
      </c>
      <c r="E71" s="375" t="s">
        <v>368</v>
      </c>
      <c r="F71" s="375" t="s">
        <v>356</v>
      </c>
      <c r="G71" s="381">
        <v>314.34636439742536</v>
      </c>
      <c r="H71" s="381">
        <v>-34.392507749606139</v>
      </c>
      <c r="I71" s="381">
        <v>0.29763528410567658</v>
      </c>
      <c r="J71" s="384">
        <v>672.70342040405171</v>
      </c>
      <c r="K71" s="381">
        <v>341.68083086676671</v>
      </c>
      <c r="L71" s="381">
        <v>0.29763528410567658</v>
      </c>
      <c r="M71" s="381">
        <v>-34.392507749606139</v>
      </c>
      <c r="N71" s="375">
        <v>269.08136816162067</v>
      </c>
      <c r="O71" s="375">
        <v>314.34636439742536</v>
      </c>
      <c r="P71" s="375">
        <v>0</v>
      </c>
      <c r="Q71" s="375">
        <v>314.34636439742536</v>
      </c>
      <c r="R71" s="375">
        <v>0</v>
      </c>
      <c r="S71" s="375">
        <v>0</v>
      </c>
      <c r="T71" s="375" t="s">
        <v>422</v>
      </c>
      <c r="U71" s="382">
        <v>29.763528410567655</v>
      </c>
      <c r="V71">
        <f t="shared" si="1"/>
        <v>0.91999999999999993</v>
      </c>
    </row>
    <row r="72" spans="2:22">
      <c r="B72" s="376" t="s">
        <v>352</v>
      </c>
      <c r="C72" s="376" t="s">
        <v>353</v>
      </c>
      <c r="D72" s="376" t="s">
        <v>394</v>
      </c>
      <c r="E72" s="376" t="s">
        <v>367</v>
      </c>
      <c r="F72" s="376" t="s">
        <v>356</v>
      </c>
      <c r="G72" s="379">
        <v>435.64305935512749</v>
      </c>
      <c r="H72" s="379">
        <v>-51.588761624409216</v>
      </c>
      <c r="I72" s="379">
        <v>0.44645292615851473</v>
      </c>
      <c r="J72" s="383">
        <v>672.70342040405171</v>
      </c>
      <c r="K72" s="379">
        <v>512.52124630014998</v>
      </c>
      <c r="L72" s="379">
        <v>0.44645292615851473</v>
      </c>
      <c r="M72" s="379">
        <v>-51.588761624409216</v>
      </c>
      <c r="N72" s="376">
        <v>403.62205224243093</v>
      </c>
      <c r="O72" s="376">
        <v>435.64305935512749</v>
      </c>
      <c r="P72" s="376">
        <v>435.64305935512749</v>
      </c>
      <c r="Q72" s="376">
        <v>0</v>
      </c>
      <c r="R72" s="376">
        <v>0</v>
      </c>
      <c r="S72" s="376">
        <v>0</v>
      </c>
      <c r="T72" s="376" t="s">
        <v>424</v>
      </c>
      <c r="U72" s="380">
        <v>44.645292615851474</v>
      </c>
      <c r="V72">
        <f t="shared" si="1"/>
        <v>0.85</v>
      </c>
    </row>
    <row r="73" spans="2:22">
      <c r="B73" s="375" t="s">
        <v>352</v>
      </c>
      <c r="C73" s="375" t="s">
        <v>375</v>
      </c>
      <c r="D73" s="375" t="s">
        <v>354</v>
      </c>
      <c r="E73" s="375" t="s">
        <v>368</v>
      </c>
      <c r="F73" s="375" t="s">
        <v>356</v>
      </c>
      <c r="G73" s="381">
        <v>67341.297623179868</v>
      </c>
      <c r="H73" s="381">
        <v>110208.478446333</v>
      </c>
      <c r="I73" s="381">
        <v>5886.6755547565954</v>
      </c>
      <c r="J73" s="384">
        <v>2.9930010169777166</v>
      </c>
      <c r="K73" s="381">
        <v>73197.062633891153</v>
      </c>
      <c r="L73" s="381">
        <v>5886.6755547565954</v>
      </c>
      <c r="M73" s="381">
        <v>110208.478446333</v>
      </c>
      <c r="N73" s="375">
        <v>1.4965005084888581</v>
      </c>
      <c r="O73" s="375">
        <v>67341.297623179868</v>
      </c>
      <c r="P73" s="375">
        <v>0</v>
      </c>
      <c r="Q73" s="375">
        <v>0</v>
      </c>
      <c r="R73" s="375">
        <v>40404.778573907919</v>
      </c>
      <c r="S73" s="375">
        <v>26936.519049271948</v>
      </c>
      <c r="T73" s="375" t="s">
        <v>422</v>
      </c>
      <c r="U73" s="382">
        <v>117733.51109513189</v>
      </c>
      <c r="V73">
        <f t="shared" si="1"/>
        <v>0.92</v>
      </c>
    </row>
    <row r="74" spans="2:22">
      <c r="B74" s="376" t="s">
        <v>352</v>
      </c>
      <c r="C74" s="376" t="s">
        <v>375</v>
      </c>
      <c r="D74" s="376" t="s">
        <v>354</v>
      </c>
      <c r="E74" s="376" t="s">
        <v>355</v>
      </c>
      <c r="F74" s="376" t="s">
        <v>356</v>
      </c>
      <c r="G74" s="379">
        <v>32938.678185251025</v>
      </c>
      <c r="H74" s="379">
        <v>99187.630601699711</v>
      </c>
      <c r="I74" s="379">
        <v>5298.0079992809369</v>
      </c>
      <c r="J74" s="383">
        <v>2.9930010169777166</v>
      </c>
      <c r="K74" s="379">
        <v>65877.35637050205</v>
      </c>
      <c r="L74" s="379">
        <v>5298.0079992809369</v>
      </c>
      <c r="M74" s="379">
        <v>99187.630601699711</v>
      </c>
      <c r="N74" s="376">
        <v>1.3468504576399725</v>
      </c>
      <c r="O74" s="376">
        <v>32938.678185251025</v>
      </c>
      <c r="P74" s="376">
        <v>0</v>
      </c>
      <c r="Q74" s="376">
        <v>0</v>
      </c>
      <c r="R74" s="376">
        <v>32938.678185251025</v>
      </c>
      <c r="S74" s="376">
        <v>0</v>
      </c>
      <c r="T74" s="376" t="s">
        <v>421</v>
      </c>
      <c r="U74" s="380">
        <v>105960.15998561872</v>
      </c>
      <c r="V74">
        <f t="shared" si="1"/>
        <v>0.5</v>
      </c>
    </row>
    <row r="75" spans="2:22">
      <c r="B75" s="375" t="s">
        <v>352</v>
      </c>
      <c r="C75" s="375" t="s">
        <v>375</v>
      </c>
      <c r="D75" s="375" t="s">
        <v>354</v>
      </c>
      <c r="E75" s="375" t="s">
        <v>390</v>
      </c>
      <c r="F75" s="375" t="s">
        <v>356</v>
      </c>
      <c r="G75" s="381">
        <v>6734.1297623179871</v>
      </c>
      <c r="H75" s="381">
        <v>11020.847844633301</v>
      </c>
      <c r="I75" s="381">
        <v>588.66755547565947</v>
      </c>
      <c r="J75" s="384">
        <v>2.9930010169777166</v>
      </c>
      <c r="K75" s="381">
        <v>7319.7062633891164</v>
      </c>
      <c r="L75" s="381">
        <v>588.66755547565947</v>
      </c>
      <c r="M75" s="381">
        <v>11020.847844633301</v>
      </c>
      <c r="N75" s="375">
        <v>0.14965005084888586</v>
      </c>
      <c r="O75" s="375">
        <v>6734.1297623179871</v>
      </c>
      <c r="P75" s="375">
        <v>0</v>
      </c>
      <c r="Q75" s="375">
        <v>0</v>
      </c>
      <c r="R75" s="375">
        <v>6734.1297623179871</v>
      </c>
      <c r="S75" s="375">
        <v>0</v>
      </c>
      <c r="T75" s="375" t="s">
        <v>420</v>
      </c>
      <c r="U75" s="382">
        <v>11773.351109513189</v>
      </c>
      <c r="V75">
        <f t="shared" si="1"/>
        <v>0.92</v>
      </c>
    </row>
    <row r="76" spans="2:22">
      <c r="B76" s="376" t="s">
        <v>352</v>
      </c>
      <c r="C76" s="376" t="s">
        <v>375</v>
      </c>
      <c r="D76" s="376" t="s">
        <v>394</v>
      </c>
      <c r="E76" s="376" t="s">
        <v>381</v>
      </c>
      <c r="F76" s="376" t="s">
        <v>358</v>
      </c>
      <c r="G76" s="379">
        <v>249.82918549788005</v>
      </c>
      <c r="H76" s="379">
        <v>408.09562947769916</v>
      </c>
      <c r="I76" s="379">
        <v>21.798019534578831</v>
      </c>
      <c r="J76" s="383">
        <v>678.18190376871667</v>
      </c>
      <c r="K76" s="379">
        <v>271.5534624976957</v>
      </c>
      <c r="L76" s="379">
        <v>21.798019534578831</v>
      </c>
      <c r="M76" s="379">
        <v>408.09562947769916</v>
      </c>
      <c r="N76" s="376">
        <v>406.90914226122999</v>
      </c>
      <c r="O76" s="376">
        <v>249.82918549788005</v>
      </c>
      <c r="P76" s="376">
        <v>0</v>
      </c>
      <c r="Q76" s="376">
        <v>0</v>
      </c>
      <c r="R76" s="376">
        <v>149.89751129872803</v>
      </c>
      <c r="S76" s="376">
        <v>99.931674199152027</v>
      </c>
      <c r="T76" s="376" t="s">
        <v>422</v>
      </c>
      <c r="U76" s="380">
        <v>435.96039069157661</v>
      </c>
      <c r="V76">
        <f t="shared" si="1"/>
        <v>0.92</v>
      </c>
    </row>
    <row r="77" spans="2:22">
      <c r="B77" s="375" t="s">
        <v>352</v>
      </c>
      <c r="C77" s="375" t="s">
        <v>375</v>
      </c>
      <c r="D77" s="375" t="s">
        <v>394</v>
      </c>
      <c r="E77" s="375" t="s">
        <v>357</v>
      </c>
      <c r="F77" s="375" t="s">
        <v>358</v>
      </c>
      <c r="G77" s="381">
        <v>33.944182812211963</v>
      </c>
      <c r="H77" s="381">
        <v>102.02390736942479</v>
      </c>
      <c r="I77" s="381">
        <v>5.4495048836447078</v>
      </c>
      <c r="J77" s="384">
        <v>678.18190376871667</v>
      </c>
      <c r="K77" s="381">
        <v>67.888365624423926</v>
      </c>
      <c r="L77" s="381">
        <v>5.4495048836447078</v>
      </c>
      <c r="M77" s="381">
        <v>102.02390736942479</v>
      </c>
      <c r="N77" s="375">
        <v>101.7272855653075</v>
      </c>
      <c r="O77" s="375">
        <v>33.944182812211963</v>
      </c>
      <c r="P77" s="375">
        <v>0</v>
      </c>
      <c r="Q77" s="375">
        <v>0</v>
      </c>
      <c r="R77" s="375">
        <v>33.944182812211963</v>
      </c>
      <c r="S77" s="375">
        <v>0</v>
      </c>
      <c r="T77" s="375" t="s">
        <v>421</v>
      </c>
      <c r="U77" s="382">
        <v>108.99009767289415</v>
      </c>
      <c r="V77">
        <f t="shared" si="1"/>
        <v>0.5</v>
      </c>
    </row>
    <row r="78" spans="2:22">
      <c r="B78" s="376" t="s">
        <v>352</v>
      </c>
      <c r="C78" s="376" t="s">
        <v>375</v>
      </c>
      <c r="D78" s="376" t="s">
        <v>394</v>
      </c>
      <c r="E78" s="376" t="s">
        <v>382</v>
      </c>
      <c r="F78" s="376" t="s">
        <v>358</v>
      </c>
      <c r="G78" s="379">
        <v>41.63819758298002</v>
      </c>
      <c r="H78" s="379">
        <v>68.015938246283199</v>
      </c>
      <c r="I78" s="379">
        <v>3.6330032557631387</v>
      </c>
      <c r="J78" s="383">
        <v>678.18190376871667</v>
      </c>
      <c r="K78" s="379">
        <v>45.258910416282632</v>
      </c>
      <c r="L78" s="379">
        <v>3.6330032557631387</v>
      </c>
      <c r="M78" s="379">
        <v>68.015938246283199</v>
      </c>
      <c r="N78" s="376">
        <v>67.818190376871655</v>
      </c>
      <c r="O78" s="376">
        <v>41.63819758298002</v>
      </c>
      <c r="P78" s="376">
        <v>0</v>
      </c>
      <c r="Q78" s="376">
        <v>0</v>
      </c>
      <c r="R78" s="376">
        <v>41.63819758298002</v>
      </c>
      <c r="S78" s="376">
        <v>0</v>
      </c>
      <c r="T78" s="376" t="s">
        <v>423</v>
      </c>
      <c r="U78" s="380">
        <v>72.660065115262768</v>
      </c>
      <c r="V78">
        <f t="shared" si="1"/>
        <v>0.91999999999999993</v>
      </c>
    </row>
    <row r="79" spans="2:22">
      <c r="B79" s="375" t="s">
        <v>352</v>
      </c>
      <c r="C79" s="375" t="s">
        <v>375</v>
      </c>
      <c r="D79" s="375" t="s">
        <v>394</v>
      </c>
      <c r="E79" s="375" t="s">
        <v>366</v>
      </c>
      <c r="F79" s="375" t="s">
        <v>358</v>
      </c>
      <c r="G79" s="381">
        <v>19.235036926920117</v>
      </c>
      <c r="H79" s="381">
        <v>34.007969123141599</v>
      </c>
      <c r="I79" s="381">
        <v>1.8165016278815693</v>
      </c>
      <c r="J79" s="384">
        <v>678.18190376871667</v>
      </c>
      <c r="K79" s="381">
        <v>22.629455208141316</v>
      </c>
      <c r="L79" s="381">
        <v>1.8165016278815693</v>
      </c>
      <c r="M79" s="381">
        <v>34.007969123141599</v>
      </c>
      <c r="N79" s="375">
        <v>33.909095188435828</v>
      </c>
      <c r="O79" s="375">
        <v>19.235036926920117</v>
      </c>
      <c r="P79" s="375">
        <v>19.235036926920117</v>
      </c>
      <c r="Q79" s="375">
        <v>0</v>
      </c>
      <c r="R79" s="375">
        <v>0</v>
      </c>
      <c r="S79" s="375">
        <v>0</v>
      </c>
      <c r="T79" s="375" t="s">
        <v>424</v>
      </c>
      <c r="U79" s="382">
        <v>36.330032557631384</v>
      </c>
      <c r="V79">
        <f t="shared" si="1"/>
        <v>0.84999999999999987</v>
      </c>
    </row>
    <row r="80" spans="2:22">
      <c r="B80" s="376" t="s">
        <v>352</v>
      </c>
      <c r="C80" s="376" t="s">
        <v>375</v>
      </c>
      <c r="D80" s="376" t="s">
        <v>394</v>
      </c>
      <c r="E80" s="376" t="s">
        <v>391</v>
      </c>
      <c r="F80" s="376" t="s">
        <v>358</v>
      </c>
      <c r="G80" s="379">
        <v>41.63819758298002</v>
      </c>
      <c r="H80" s="379">
        <v>68.015938246283199</v>
      </c>
      <c r="I80" s="379">
        <v>3.6330032557631387</v>
      </c>
      <c r="J80" s="383">
        <v>678.18190376871667</v>
      </c>
      <c r="K80" s="379">
        <v>45.258910416282632</v>
      </c>
      <c r="L80" s="379">
        <v>3.6330032557631387</v>
      </c>
      <c r="M80" s="379">
        <v>68.015938246283199</v>
      </c>
      <c r="N80" s="376">
        <v>67.818190376871655</v>
      </c>
      <c r="O80" s="376">
        <v>41.63819758298002</v>
      </c>
      <c r="P80" s="376">
        <v>0</v>
      </c>
      <c r="Q80" s="376">
        <v>0</v>
      </c>
      <c r="R80" s="376">
        <v>41.63819758298002</v>
      </c>
      <c r="S80" s="376">
        <v>0</v>
      </c>
      <c r="T80" s="376" t="s">
        <v>420</v>
      </c>
      <c r="U80" s="380">
        <v>72.660065115262768</v>
      </c>
      <c r="V80">
        <f t="shared" si="1"/>
        <v>0.91999999999999993</v>
      </c>
    </row>
    <row r="81" spans="2:22">
      <c r="B81" s="375" t="s">
        <v>352</v>
      </c>
      <c r="C81" s="375" t="s">
        <v>375</v>
      </c>
      <c r="D81" s="375" t="s">
        <v>394</v>
      </c>
      <c r="E81" s="375" t="s">
        <v>368</v>
      </c>
      <c r="F81" s="375" t="s">
        <v>356</v>
      </c>
      <c r="G81" s="381">
        <v>249.8291854978801</v>
      </c>
      <c r="H81" s="381">
        <v>408.09562947769928</v>
      </c>
      <c r="I81" s="381">
        <v>21.798019534578831</v>
      </c>
      <c r="J81" s="384">
        <v>1239.8180962312833</v>
      </c>
      <c r="K81" s="381">
        <v>271.55346249769576</v>
      </c>
      <c r="L81" s="381">
        <v>21.798019534578831</v>
      </c>
      <c r="M81" s="381">
        <v>408.09562947769928</v>
      </c>
      <c r="N81" s="375">
        <v>743.89085773877002</v>
      </c>
      <c r="O81" s="375">
        <v>249.8291854978801</v>
      </c>
      <c r="P81" s="375">
        <v>0</v>
      </c>
      <c r="Q81" s="375">
        <v>0</v>
      </c>
      <c r="R81" s="375">
        <v>149.89751129872806</v>
      </c>
      <c r="S81" s="375">
        <v>99.931674199152042</v>
      </c>
      <c r="T81" s="375" t="s">
        <v>422</v>
      </c>
      <c r="U81" s="382">
        <v>435.96039069157661</v>
      </c>
      <c r="V81">
        <f t="shared" si="1"/>
        <v>0.92</v>
      </c>
    </row>
    <row r="82" spans="2:22">
      <c r="B82" s="376" t="s">
        <v>352</v>
      </c>
      <c r="C82" s="376" t="s">
        <v>375</v>
      </c>
      <c r="D82" s="376" t="s">
        <v>394</v>
      </c>
      <c r="E82" s="376" t="s">
        <v>355</v>
      </c>
      <c r="F82" s="376" t="s">
        <v>356</v>
      </c>
      <c r="G82" s="379">
        <v>33.94418281221197</v>
      </c>
      <c r="H82" s="379">
        <v>102.02390736942482</v>
      </c>
      <c r="I82" s="379">
        <v>5.4495048836447078</v>
      </c>
      <c r="J82" s="383">
        <v>1239.8180962312833</v>
      </c>
      <c r="K82" s="379">
        <v>67.88836562442394</v>
      </c>
      <c r="L82" s="379">
        <v>5.4495048836447078</v>
      </c>
      <c r="M82" s="379">
        <v>102.02390736942482</v>
      </c>
      <c r="N82" s="376">
        <v>185.97271443469251</v>
      </c>
      <c r="O82" s="376">
        <v>33.94418281221197</v>
      </c>
      <c r="P82" s="376">
        <v>0</v>
      </c>
      <c r="Q82" s="376">
        <v>0</v>
      </c>
      <c r="R82" s="376">
        <v>33.94418281221197</v>
      </c>
      <c r="S82" s="376">
        <v>0</v>
      </c>
      <c r="T82" s="376" t="s">
        <v>421</v>
      </c>
      <c r="U82" s="380">
        <v>108.99009767289415</v>
      </c>
      <c r="V82">
        <f t="shared" si="1"/>
        <v>0.5</v>
      </c>
    </row>
    <row r="83" spans="2:22">
      <c r="B83" s="375" t="s">
        <v>352</v>
      </c>
      <c r="C83" s="375" t="s">
        <v>375</v>
      </c>
      <c r="D83" s="375" t="s">
        <v>394</v>
      </c>
      <c r="E83" s="375" t="s">
        <v>379</v>
      </c>
      <c r="F83" s="375" t="s">
        <v>356</v>
      </c>
      <c r="G83" s="381">
        <v>41.63819758298002</v>
      </c>
      <c r="H83" s="381">
        <v>68.015938246283199</v>
      </c>
      <c r="I83" s="381">
        <v>3.6330032557631387</v>
      </c>
      <c r="J83" s="384">
        <v>1239.8180962312833</v>
      </c>
      <c r="K83" s="381">
        <v>45.258910416282632</v>
      </c>
      <c r="L83" s="381">
        <v>3.6330032557631387</v>
      </c>
      <c r="M83" s="381">
        <v>68.015938246283199</v>
      </c>
      <c r="N83" s="375">
        <v>123.98180962312833</v>
      </c>
      <c r="O83" s="375">
        <v>41.63819758298002</v>
      </c>
      <c r="P83" s="375">
        <v>0</v>
      </c>
      <c r="Q83" s="375">
        <v>0</v>
      </c>
      <c r="R83" s="375">
        <v>41.63819758298002</v>
      </c>
      <c r="S83" s="375">
        <v>0</v>
      </c>
      <c r="T83" s="375" t="s">
        <v>423</v>
      </c>
      <c r="U83" s="382">
        <v>72.660065115262768</v>
      </c>
      <c r="V83">
        <f t="shared" si="1"/>
        <v>0.91999999999999993</v>
      </c>
    </row>
    <row r="84" spans="2:22">
      <c r="B84" s="376" t="s">
        <v>352</v>
      </c>
      <c r="C84" s="376" t="s">
        <v>375</v>
      </c>
      <c r="D84" s="376" t="s">
        <v>394</v>
      </c>
      <c r="E84" s="376" t="s">
        <v>367</v>
      </c>
      <c r="F84" s="376" t="s">
        <v>356</v>
      </c>
      <c r="G84" s="379">
        <v>19.235036926920117</v>
      </c>
      <c r="H84" s="379">
        <v>34.007969123141599</v>
      </c>
      <c r="I84" s="379">
        <v>1.8165016278815693</v>
      </c>
      <c r="J84" s="383">
        <v>1239.8180962312833</v>
      </c>
      <c r="K84" s="379">
        <v>22.629455208141316</v>
      </c>
      <c r="L84" s="379">
        <v>1.8165016278815693</v>
      </c>
      <c r="M84" s="379">
        <v>34.007969123141599</v>
      </c>
      <c r="N84" s="376">
        <v>61.990904811564164</v>
      </c>
      <c r="O84" s="376">
        <v>19.235036926920117</v>
      </c>
      <c r="P84" s="376">
        <v>19.235036926920117</v>
      </c>
      <c r="Q84" s="376">
        <v>0</v>
      </c>
      <c r="R84" s="376">
        <v>0</v>
      </c>
      <c r="S84" s="376">
        <v>0</v>
      </c>
      <c r="T84" s="376" t="s">
        <v>424</v>
      </c>
      <c r="U84" s="380">
        <v>36.330032557631384</v>
      </c>
      <c r="V84">
        <f t="shared" si="1"/>
        <v>0.84999999999999987</v>
      </c>
    </row>
    <row r="85" spans="2:22">
      <c r="B85" s="375" t="s">
        <v>352</v>
      </c>
      <c r="C85" s="375" t="s">
        <v>375</v>
      </c>
      <c r="D85" s="375" t="s">
        <v>394</v>
      </c>
      <c r="E85" s="375" t="s">
        <v>390</v>
      </c>
      <c r="F85" s="375" t="s">
        <v>356</v>
      </c>
      <c r="G85" s="381">
        <v>41.63819758298002</v>
      </c>
      <c r="H85" s="381">
        <v>68.015938246283199</v>
      </c>
      <c r="I85" s="381">
        <v>3.6330032557631387</v>
      </c>
      <c r="J85" s="384">
        <v>1239.8180962312833</v>
      </c>
      <c r="K85" s="381">
        <v>45.258910416282632</v>
      </c>
      <c r="L85" s="381">
        <v>3.6330032557631387</v>
      </c>
      <c r="M85" s="381">
        <v>68.015938246283199</v>
      </c>
      <c r="N85" s="375">
        <v>123.98180962312833</v>
      </c>
      <c r="O85" s="375">
        <v>41.63819758298002</v>
      </c>
      <c r="P85" s="375">
        <v>0</v>
      </c>
      <c r="Q85" s="375">
        <v>0</v>
      </c>
      <c r="R85" s="375">
        <v>41.63819758298002</v>
      </c>
      <c r="S85" s="375">
        <v>0</v>
      </c>
      <c r="T85" s="375" t="s">
        <v>420</v>
      </c>
      <c r="U85" s="382">
        <v>72.660065115262768</v>
      </c>
      <c r="V85">
        <f t="shared" si="1"/>
        <v>0.91999999999999993</v>
      </c>
    </row>
    <row r="86" spans="2:22">
      <c r="B86" s="376" t="s">
        <v>352</v>
      </c>
      <c r="C86" s="376" t="s">
        <v>388</v>
      </c>
      <c r="D86" s="376" t="s">
        <v>354</v>
      </c>
      <c r="E86" s="376" t="s">
        <v>389</v>
      </c>
      <c r="F86" s="376" t="s">
        <v>365</v>
      </c>
      <c r="G86" s="379">
        <v>12704.418534618881</v>
      </c>
      <c r="H86" s="379">
        <v>6823.5750100121913</v>
      </c>
      <c r="I86" s="379">
        <v>68.92500010113325</v>
      </c>
      <c r="J86" s="383">
        <v>0.57580459813941842</v>
      </c>
      <c r="K86" s="379">
        <v>13809.150581107479</v>
      </c>
      <c r="L86" s="379">
        <v>68.92500010113325</v>
      </c>
      <c r="M86" s="379">
        <v>6823.5750100121913</v>
      </c>
      <c r="N86" s="376">
        <v>0.17274137944182552</v>
      </c>
      <c r="O86" s="376">
        <v>12704.418534618881</v>
      </c>
      <c r="P86" s="376">
        <v>0</v>
      </c>
      <c r="Q86" s="376">
        <v>0</v>
      </c>
      <c r="R86" s="376">
        <v>12704.418534618881</v>
      </c>
      <c r="S86" s="376">
        <v>0</v>
      </c>
      <c r="T86" s="376" t="s">
        <v>422</v>
      </c>
      <c r="U86" s="380">
        <v>6892.5000101133246</v>
      </c>
      <c r="V86">
        <f t="shared" si="1"/>
        <v>0.92</v>
      </c>
    </row>
    <row r="87" spans="2:22">
      <c r="B87" s="375" t="s">
        <v>352</v>
      </c>
      <c r="C87" s="375" t="s">
        <v>388</v>
      </c>
      <c r="D87" s="375" t="s">
        <v>354</v>
      </c>
      <c r="E87" s="375" t="s">
        <v>384</v>
      </c>
      <c r="F87" s="375" t="s">
        <v>365</v>
      </c>
      <c r="G87" s="381">
        <v>6352.2092673094403</v>
      </c>
      <c r="H87" s="381">
        <v>3411.7875050060957</v>
      </c>
      <c r="I87" s="381">
        <v>34.462500050566625</v>
      </c>
      <c r="J87" s="384">
        <v>0.57580459813941842</v>
      </c>
      <c r="K87" s="381">
        <v>6904.5752905537393</v>
      </c>
      <c r="L87" s="381">
        <v>34.462500050566625</v>
      </c>
      <c r="M87" s="381">
        <v>3411.7875050060957</v>
      </c>
      <c r="N87" s="375">
        <v>8.6370689720912761E-2</v>
      </c>
      <c r="O87" s="375">
        <v>6352.2092673094403</v>
      </c>
      <c r="P87" s="375">
        <v>0</v>
      </c>
      <c r="Q87" s="375">
        <v>6352.2092673094403</v>
      </c>
      <c r="R87" s="375">
        <v>0</v>
      </c>
      <c r="S87" s="375">
        <v>0</v>
      </c>
      <c r="T87" s="375" t="s">
        <v>420</v>
      </c>
      <c r="U87" s="382">
        <v>3446.2500050566623</v>
      </c>
      <c r="V87">
        <f t="shared" si="1"/>
        <v>0.92</v>
      </c>
    </row>
    <row r="88" spans="2:22">
      <c r="B88" s="376" t="s">
        <v>352</v>
      </c>
      <c r="C88" s="376" t="s">
        <v>388</v>
      </c>
      <c r="D88" s="376" t="s">
        <v>354</v>
      </c>
      <c r="E88" s="376" t="s">
        <v>392</v>
      </c>
      <c r="F88" s="376" t="s">
        <v>356</v>
      </c>
      <c r="G88" s="379">
        <v>3912.5926646471194</v>
      </c>
      <c r="H88" s="379">
        <v>2274.5250033373973</v>
      </c>
      <c r="I88" s="379">
        <v>22.975000033711087</v>
      </c>
      <c r="J88" s="383">
        <v>2.6544871960279712</v>
      </c>
      <c r="K88" s="379">
        <v>4603.0501937024937</v>
      </c>
      <c r="L88" s="379">
        <v>22.975000033711087</v>
      </c>
      <c r="M88" s="379">
        <v>2274.5250033373973</v>
      </c>
      <c r="N88" s="376">
        <v>0.26544871960279709</v>
      </c>
      <c r="O88" s="376">
        <v>3912.5926646471194</v>
      </c>
      <c r="P88" s="376">
        <v>3912.5926646471194</v>
      </c>
      <c r="Q88" s="376">
        <v>0</v>
      </c>
      <c r="R88" s="376">
        <v>0</v>
      </c>
      <c r="S88" s="376">
        <v>0</v>
      </c>
      <c r="T88" s="376" t="s">
        <v>425</v>
      </c>
      <c r="U88" s="380">
        <v>2297.5000033711085</v>
      </c>
      <c r="V88">
        <f t="shared" si="1"/>
        <v>0.85</v>
      </c>
    </row>
    <row r="89" spans="2:22">
      <c r="B89" s="375" t="s">
        <v>352</v>
      </c>
      <c r="C89" s="375" t="s">
        <v>388</v>
      </c>
      <c r="D89" s="375" t="s">
        <v>354</v>
      </c>
      <c r="E89" s="375" t="s">
        <v>368</v>
      </c>
      <c r="F89" s="375" t="s">
        <v>356</v>
      </c>
      <c r="G89" s="381">
        <v>12704.418534618882</v>
      </c>
      <c r="H89" s="381">
        <v>6823.5750100121913</v>
      </c>
      <c r="I89" s="381">
        <v>68.92500010113325</v>
      </c>
      <c r="J89" s="384">
        <v>5.3089743920559425</v>
      </c>
      <c r="K89" s="381">
        <v>13809.15058110748</v>
      </c>
      <c r="L89" s="381">
        <v>68.92500010113325</v>
      </c>
      <c r="M89" s="381">
        <v>6823.5750100121913</v>
      </c>
      <c r="N89" s="375">
        <v>1.5926923176167826</v>
      </c>
      <c r="O89" s="375">
        <v>12704.418534618882</v>
      </c>
      <c r="P89" s="375">
        <v>0</v>
      </c>
      <c r="Q89" s="375">
        <v>0</v>
      </c>
      <c r="R89" s="375">
        <v>12704.418534618882</v>
      </c>
      <c r="S89" s="375">
        <v>0</v>
      </c>
      <c r="T89" s="375" t="s">
        <v>422</v>
      </c>
      <c r="U89" s="382">
        <v>6892.5000101133246</v>
      </c>
      <c r="V89">
        <f t="shared" si="1"/>
        <v>0.92</v>
      </c>
    </row>
    <row r="90" spans="2:22">
      <c r="B90" s="376" t="s">
        <v>352</v>
      </c>
      <c r="C90" s="376" t="s">
        <v>388</v>
      </c>
      <c r="D90" s="376" t="s">
        <v>354</v>
      </c>
      <c r="E90" s="376" t="s">
        <v>390</v>
      </c>
      <c r="F90" s="376" t="s">
        <v>356</v>
      </c>
      <c r="G90" s="379">
        <v>6352.2092673094412</v>
      </c>
      <c r="H90" s="379">
        <v>3411.7875050060957</v>
      </c>
      <c r="I90" s="379">
        <v>34.462500050566625</v>
      </c>
      <c r="J90" s="383">
        <v>5.3089743920559425</v>
      </c>
      <c r="K90" s="379">
        <v>6904.5752905537402</v>
      </c>
      <c r="L90" s="379">
        <v>34.462500050566625</v>
      </c>
      <c r="M90" s="379">
        <v>3411.7875050060957</v>
      </c>
      <c r="N90" s="376">
        <v>0.79634615880839132</v>
      </c>
      <c r="O90" s="376">
        <v>6352.2092673094412</v>
      </c>
      <c r="P90" s="376">
        <v>0</v>
      </c>
      <c r="Q90" s="376">
        <v>6352.2092673094412</v>
      </c>
      <c r="R90" s="376">
        <v>0</v>
      </c>
      <c r="S90" s="376">
        <v>0</v>
      </c>
      <c r="T90" s="376" t="s">
        <v>420</v>
      </c>
      <c r="U90" s="380">
        <v>3446.2500050566623</v>
      </c>
      <c r="V90">
        <f t="shared" si="1"/>
        <v>0.92</v>
      </c>
    </row>
    <row r="91" spans="2:22">
      <c r="B91" s="375" t="s">
        <v>352</v>
      </c>
      <c r="C91" s="375" t="s">
        <v>388</v>
      </c>
      <c r="D91" s="375" t="s">
        <v>394</v>
      </c>
      <c r="E91" s="375" t="s">
        <v>396</v>
      </c>
      <c r="F91" s="375" t="s">
        <v>374</v>
      </c>
      <c r="G91" s="381">
        <v>310.41919904171817</v>
      </c>
      <c r="H91" s="381">
        <v>42.811426834132376</v>
      </c>
      <c r="I91" s="381">
        <v>0.43243865489022604</v>
      </c>
      <c r="J91" s="384">
        <v>7.0607737938347137</v>
      </c>
      <c r="K91" s="381">
        <v>365.19905769613905</v>
      </c>
      <c r="L91" s="381">
        <v>0.43243865489022604</v>
      </c>
      <c r="M91" s="381">
        <v>42.811426834132376</v>
      </c>
      <c r="N91" s="375">
        <v>1.412154758766943</v>
      </c>
      <c r="O91" s="375">
        <v>310.41919904171817</v>
      </c>
      <c r="P91" s="375">
        <v>310.41919904171817</v>
      </c>
      <c r="Q91" s="375">
        <v>0</v>
      </c>
      <c r="R91" s="375">
        <v>0</v>
      </c>
      <c r="S91" s="375">
        <v>0</v>
      </c>
      <c r="T91" s="375" t="s">
        <v>425</v>
      </c>
      <c r="U91" s="382">
        <v>43.243865489022603</v>
      </c>
      <c r="V91">
        <f t="shared" si="1"/>
        <v>0.85</v>
      </c>
    </row>
    <row r="92" spans="2:22">
      <c r="B92" s="376" t="s">
        <v>352</v>
      </c>
      <c r="C92" s="376" t="s">
        <v>388</v>
      </c>
      <c r="D92" s="376" t="s">
        <v>394</v>
      </c>
      <c r="E92" s="376" t="s">
        <v>376</v>
      </c>
      <c r="F92" s="376" t="s">
        <v>374</v>
      </c>
      <c r="G92" s="379">
        <v>587.97048289078384</v>
      </c>
      <c r="H92" s="379">
        <v>74.919996959731662</v>
      </c>
      <c r="I92" s="379">
        <v>0.75676764605789559</v>
      </c>
      <c r="J92" s="383">
        <v>7.0607737938347146</v>
      </c>
      <c r="K92" s="379">
        <v>639.09835096824327</v>
      </c>
      <c r="L92" s="379">
        <v>0.75676764605789559</v>
      </c>
      <c r="M92" s="379">
        <v>74.919996959731662</v>
      </c>
      <c r="N92" s="376">
        <v>2.4712708278421505</v>
      </c>
      <c r="O92" s="376">
        <v>587.97048289078384</v>
      </c>
      <c r="P92" s="376">
        <v>0</v>
      </c>
      <c r="Q92" s="376">
        <v>0</v>
      </c>
      <c r="R92" s="376">
        <v>587.97048289078384</v>
      </c>
      <c r="S92" s="376">
        <v>0</v>
      </c>
      <c r="T92" s="376" t="s">
        <v>422</v>
      </c>
      <c r="U92" s="380">
        <v>75.676764605789558</v>
      </c>
      <c r="V92">
        <f t="shared" si="1"/>
        <v>0.92</v>
      </c>
    </row>
    <row r="93" spans="2:22">
      <c r="B93" s="375" t="s">
        <v>352</v>
      </c>
      <c r="C93" s="375" t="s">
        <v>388</v>
      </c>
      <c r="D93" s="375" t="s">
        <v>394</v>
      </c>
      <c r="E93" s="375" t="s">
        <v>373</v>
      </c>
      <c r="F93" s="375" t="s">
        <v>374</v>
      </c>
      <c r="G93" s="381">
        <v>755.96204943100781</v>
      </c>
      <c r="H93" s="381">
        <v>96.325710376797844</v>
      </c>
      <c r="I93" s="381">
        <v>0.97298697350300856</v>
      </c>
      <c r="J93" s="384">
        <v>7.0607737938347146</v>
      </c>
      <c r="K93" s="381">
        <v>821.69787981631282</v>
      </c>
      <c r="L93" s="381">
        <v>0.97298697350300856</v>
      </c>
      <c r="M93" s="381">
        <v>96.325710376797844</v>
      </c>
      <c r="N93" s="375">
        <v>3.1773482072256218</v>
      </c>
      <c r="O93" s="375">
        <v>755.96204943100781</v>
      </c>
      <c r="P93" s="375">
        <v>0</v>
      </c>
      <c r="Q93" s="375">
        <v>755.96204943100781</v>
      </c>
      <c r="R93" s="375">
        <v>0</v>
      </c>
      <c r="S93" s="375">
        <v>0</v>
      </c>
      <c r="T93" s="375" t="s">
        <v>420</v>
      </c>
      <c r="U93" s="382">
        <v>97.298697350300856</v>
      </c>
      <c r="V93">
        <f t="shared" si="1"/>
        <v>0.92</v>
      </c>
    </row>
    <row r="94" spans="2:22">
      <c r="B94" s="376" t="s">
        <v>352</v>
      </c>
      <c r="C94" s="376" t="s">
        <v>388</v>
      </c>
      <c r="D94" s="376" t="s">
        <v>394</v>
      </c>
      <c r="E94" s="376" t="s">
        <v>397</v>
      </c>
      <c r="F94" s="376" t="s">
        <v>358</v>
      </c>
      <c r="G94" s="379">
        <v>310.41919904171817</v>
      </c>
      <c r="H94" s="379">
        <v>42.811426834132384</v>
      </c>
      <c r="I94" s="379">
        <v>0.43243865489022609</v>
      </c>
      <c r="J94" s="383">
        <v>327.9392262061653</v>
      </c>
      <c r="K94" s="379">
        <v>365.19905769613905</v>
      </c>
      <c r="L94" s="379">
        <v>0.43243865489022609</v>
      </c>
      <c r="M94" s="379">
        <v>42.811426834132384</v>
      </c>
      <c r="N94" s="376">
        <v>65.587845241233069</v>
      </c>
      <c r="O94" s="376">
        <v>310.41919904171817</v>
      </c>
      <c r="P94" s="376">
        <v>310.41919904171817</v>
      </c>
      <c r="Q94" s="376">
        <v>0</v>
      </c>
      <c r="R94" s="376">
        <v>0</v>
      </c>
      <c r="S94" s="376">
        <v>0</v>
      </c>
      <c r="T94" s="376" t="s">
        <v>425</v>
      </c>
      <c r="U94" s="380">
        <v>43.24386548902261</v>
      </c>
      <c r="V94">
        <f t="shared" si="1"/>
        <v>0.85</v>
      </c>
    </row>
    <row r="95" spans="2:22">
      <c r="B95" s="375" t="s">
        <v>352</v>
      </c>
      <c r="C95" s="375" t="s">
        <v>388</v>
      </c>
      <c r="D95" s="375" t="s">
        <v>394</v>
      </c>
      <c r="E95" s="375" t="s">
        <v>381</v>
      </c>
      <c r="F95" s="375" t="s">
        <v>358</v>
      </c>
      <c r="G95" s="381">
        <v>587.97048289078373</v>
      </c>
      <c r="H95" s="381">
        <v>74.919996959731648</v>
      </c>
      <c r="I95" s="381">
        <v>0.75676764605789548</v>
      </c>
      <c r="J95" s="384">
        <v>327.9392262061653</v>
      </c>
      <c r="K95" s="381">
        <v>639.09835096824315</v>
      </c>
      <c r="L95" s="381">
        <v>0.75676764605789548</v>
      </c>
      <c r="M95" s="381">
        <v>74.919996959731648</v>
      </c>
      <c r="N95" s="375">
        <v>114.77872917215785</v>
      </c>
      <c r="O95" s="375">
        <v>587.97048289078373</v>
      </c>
      <c r="P95" s="375">
        <v>0</v>
      </c>
      <c r="Q95" s="375">
        <v>0</v>
      </c>
      <c r="R95" s="375">
        <v>587.97048289078373</v>
      </c>
      <c r="S95" s="375">
        <v>0</v>
      </c>
      <c r="T95" s="375" t="s">
        <v>422</v>
      </c>
      <c r="U95" s="382">
        <v>75.676764605789543</v>
      </c>
      <c r="V95">
        <f t="shared" si="1"/>
        <v>0.92</v>
      </c>
    </row>
    <row r="96" spans="2:22">
      <c r="B96" s="376" t="s">
        <v>352</v>
      </c>
      <c r="C96" s="376" t="s">
        <v>388</v>
      </c>
      <c r="D96" s="376" t="s">
        <v>394</v>
      </c>
      <c r="E96" s="376" t="s">
        <v>391</v>
      </c>
      <c r="F96" s="376" t="s">
        <v>358</v>
      </c>
      <c r="G96" s="379">
        <v>755.96204943100793</v>
      </c>
      <c r="H96" s="379">
        <v>96.325710376797844</v>
      </c>
      <c r="I96" s="379">
        <v>0.97298697350300856</v>
      </c>
      <c r="J96" s="383">
        <v>327.93922620616524</v>
      </c>
      <c r="K96" s="379">
        <v>821.69787981631293</v>
      </c>
      <c r="L96" s="379">
        <v>0.97298697350300856</v>
      </c>
      <c r="M96" s="379">
        <v>96.325710376797844</v>
      </c>
      <c r="N96" s="376">
        <v>147.57265179277439</v>
      </c>
      <c r="O96" s="376">
        <v>755.96204943100793</v>
      </c>
      <c r="P96" s="376">
        <v>0</v>
      </c>
      <c r="Q96" s="376">
        <v>755.96204943100793</v>
      </c>
      <c r="R96" s="376">
        <v>0</v>
      </c>
      <c r="S96" s="376">
        <v>0</v>
      </c>
      <c r="T96" s="376" t="s">
        <v>420</v>
      </c>
      <c r="U96" s="380">
        <v>97.298697350300856</v>
      </c>
      <c r="V96">
        <f t="shared" si="1"/>
        <v>0.92</v>
      </c>
    </row>
    <row r="97" spans="2:31">
      <c r="B97" s="375" t="s">
        <v>352</v>
      </c>
      <c r="C97" s="375" t="s">
        <v>369</v>
      </c>
      <c r="D97" s="375" t="s">
        <v>354</v>
      </c>
      <c r="E97" s="375" t="s">
        <v>368</v>
      </c>
      <c r="F97" s="375" t="s">
        <v>356</v>
      </c>
      <c r="G97" s="381">
        <v>44244.853521556033</v>
      </c>
      <c r="H97" s="381">
        <v>3856.5827587257759</v>
      </c>
      <c r="I97" s="381">
        <v>680.57342801043103</v>
      </c>
      <c r="J97" s="384">
        <v>2.9487059191276055</v>
      </c>
      <c r="K97" s="381">
        <v>48092.232088647863</v>
      </c>
      <c r="L97" s="381">
        <v>680.57342801043103</v>
      </c>
      <c r="M97" s="381">
        <v>3856.5827587257759</v>
      </c>
      <c r="N97" s="375">
        <v>9.8290197304253535E-2</v>
      </c>
      <c r="O97" s="375">
        <v>44244.853521556033</v>
      </c>
      <c r="P97" s="375">
        <v>0</v>
      </c>
      <c r="Q97" s="375">
        <v>44244.853521556033</v>
      </c>
      <c r="R97" s="375">
        <v>0</v>
      </c>
      <c r="S97" s="375">
        <v>0</v>
      </c>
      <c r="T97" s="375" t="s">
        <v>422</v>
      </c>
      <c r="U97" s="382">
        <v>4537.156186736207</v>
      </c>
      <c r="V97">
        <f t="shared" si="1"/>
        <v>0.92</v>
      </c>
    </row>
    <row r="98" spans="2:31">
      <c r="B98" s="376" t="s">
        <v>352</v>
      </c>
      <c r="C98" s="376" t="s">
        <v>369</v>
      </c>
      <c r="D98" s="376" t="s">
        <v>354</v>
      </c>
      <c r="E98" s="376" t="s">
        <v>355</v>
      </c>
      <c r="F98" s="376" t="s">
        <v>356</v>
      </c>
      <c r="G98" s="379">
        <v>144276.69626594358</v>
      </c>
      <c r="H98" s="379">
        <v>23139.49655235466</v>
      </c>
      <c r="I98" s="379">
        <v>4083.4405680625869</v>
      </c>
      <c r="J98" s="383">
        <v>0.98290197304253524</v>
      </c>
      <c r="K98" s="379">
        <v>288553.39253188716</v>
      </c>
      <c r="L98" s="379">
        <v>4083.4405680625869</v>
      </c>
      <c r="M98" s="379">
        <v>23139.49655235466</v>
      </c>
      <c r="N98" s="376">
        <v>0.19658039460850707</v>
      </c>
      <c r="O98" s="376">
        <v>144276.69626594358</v>
      </c>
      <c r="P98" s="376">
        <v>0</v>
      </c>
      <c r="Q98" s="376">
        <v>144276.69626594358</v>
      </c>
      <c r="R98" s="376">
        <v>0</v>
      </c>
      <c r="S98" s="376">
        <v>0</v>
      </c>
      <c r="T98" s="376" t="s">
        <v>421</v>
      </c>
      <c r="U98" s="380">
        <v>27222.937120417246</v>
      </c>
      <c r="V98">
        <f t="shared" si="1"/>
        <v>0.5</v>
      </c>
    </row>
    <row r="99" spans="2:31">
      <c r="B99" s="375" t="s">
        <v>352</v>
      </c>
      <c r="C99" s="375" t="s">
        <v>369</v>
      </c>
      <c r="D99" s="375" t="s">
        <v>354</v>
      </c>
      <c r="E99" s="375" t="s">
        <v>367</v>
      </c>
      <c r="F99" s="375" t="s">
        <v>356</v>
      </c>
      <c r="G99" s="381">
        <v>85844.634278236408</v>
      </c>
      <c r="H99" s="381">
        <v>8098.823793324128</v>
      </c>
      <c r="I99" s="381">
        <v>1429.204198821905</v>
      </c>
      <c r="J99" s="384">
        <v>9.8290197304253528</v>
      </c>
      <c r="K99" s="381">
        <v>100993.68738616048</v>
      </c>
      <c r="L99" s="381">
        <v>1429.204198821905</v>
      </c>
      <c r="M99" s="381">
        <v>8098.823793324128</v>
      </c>
      <c r="N99" s="375">
        <v>0.68803138112977458</v>
      </c>
      <c r="O99" s="375">
        <v>85844.634278236408</v>
      </c>
      <c r="P99" s="375">
        <v>0</v>
      </c>
      <c r="Q99" s="375">
        <v>85844.634278236408</v>
      </c>
      <c r="R99" s="375">
        <v>0</v>
      </c>
      <c r="S99" s="375">
        <v>0</v>
      </c>
      <c r="T99" s="375" t="s">
        <v>424</v>
      </c>
      <c r="U99" s="382">
        <v>9528.0279921460333</v>
      </c>
      <c r="V99">
        <f t="shared" si="1"/>
        <v>0.85</v>
      </c>
    </row>
    <row r="100" spans="2:31">
      <c r="B100" s="376" t="s">
        <v>352</v>
      </c>
      <c r="C100" s="376" t="s">
        <v>372</v>
      </c>
      <c r="D100" s="376" t="s">
        <v>354</v>
      </c>
      <c r="E100" s="376" t="s">
        <v>376</v>
      </c>
      <c r="F100" s="376" t="s">
        <v>374</v>
      </c>
      <c r="G100" s="379">
        <v>60532.217858898985</v>
      </c>
      <c r="H100" s="379">
        <v>13594.059587070991</v>
      </c>
      <c r="I100" s="379">
        <v>137.3137332027373</v>
      </c>
      <c r="J100" s="383">
        <v>5.8031442736452767</v>
      </c>
      <c r="K100" s="379">
        <v>65795.888977064111</v>
      </c>
      <c r="L100" s="379">
        <v>137.3137332027373</v>
      </c>
      <c r="M100" s="379">
        <v>13594.059587070991</v>
      </c>
      <c r="N100" s="376">
        <v>1.1606288547290555</v>
      </c>
      <c r="O100" s="376">
        <v>60532.217858898985</v>
      </c>
      <c r="P100" s="376">
        <v>0</v>
      </c>
      <c r="Q100" s="376">
        <v>0</v>
      </c>
      <c r="R100" s="376">
        <v>60532.217858898985</v>
      </c>
      <c r="S100" s="376">
        <v>0</v>
      </c>
      <c r="T100" s="376" t="s">
        <v>422</v>
      </c>
      <c r="U100" s="380">
        <v>13731.373320273729</v>
      </c>
      <c r="V100">
        <f t="shared" si="1"/>
        <v>0.92</v>
      </c>
    </row>
    <row r="101" spans="2:31">
      <c r="B101" s="375" t="s">
        <v>352</v>
      </c>
      <c r="C101" s="375" t="s">
        <v>372</v>
      </c>
      <c r="D101" s="375" t="s">
        <v>354</v>
      </c>
      <c r="E101" s="375" t="s">
        <v>373</v>
      </c>
      <c r="F101" s="375" t="s">
        <v>374</v>
      </c>
      <c r="G101" s="381">
        <v>90798.32678834848</v>
      </c>
      <c r="H101" s="381">
        <v>20391.089380606489</v>
      </c>
      <c r="I101" s="381">
        <v>205.97059980410594</v>
      </c>
      <c r="J101" s="384">
        <v>5.8031442736452767</v>
      </c>
      <c r="K101" s="381">
        <v>98693.833465596166</v>
      </c>
      <c r="L101" s="381">
        <v>205.97059980410594</v>
      </c>
      <c r="M101" s="381">
        <v>20391.089380606489</v>
      </c>
      <c r="N101" s="375">
        <v>1.7409432820935828</v>
      </c>
      <c r="O101" s="375">
        <v>90798.32678834848</v>
      </c>
      <c r="P101" s="375">
        <v>0</v>
      </c>
      <c r="Q101" s="375">
        <v>0</v>
      </c>
      <c r="R101" s="375">
        <v>90798.32678834848</v>
      </c>
      <c r="S101" s="375">
        <v>0</v>
      </c>
      <c r="T101" s="375" t="s">
        <v>420</v>
      </c>
      <c r="U101" s="382">
        <v>20597.059980410595</v>
      </c>
      <c r="V101">
        <f t="shared" si="1"/>
        <v>0.92</v>
      </c>
    </row>
    <row r="102" spans="2:31">
      <c r="B102" s="376" t="s">
        <v>352</v>
      </c>
      <c r="C102" s="376" t="s">
        <v>372</v>
      </c>
      <c r="D102" s="376" t="s">
        <v>394</v>
      </c>
      <c r="E102" s="376" t="s">
        <v>376</v>
      </c>
      <c r="F102" s="376" t="s">
        <v>374</v>
      </c>
      <c r="G102" s="379">
        <v>1252.8815185743424</v>
      </c>
      <c r="H102" s="379">
        <v>256.6450608350043</v>
      </c>
      <c r="I102" s="379">
        <v>2.5923743518687306</v>
      </c>
      <c r="J102" s="383">
        <v>236.6446329650548</v>
      </c>
      <c r="K102" s="379">
        <v>1361.8277375808068</v>
      </c>
      <c r="L102" s="379">
        <v>2.5923743518687306</v>
      </c>
      <c r="M102" s="379">
        <v>256.6450608350043</v>
      </c>
      <c r="N102" s="376">
        <v>141.98677977903287</v>
      </c>
      <c r="O102" s="376">
        <v>1252.8815185743424</v>
      </c>
      <c r="P102" s="376">
        <v>0</v>
      </c>
      <c r="Q102" s="376">
        <v>0</v>
      </c>
      <c r="R102" s="376">
        <v>1252.8815185743424</v>
      </c>
      <c r="S102" s="376">
        <v>0</v>
      </c>
      <c r="T102" s="376" t="s">
        <v>422</v>
      </c>
      <c r="U102" s="380">
        <v>259.23743518687303</v>
      </c>
      <c r="V102">
        <f t="shared" si="1"/>
        <v>0.92000000000000015</v>
      </c>
    </row>
    <row r="103" spans="2:31">
      <c r="B103" s="375" t="s">
        <v>352</v>
      </c>
      <c r="C103" s="375" t="s">
        <v>372</v>
      </c>
      <c r="D103" s="375" t="s">
        <v>394</v>
      </c>
      <c r="E103" s="375" t="s">
        <v>373</v>
      </c>
      <c r="F103" s="375" t="s">
        <v>374</v>
      </c>
      <c r="G103" s="381">
        <v>835.2543457162285</v>
      </c>
      <c r="H103" s="381">
        <v>171.09670722333618</v>
      </c>
      <c r="I103" s="381">
        <v>1.7282495679124867</v>
      </c>
      <c r="J103" s="384">
        <v>236.6446329650548</v>
      </c>
      <c r="K103" s="381">
        <v>907.88515838720491</v>
      </c>
      <c r="L103" s="381">
        <v>1.7282495679124867</v>
      </c>
      <c r="M103" s="381">
        <v>171.09670722333618</v>
      </c>
      <c r="N103" s="375">
        <v>94.657853186021924</v>
      </c>
      <c r="O103" s="375">
        <v>835.2543457162285</v>
      </c>
      <c r="P103" s="375">
        <v>0</v>
      </c>
      <c r="Q103" s="375">
        <v>0</v>
      </c>
      <c r="R103" s="375">
        <v>835.2543457162285</v>
      </c>
      <c r="S103" s="375">
        <v>0</v>
      </c>
      <c r="T103" s="375" t="s">
        <v>420</v>
      </c>
      <c r="U103" s="382">
        <v>172.82495679124867</v>
      </c>
      <c r="V103">
        <f t="shared" si="1"/>
        <v>0.91999999999999993</v>
      </c>
    </row>
    <row r="104" spans="2:31">
      <c r="B104" s="376" t="s">
        <v>352</v>
      </c>
      <c r="C104" s="376" t="s">
        <v>372</v>
      </c>
      <c r="D104" s="376" t="s">
        <v>394</v>
      </c>
      <c r="E104" s="376" t="s">
        <v>381</v>
      </c>
      <c r="F104" s="376" t="s">
        <v>358</v>
      </c>
      <c r="G104" s="379">
        <v>1252.8815185743424</v>
      </c>
      <c r="H104" s="379">
        <v>256.64506083500436</v>
      </c>
      <c r="I104" s="379">
        <v>2.592374351868731</v>
      </c>
      <c r="J104" s="383">
        <v>11.088624779707486</v>
      </c>
      <c r="K104" s="379">
        <v>1361.827737580807</v>
      </c>
      <c r="L104" s="379">
        <v>2.592374351868731</v>
      </c>
      <c r="M104" s="379">
        <v>256.64506083500436</v>
      </c>
      <c r="N104" s="376">
        <v>6.6531748678244913</v>
      </c>
      <c r="O104" s="376">
        <v>1252.8815185743424</v>
      </c>
      <c r="P104" s="376">
        <v>0</v>
      </c>
      <c r="Q104" s="376">
        <v>0</v>
      </c>
      <c r="R104" s="376">
        <v>1252.8815185743424</v>
      </c>
      <c r="S104" s="376">
        <v>0</v>
      </c>
      <c r="T104" s="376" t="s">
        <v>422</v>
      </c>
      <c r="U104" s="380">
        <v>259.23743518687309</v>
      </c>
      <c r="V104">
        <f t="shared" si="1"/>
        <v>0.91999999999999993</v>
      </c>
    </row>
    <row r="105" spans="2:31">
      <c r="B105" s="375" t="s">
        <v>352</v>
      </c>
      <c r="C105" s="375" t="s">
        <v>372</v>
      </c>
      <c r="D105" s="375" t="s">
        <v>394</v>
      </c>
      <c r="E105" s="375" t="s">
        <v>391</v>
      </c>
      <c r="F105" s="375" t="s">
        <v>358</v>
      </c>
      <c r="G105" s="381">
        <v>835.2543457162285</v>
      </c>
      <c r="H105" s="381">
        <v>171.09670722333621</v>
      </c>
      <c r="I105" s="381">
        <v>1.728249567912487</v>
      </c>
      <c r="J105" s="384">
        <v>11.088624779707486</v>
      </c>
      <c r="K105" s="381">
        <v>907.8851583872048</v>
      </c>
      <c r="L105" s="381">
        <v>1.728249567912487</v>
      </c>
      <c r="M105" s="381">
        <v>171.09670722333621</v>
      </c>
      <c r="N105" s="375">
        <v>4.4354499118829951</v>
      </c>
      <c r="O105" s="375">
        <v>835.2543457162285</v>
      </c>
      <c r="P105" s="375">
        <v>0</v>
      </c>
      <c r="Q105" s="375">
        <v>0</v>
      </c>
      <c r="R105" s="375">
        <v>835.2543457162285</v>
      </c>
      <c r="S105" s="375">
        <v>0</v>
      </c>
      <c r="T105" s="375" t="s">
        <v>420</v>
      </c>
      <c r="U105" s="382">
        <v>172.8249567912487</v>
      </c>
      <c r="V105">
        <f t="shared" si="1"/>
        <v>0.92</v>
      </c>
    </row>
    <row r="106" spans="2:31">
      <c r="B106" s="376" t="s">
        <v>352</v>
      </c>
      <c r="C106" s="376" t="s">
        <v>372</v>
      </c>
      <c r="D106" s="376" t="s">
        <v>394</v>
      </c>
      <c r="E106" s="376" t="s">
        <v>368</v>
      </c>
      <c r="F106" s="376" t="s">
        <v>356</v>
      </c>
      <c r="G106" s="379">
        <v>1252.8815185743424</v>
      </c>
      <c r="H106" s="379">
        <v>256.6450608350043</v>
      </c>
      <c r="I106" s="379">
        <v>2.5923743518687306</v>
      </c>
      <c r="J106" s="383">
        <v>3.2667422552376819</v>
      </c>
      <c r="K106" s="379">
        <v>1361.827737580807</v>
      </c>
      <c r="L106" s="379">
        <v>2.5923743518687306</v>
      </c>
      <c r="M106" s="379">
        <v>256.6450608350043</v>
      </c>
      <c r="N106" s="376">
        <v>1.9600453531426092</v>
      </c>
      <c r="O106" s="376">
        <v>1252.8815185743424</v>
      </c>
      <c r="P106" s="376">
        <v>0</v>
      </c>
      <c r="Q106" s="376">
        <v>0</v>
      </c>
      <c r="R106" s="376">
        <v>1252.8815185743424</v>
      </c>
      <c r="S106" s="376">
        <v>0</v>
      </c>
      <c r="T106" s="376" t="s">
        <v>422</v>
      </c>
      <c r="U106" s="380">
        <v>259.23743518687303</v>
      </c>
      <c r="V106">
        <f t="shared" si="1"/>
        <v>0.91999999999999993</v>
      </c>
    </row>
    <row r="107" spans="2:31">
      <c r="B107" s="389" t="s">
        <v>352</v>
      </c>
      <c r="C107" s="389" t="s">
        <v>372</v>
      </c>
      <c r="D107" s="389" t="s">
        <v>394</v>
      </c>
      <c r="E107" s="389" t="s">
        <v>390</v>
      </c>
      <c r="F107" s="389" t="s">
        <v>356</v>
      </c>
      <c r="G107" s="390">
        <v>835.2543457162285</v>
      </c>
      <c r="H107" s="390">
        <v>171.09670722333624</v>
      </c>
      <c r="I107" s="390">
        <v>1.7282495679124872</v>
      </c>
      <c r="J107" s="393">
        <v>3.2667422552376824</v>
      </c>
      <c r="K107" s="390">
        <v>907.8851583872048</v>
      </c>
      <c r="L107" s="390">
        <v>1.7282495679124872</v>
      </c>
      <c r="M107" s="390">
        <v>171.09670722333624</v>
      </c>
      <c r="N107" s="389">
        <v>1.3066969020950732</v>
      </c>
      <c r="O107" s="389">
        <v>835.2543457162285</v>
      </c>
      <c r="P107" s="389">
        <v>0</v>
      </c>
      <c r="Q107" s="389">
        <v>0</v>
      </c>
      <c r="R107" s="389">
        <v>835.2543457162285</v>
      </c>
      <c r="S107" s="389">
        <v>0</v>
      </c>
      <c r="T107" s="389" t="s">
        <v>420</v>
      </c>
      <c r="U107" s="394">
        <v>172.82495679124872</v>
      </c>
      <c r="V107">
        <f t="shared" si="1"/>
        <v>0.92</v>
      </c>
    </row>
    <row r="110" spans="2:31" ht="21">
      <c r="T110" s="508" t="s">
        <v>430</v>
      </c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</row>
    <row r="111" spans="2:31">
      <c r="D111" t="s">
        <v>354</v>
      </c>
      <c r="E111" t="s">
        <v>354</v>
      </c>
      <c r="F111" t="s">
        <v>354</v>
      </c>
      <c r="G111" t="s">
        <v>354</v>
      </c>
      <c r="H111" t="s">
        <v>354</v>
      </c>
      <c r="I111" s="376" t="s">
        <v>394</v>
      </c>
      <c r="J111" s="376" t="s">
        <v>394</v>
      </c>
      <c r="K111" s="376" t="s">
        <v>394</v>
      </c>
      <c r="L111" s="376" t="s">
        <v>394</v>
      </c>
      <c r="M111" s="376" t="s">
        <v>394</v>
      </c>
      <c r="P111" t="s">
        <v>354</v>
      </c>
      <c r="Q111" t="s">
        <v>354</v>
      </c>
      <c r="R111" s="376" t="s">
        <v>394</v>
      </c>
      <c r="S111" s="376" t="s">
        <v>394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 s="376" t="s">
        <v>394</v>
      </c>
      <c r="AB111" s="376" t="s">
        <v>394</v>
      </c>
      <c r="AC111" s="376" t="s">
        <v>394</v>
      </c>
      <c r="AD111" s="376" t="s">
        <v>394</v>
      </c>
      <c r="AE111" s="376" t="s">
        <v>394</v>
      </c>
    </row>
    <row r="112" spans="2:31" ht="15" thickBot="1">
      <c r="D112" s="377" t="s">
        <v>407</v>
      </c>
      <c r="E112" s="377" t="s">
        <v>408</v>
      </c>
      <c r="F112" s="377" t="s">
        <v>409</v>
      </c>
      <c r="G112" s="377" t="s">
        <v>410</v>
      </c>
      <c r="H112" s="377" t="s">
        <v>411</v>
      </c>
      <c r="I112" s="377" t="s">
        <v>407</v>
      </c>
      <c r="J112" s="377" t="s">
        <v>408</v>
      </c>
      <c r="K112" s="377" t="s">
        <v>409</v>
      </c>
      <c r="L112" s="377" t="s">
        <v>410</v>
      </c>
      <c r="M112" s="377" t="s">
        <v>411</v>
      </c>
      <c r="N112" s="421" t="s">
        <v>428</v>
      </c>
      <c r="O112" s="436" t="s">
        <v>236</v>
      </c>
      <c r="P112" s="377" t="s">
        <v>400</v>
      </c>
      <c r="Q112" s="377" t="s">
        <v>401</v>
      </c>
      <c r="R112" s="377" t="s">
        <v>400</v>
      </c>
      <c r="S112" s="377" t="s">
        <v>401</v>
      </c>
      <c r="V112" s="377" t="s">
        <v>407</v>
      </c>
      <c r="W112" s="377" t="s">
        <v>408</v>
      </c>
      <c r="X112" s="377" t="s">
        <v>409</v>
      </c>
      <c r="Y112" s="377" t="s">
        <v>410</v>
      </c>
      <c r="Z112" s="377" t="s">
        <v>411</v>
      </c>
      <c r="AA112" s="377" t="s">
        <v>407</v>
      </c>
      <c r="AB112" s="377" t="s">
        <v>408</v>
      </c>
      <c r="AC112" s="377" t="s">
        <v>409</v>
      </c>
      <c r="AD112" s="377" t="s">
        <v>410</v>
      </c>
      <c r="AE112" s="377" t="s">
        <v>411</v>
      </c>
    </row>
    <row r="113" spans="2:31" ht="15" thickTop="1">
      <c r="B113" s="445" t="s">
        <v>359</v>
      </c>
      <c r="C113" s="445" t="s">
        <v>419</v>
      </c>
      <c r="D113" s="437" cm="1">
        <f t="array" ref="D113">+SUMPRODUCT(($J$4:$J$107)*(O$4:O$107)*($C$4:$C$107=$B113)*($D$4:$D$107=D$111)*($T$4:$T$107=$C113))</f>
        <v>2803206.1973943077</v>
      </c>
      <c r="E113" s="429" cm="1">
        <f t="array" ref="E113">+SUMPRODUCT(($J$4:$J$107)*(P$4:P$107)*($C$4:$C$107=$B113)*($D$4:$D$107=E$111)*($T$4:$T$107=$C113))</f>
        <v>2803206.1973943077</v>
      </c>
      <c r="F113" s="429" cm="1">
        <f t="array" ref="F113">+SUMPRODUCT(($J$4:$J$107)*(Q$4:Q$107)*($C$4:$C$107=$B113)*($D$4:$D$107=F$111)*($T$4:$T$107=$C113))</f>
        <v>0</v>
      </c>
      <c r="G113" s="429" cm="1">
        <f t="array" ref="G113">+SUMPRODUCT(($J$4:$J$107)*(R$4:R$107)*($C$4:$C$107=$B113)*($D$4:$D$107=G$111)*($T$4:$T$107=$C113))</f>
        <v>0</v>
      </c>
      <c r="H113" s="429" cm="1">
        <f t="array" ref="H113">+SUMPRODUCT(($J$4:$J$107)*(S$4:S$107)*($C$4:$C$107=$B113)*($D$4:$D$107=H$111)*($T$4:$T$107=$C113))</f>
        <v>0</v>
      </c>
      <c r="I113" s="437" cm="1">
        <f t="array" ref="I113">+SUMPRODUCT(($J$4:$J$107)*(O$4:O$107)*($C$4:$C$107=$B113)*($D$4:$D$107=I$111)*($T$4:$T$107=$C113))</f>
        <v>0</v>
      </c>
      <c r="J113" s="429" cm="1">
        <f t="array" ref="J113">+SUMPRODUCT(($J$4:$J$107)*(P$4:P$107)*($C$4:$C$107=$B113)*($D$4:$D$107=J$111)*($T$4:$T$107=$C113))</f>
        <v>0</v>
      </c>
      <c r="K113" s="429" cm="1">
        <f t="array" ref="K113">+SUMPRODUCT(($J$4:$J$107)*(Q$4:Q$107)*($C$4:$C$107=$B113)*($D$4:$D$107=K$111)*($T$4:$T$107=$C113))</f>
        <v>0</v>
      </c>
      <c r="L113" s="429" cm="1">
        <f t="array" ref="L113">+SUMPRODUCT(($J$4:$J$107)*(R$4:R$107)*($C$4:$C$107=$B113)*($D$4:$D$107=L$111)*($T$4:$T$107=$C113))</f>
        <v>0</v>
      </c>
      <c r="M113" s="429" cm="1">
        <f t="array" ref="M113">+SUMPRODUCT(($J$4:$J$107)*(S$4:S$107)*($C$4:$C$107=$B113)*($D$4:$D$107=M$111)*($T$4:$T$107=$C113))</f>
        <v>0</v>
      </c>
      <c r="N113" s="422">
        <f>+(D113+I113)*Conversions!$B$3</f>
        <v>10.091542310619509</v>
      </c>
      <c r="O113" s="395">
        <f t="shared" ref="O113:O141" si="2">+VLOOKUP(C113,$T$4:$V$107,3,FALSE)</f>
        <v>0.9</v>
      </c>
      <c r="P113" s="422" cm="1">
        <f t="array" ref="P113">+SUMPRODUCT(($J$4:$J$107)*(M$4:M$107)*($C$4:$C$107=$B113)*($D$4:$D$107=P$111)*($T$4:$T$107=$C113))</f>
        <v>618837.44733865175</v>
      </c>
      <c r="Q113" s="422" cm="1">
        <f t="array" ref="Q113">+SUMPRODUCT(($J$4:$J$107)*(L$4:L$107)*($C$4:$C$107=$B113)*($D$4:$D$107=Q$111)*($T$4:$T$107=$C113))</f>
        <v>6250.8833064510281</v>
      </c>
      <c r="R113" s="422" cm="1">
        <f t="array" ref="R113">+SUMPRODUCT(($J$4:$J$107)*(M$4:M$107)*($C$4:$C$107=$B113)*($D$4:$D$107=R$111)*($T$4:$T$107=$C113))</f>
        <v>0</v>
      </c>
      <c r="S113" s="422" cm="1">
        <f t="array" ref="S113">+SUMPRODUCT(($J$4:$J$107)*(L$4:L$107)*($C$4:$C$107=$B113)*($D$4:$D$107=S$111)*($T$4:$T$107=$C113))</f>
        <v>0</v>
      </c>
      <c r="T113" s="395" t="s">
        <v>359</v>
      </c>
      <c r="U113" s="395" t="s">
        <v>419</v>
      </c>
      <c r="V113" s="452">
        <f>+IFERROR((D113+I113)/($D113+$I113),"")</f>
        <v>1</v>
      </c>
      <c r="W113" s="452">
        <f t="shared" ref="W113:Z113" si="3">+IFERROR((E113+J113)/($D113+$I113),"")</f>
        <v>1</v>
      </c>
      <c r="X113" s="452">
        <f t="shared" si="3"/>
        <v>0</v>
      </c>
      <c r="Y113" s="452">
        <f t="shared" si="3"/>
        <v>0</v>
      </c>
      <c r="Z113" s="452">
        <f t="shared" si="3"/>
        <v>0</v>
      </c>
      <c r="AA113" s="452">
        <f>+IFERROR((D113+I113)/($D113+$I113),"")</f>
        <v>1</v>
      </c>
      <c r="AB113" s="452">
        <f t="shared" ref="AB113:AE113" si="4">+IFERROR((E113+J113)/($D113+$I113),"")</f>
        <v>1</v>
      </c>
      <c r="AC113" s="452">
        <f t="shared" si="4"/>
        <v>0</v>
      </c>
      <c r="AD113" s="452">
        <f t="shared" si="4"/>
        <v>0</v>
      </c>
      <c r="AE113" s="452">
        <f t="shared" si="4"/>
        <v>0</v>
      </c>
    </row>
    <row r="114" spans="2:31">
      <c r="B114" s="445" t="s">
        <v>359</v>
      </c>
      <c r="C114" s="445" t="s">
        <v>420</v>
      </c>
      <c r="D114" s="437" cm="1">
        <f t="array" ref="D114">+SUMPRODUCT(($J$4:$J$107)*(O$4:O$107)*($C$4:$C$107=$B114)*($D$4:$D$107=D$111)*($T$4:$T$107=$C114))</f>
        <v>88623.701086005618</v>
      </c>
      <c r="E114" s="429" cm="1">
        <f t="array" ref="E114">+SUMPRODUCT(($J$4:$J$107)*(P$4:P$107)*($C$4:$C$107=$B114)*($D$4:$D$107=E$111)*($T$4:$T$107=$C114))</f>
        <v>0</v>
      </c>
      <c r="F114" s="429" cm="1">
        <f t="array" ref="F114">+SUMPRODUCT(($J$4:$J$107)*(Q$4:Q$107)*($C$4:$C$107=$B114)*($D$4:$D$107=F$111)*($T$4:$T$107=$C114))</f>
        <v>88623.701086005618</v>
      </c>
      <c r="G114" s="429" cm="1">
        <f t="array" ref="G114">+SUMPRODUCT(($J$4:$J$107)*(R$4:R$107)*($C$4:$C$107=$B114)*($D$4:$D$107=G$111)*($T$4:$T$107=$C114))</f>
        <v>0</v>
      </c>
      <c r="H114" s="429" cm="1">
        <f t="array" ref="H114">+SUMPRODUCT(($J$4:$J$107)*(S$4:S$107)*($C$4:$C$107=$B114)*($D$4:$D$107=H$111)*($T$4:$T$107=$C114))</f>
        <v>0</v>
      </c>
      <c r="I114" s="437" cm="1">
        <f t="array" ref="I114">+SUMPRODUCT(($J$4:$J$107)*(O$4:O$107)*($C$4:$C$107=$B114)*($D$4:$D$107=I$111)*($T$4:$T$107=$C114))</f>
        <v>0</v>
      </c>
      <c r="J114" s="429" cm="1">
        <f t="array" ref="J114">+SUMPRODUCT(($J$4:$J$107)*(P$4:P$107)*($C$4:$C$107=$B114)*($D$4:$D$107=J$111)*($T$4:$T$107=$C114))</f>
        <v>0</v>
      </c>
      <c r="K114" s="429" cm="1">
        <f t="array" ref="K114">+SUMPRODUCT(($J$4:$J$107)*(Q$4:Q$107)*($C$4:$C$107=$B114)*($D$4:$D$107=K$111)*($T$4:$T$107=$C114))</f>
        <v>0</v>
      </c>
      <c r="L114" s="429" cm="1">
        <f t="array" ref="L114">+SUMPRODUCT(($J$4:$J$107)*(R$4:R$107)*($C$4:$C$107=$B114)*($D$4:$D$107=L$111)*($T$4:$T$107=$C114))</f>
        <v>0</v>
      </c>
      <c r="M114" s="429" cm="1">
        <f t="array" ref="M114">+SUMPRODUCT(($J$4:$J$107)*(S$4:S$107)*($C$4:$C$107=$B114)*($D$4:$D$107=M$111)*($T$4:$T$107=$C114))</f>
        <v>0</v>
      </c>
      <c r="N114" s="422">
        <f>+(D114+I114)*Conversions!$B$3</f>
        <v>0.31904532390962026</v>
      </c>
      <c r="O114" s="395">
        <f t="shared" si="2"/>
        <v>0.92</v>
      </c>
      <c r="P114" s="422" cm="1">
        <f t="array" ref="P114">+SUMPRODUCT(($J$4:$J$107)*(M$4:M$107)*($C$4:$C$107=$B114)*($D$4:$D$107=P$111)*($T$4:$T$107=$C114))</f>
        <v>19139.302495009841</v>
      </c>
      <c r="Q114" s="422" cm="1">
        <f t="array" ref="Q114">+SUMPRODUCT(($J$4:$J$107)*(L$4:L$107)*($C$4:$C$107=$B114)*($D$4:$D$107=Q$111)*($T$4:$T$107=$C114))</f>
        <v>193.32628782838225</v>
      </c>
      <c r="R114" s="422" cm="1">
        <f t="array" ref="R114">+SUMPRODUCT(($J$4:$J$107)*(M$4:M$107)*($C$4:$C$107=$B114)*($D$4:$D$107=R$111)*($T$4:$T$107=$C114))</f>
        <v>0</v>
      </c>
      <c r="S114" s="422" cm="1">
        <f t="array" ref="S114">+SUMPRODUCT(($J$4:$J$107)*(L$4:L$107)*($C$4:$C$107=$B114)*($D$4:$D$107=S$111)*($T$4:$T$107=$C114))</f>
        <v>0</v>
      </c>
      <c r="T114" s="395" t="s">
        <v>359</v>
      </c>
      <c r="U114" s="395" t="s">
        <v>420</v>
      </c>
      <c r="V114" s="452">
        <f t="shared" ref="V114:V141" si="5">+IFERROR((D114+I114)/($D114+$I114),"")</f>
        <v>1</v>
      </c>
      <c r="W114" s="452">
        <f t="shared" ref="W114:W141" si="6">+IFERROR((E114+J114)/($D114+$I114),"")</f>
        <v>0</v>
      </c>
      <c r="X114" s="452">
        <f t="shared" ref="X114:X141" si="7">+IFERROR((F114+K114)/($D114+$I114),"")</f>
        <v>1</v>
      </c>
      <c r="Y114" s="452">
        <f t="shared" ref="Y114:Y141" si="8">+IFERROR((G114+L114)/($D114+$I114),"")</f>
        <v>0</v>
      </c>
      <c r="Z114" s="452">
        <f t="shared" ref="Z114:Z141" si="9">+IFERROR((H114+M114)/($D114+$I114),"")</f>
        <v>0</v>
      </c>
      <c r="AA114" s="452">
        <f t="shared" ref="AA114:AA141" si="10">+IFERROR((D114+I114)/($D114+$I114),"")</f>
        <v>1</v>
      </c>
      <c r="AB114" s="452">
        <f t="shared" ref="AB114:AB141" si="11">+IFERROR((E114+J114)/($D114+$I114),"")</f>
        <v>0</v>
      </c>
      <c r="AC114" s="452">
        <f t="shared" ref="AC114:AC141" si="12">+IFERROR((F114+K114)/($D114+$I114),"")</f>
        <v>1</v>
      </c>
      <c r="AD114" s="452">
        <f t="shared" ref="AD114:AD141" si="13">+IFERROR((G114+L114)/($D114+$I114),"")</f>
        <v>0</v>
      </c>
      <c r="AE114" s="452">
        <f t="shared" ref="AE114:AE141" si="14">+IFERROR((H114+M114)/($D114+$I114),"")</f>
        <v>0</v>
      </c>
    </row>
    <row r="115" spans="2:31">
      <c r="B115" s="446" t="s">
        <v>387</v>
      </c>
      <c r="C115" s="446" t="s">
        <v>420</v>
      </c>
      <c r="D115" s="438" cm="1">
        <f t="array" ref="D115">+SUMPRODUCT(($J$4:$J$107)*(O$4:O$107)*($C$4:$C$107=$B115)*($D$4:$D$107=D$111)*($T$4:$T$107=$C115))</f>
        <v>0</v>
      </c>
      <c r="E115" s="430" cm="1">
        <f t="array" ref="E115">+SUMPRODUCT(($J$4:$J$107)*(P$4:P$107)*($C$4:$C$107=$B115)*($D$4:$D$107=E$111)*($T$4:$T$107=$C115))</f>
        <v>0</v>
      </c>
      <c r="F115" s="430" cm="1">
        <f t="array" ref="F115">+SUMPRODUCT(($J$4:$J$107)*(Q$4:Q$107)*($C$4:$C$107=$B115)*($D$4:$D$107=F$111)*($T$4:$T$107=$C115))</f>
        <v>0</v>
      </c>
      <c r="G115" s="430" cm="1">
        <f t="array" ref="G115">+SUMPRODUCT(($J$4:$J$107)*(R$4:R$107)*($C$4:$C$107=$B115)*($D$4:$D$107=G$111)*($T$4:$T$107=$C115))</f>
        <v>0</v>
      </c>
      <c r="H115" s="430" cm="1">
        <f t="array" ref="H115">+SUMPRODUCT(($J$4:$J$107)*(S$4:S$107)*($C$4:$C$107=$B115)*($D$4:$D$107=H$111)*($T$4:$T$107=$C115))</f>
        <v>0</v>
      </c>
      <c r="I115" s="438" cm="1">
        <f t="array" ref="I115">+SUMPRODUCT(($J$4:$J$107)*(O$4:O$107)*($C$4:$C$107=$B115)*($D$4:$D$107=I$111)*($T$4:$T$107=$C115))</f>
        <v>46211.760946388473</v>
      </c>
      <c r="J115" s="430" cm="1">
        <f t="array" ref="J115">+SUMPRODUCT(($J$4:$J$107)*(P$4:P$107)*($C$4:$C$107=$B115)*($D$4:$D$107=J$111)*($T$4:$T$107=$C115))</f>
        <v>0</v>
      </c>
      <c r="K115" s="430" cm="1">
        <f t="array" ref="K115">+SUMPRODUCT(($J$4:$J$107)*(Q$4:Q$107)*($C$4:$C$107=$B115)*($D$4:$D$107=K$111)*($T$4:$T$107=$C115))</f>
        <v>0</v>
      </c>
      <c r="L115" s="430" cm="1">
        <f t="array" ref="L115">+SUMPRODUCT(($J$4:$J$107)*(R$4:R$107)*($C$4:$C$107=$B115)*($D$4:$D$107=L$111)*($T$4:$T$107=$C115))</f>
        <v>46211.760946388473</v>
      </c>
      <c r="M115" s="430" cm="1">
        <f t="array" ref="M115">+SUMPRODUCT(($J$4:$J$107)*(S$4:S$107)*($C$4:$C$107=$B115)*($D$4:$D$107=M$111)*($T$4:$T$107=$C115))</f>
        <v>0</v>
      </c>
      <c r="N115" s="423">
        <f>+(D115+I115)*Conversions!$B$3</f>
        <v>0.16636233940699852</v>
      </c>
      <c r="O115" s="398">
        <f t="shared" si="2"/>
        <v>0.92</v>
      </c>
      <c r="P115" s="423" cm="1">
        <f t="array" ref="P115">+SUMPRODUCT(($J$4:$J$107)*(M$4:M$107)*($C$4:$C$107=$B115)*($D$4:$D$107=P$111)*($T$4:$T$107=$C115))</f>
        <v>0</v>
      </c>
      <c r="Q115" s="423" cm="1">
        <f t="array" ref="Q115">+SUMPRODUCT(($J$4:$J$107)*(L$4:L$107)*($C$4:$C$107=$B115)*($D$4:$D$107=Q$111)*($T$4:$T$107=$C115))</f>
        <v>0</v>
      </c>
      <c r="R115" s="423" cm="1">
        <f t="array" ref="R115">+SUMPRODUCT(($J$4:$J$107)*(M$4:M$107)*($C$4:$C$107=$B115)*($D$4:$D$107=R$111)*($T$4:$T$107=$C115))</f>
        <v>28083.067172807641</v>
      </c>
      <c r="S115" s="423" cm="1">
        <f t="array" ref="S115">+SUMPRODUCT(($J$4:$J$107)*(L$4:L$107)*($C$4:$C$107=$B115)*($D$4:$D$107=S$111)*($T$4:$T$107=$C115))</f>
        <v>4391.8483834081062</v>
      </c>
      <c r="T115" s="398" t="s">
        <v>387</v>
      </c>
      <c r="U115" s="398" t="s">
        <v>420</v>
      </c>
      <c r="V115" s="453">
        <f t="shared" si="5"/>
        <v>1</v>
      </c>
      <c r="W115" s="453">
        <f t="shared" si="6"/>
        <v>0</v>
      </c>
      <c r="X115" s="453">
        <f t="shared" si="7"/>
        <v>0</v>
      </c>
      <c r="Y115" s="453">
        <f t="shared" si="8"/>
        <v>1</v>
      </c>
      <c r="Z115" s="453">
        <f t="shared" si="9"/>
        <v>0</v>
      </c>
      <c r="AA115" s="453">
        <f t="shared" si="10"/>
        <v>1</v>
      </c>
      <c r="AB115" s="453">
        <f t="shared" si="11"/>
        <v>0</v>
      </c>
      <c r="AC115" s="453">
        <f t="shared" si="12"/>
        <v>0</v>
      </c>
      <c r="AD115" s="453">
        <f t="shared" si="13"/>
        <v>1</v>
      </c>
      <c r="AE115" s="453">
        <f t="shared" si="14"/>
        <v>0</v>
      </c>
    </row>
    <row r="116" spans="2:31">
      <c r="B116" s="446" t="s">
        <v>387</v>
      </c>
      <c r="C116" s="446" t="s">
        <v>421</v>
      </c>
      <c r="D116" s="438" cm="1">
        <f t="array" ref="D116">+SUMPRODUCT(($J$4:$J$107)*(O$4:O$107)*($C$4:$C$107=$B116)*($D$4:$D$107=D$111)*($T$4:$T$107=$C116))</f>
        <v>264308.20064496459</v>
      </c>
      <c r="E116" s="430" cm="1">
        <f t="array" ref="E116">+SUMPRODUCT(($J$4:$J$107)*(P$4:P$107)*($C$4:$C$107=$B116)*($D$4:$D$107=E$111)*($T$4:$T$107=$C116))</f>
        <v>0</v>
      </c>
      <c r="F116" s="430" cm="1">
        <f t="array" ref="F116">+SUMPRODUCT(($J$4:$J$107)*(Q$4:Q$107)*($C$4:$C$107=$B116)*($D$4:$D$107=F$111)*($T$4:$T$107=$C116))</f>
        <v>264308.20064496459</v>
      </c>
      <c r="G116" s="430" cm="1">
        <f t="array" ref="G116">+SUMPRODUCT(($J$4:$J$107)*(R$4:R$107)*($C$4:$C$107=$B116)*($D$4:$D$107=G$111)*($T$4:$T$107=$C116))</f>
        <v>0</v>
      </c>
      <c r="H116" s="430" cm="1">
        <f t="array" ref="H116">+SUMPRODUCT(($J$4:$J$107)*(S$4:S$107)*($C$4:$C$107=$B116)*($D$4:$D$107=H$111)*($T$4:$T$107=$C116))</f>
        <v>0</v>
      </c>
      <c r="I116" s="438" cm="1">
        <f t="array" ref="I116">+SUMPRODUCT(($J$4:$J$107)*(O$4:O$107)*($C$4:$C$107=$B116)*($D$4:$D$107=I$111)*($T$4:$T$107=$C116))</f>
        <v>100460.34988345319</v>
      </c>
      <c r="J116" s="430" cm="1">
        <f t="array" ref="J116">+SUMPRODUCT(($J$4:$J$107)*(P$4:P$107)*($C$4:$C$107=$B116)*($D$4:$D$107=J$111)*($T$4:$T$107=$C116))</f>
        <v>0</v>
      </c>
      <c r="K116" s="430" cm="1">
        <f t="array" ref="K116">+SUMPRODUCT(($J$4:$J$107)*(Q$4:Q$107)*($C$4:$C$107=$B116)*($D$4:$D$107=K$111)*($T$4:$T$107=$C116))</f>
        <v>100460.34988345319</v>
      </c>
      <c r="L116" s="430" cm="1">
        <f t="array" ref="L116">+SUMPRODUCT(($J$4:$J$107)*(R$4:R$107)*($C$4:$C$107=$B116)*($D$4:$D$107=L$111)*($T$4:$T$107=$C116))</f>
        <v>0</v>
      </c>
      <c r="M116" s="430" cm="1">
        <f t="array" ref="M116">+SUMPRODUCT(($J$4:$J$107)*(S$4:S$107)*($C$4:$C$107=$B116)*($D$4:$D$107=M$111)*($T$4:$T$107=$C116))</f>
        <v>0</v>
      </c>
      <c r="N116" s="423">
        <f>+(D116+I116)*Conversions!$B$3</f>
        <v>1.3131667819023043</v>
      </c>
      <c r="O116" s="398">
        <f t="shared" si="2"/>
        <v>0.5</v>
      </c>
      <c r="P116" s="423" cm="1">
        <f t="array" ref="P116">+SUMPRODUCT(($J$4:$J$107)*(M$4:M$107)*($C$4:$C$107=$B116)*($D$4:$D$107=P$111)*($T$4:$T$107=$C116))</f>
        <v>293857.81093668088</v>
      </c>
      <c r="Q116" s="423" cm="1">
        <f t="array" ref="Q116">+SUMPRODUCT(($J$4:$J$107)*(L$4:L$107)*($C$4:$C$107=$B116)*($D$4:$D$107=Q$111)*($T$4:$T$107=$C116))</f>
        <v>45955.769146318627</v>
      </c>
      <c r="R116" s="423" cm="1">
        <f t="array" ref="R116">+SUMPRODUCT(($J$4:$J$107)*(M$4:M$107)*($C$4:$C$107=$B116)*($D$4:$D$107=R$111)*($T$4:$T$107=$C116))</f>
        <v>112332.26869123057</v>
      </c>
      <c r="S116" s="423" cm="1">
        <f t="array" ref="S116">+SUMPRODUCT(($J$4:$J$107)*(L$4:L$107)*($C$4:$C$107=$B116)*($D$4:$D$107=S$111)*($T$4:$T$107=$C116))</f>
        <v>17567.393533632425</v>
      </c>
      <c r="T116" s="398" t="s">
        <v>387</v>
      </c>
      <c r="U116" s="398" t="s">
        <v>421</v>
      </c>
      <c r="V116" s="453">
        <f t="shared" si="5"/>
        <v>1</v>
      </c>
      <c r="W116" s="453">
        <f t="shared" si="6"/>
        <v>0</v>
      </c>
      <c r="X116" s="453">
        <f t="shared" si="7"/>
        <v>1</v>
      </c>
      <c r="Y116" s="453">
        <f t="shared" si="8"/>
        <v>0</v>
      </c>
      <c r="Z116" s="453">
        <f t="shared" si="9"/>
        <v>0</v>
      </c>
      <c r="AA116" s="453">
        <f t="shared" si="10"/>
        <v>1</v>
      </c>
      <c r="AB116" s="453">
        <f t="shared" si="11"/>
        <v>0</v>
      </c>
      <c r="AC116" s="453">
        <f t="shared" si="12"/>
        <v>1</v>
      </c>
      <c r="AD116" s="453">
        <f t="shared" si="13"/>
        <v>0</v>
      </c>
      <c r="AE116" s="453">
        <f t="shared" si="14"/>
        <v>0</v>
      </c>
    </row>
    <row r="117" spans="2:31">
      <c r="B117" s="446" t="s">
        <v>387</v>
      </c>
      <c r="C117" s="446" t="s">
        <v>422</v>
      </c>
      <c r="D117" s="438" cm="1">
        <f t="array" ref="D117">+SUMPRODUCT(($J$4:$J$107)*(O$4:O$107)*($C$4:$C$107=$B117)*($D$4:$D$107=D$111)*($T$4:$T$107=$C117))</f>
        <v>437694.38026806136</v>
      </c>
      <c r="E117" s="430" cm="1">
        <f t="array" ref="E117">+SUMPRODUCT(($J$4:$J$107)*(P$4:P$107)*($C$4:$C$107=$B117)*($D$4:$D$107=E$111)*($T$4:$T$107=$C117))</f>
        <v>0</v>
      </c>
      <c r="F117" s="430" cm="1">
        <f t="array" ref="F117">+SUMPRODUCT(($J$4:$J$107)*(Q$4:Q$107)*($C$4:$C$107=$B117)*($D$4:$D$107=F$111)*($T$4:$T$107=$C117))</f>
        <v>43769.438026806143</v>
      </c>
      <c r="G117" s="430" cm="1">
        <f t="array" ref="G117">+SUMPRODUCT(($J$4:$J$107)*(R$4:R$107)*($C$4:$C$107=$B117)*($D$4:$D$107=G$111)*($T$4:$T$107=$C117))</f>
        <v>306386.06618764298</v>
      </c>
      <c r="H117" s="430" cm="1">
        <f t="array" ref="H117">+SUMPRODUCT(($J$4:$J$107)*(S$4:S$107)*($C$4:$C$107=$B117)*($D$4:$D$107=H$111)*($T$4:$T$107=$C117))</f>
        <v>87538.876053612286</v>
      </c>
      <c r="I117" s="438" cm="1">
        <f t="array" ref="I117">+SUMPRODUCT(($J$4:$J$107)*(O$4:O$107)*($C$4:$C$107=$B117)*($D$4:$D$107=I$111)*($T$4:$T$107=$C117))</f>
        <v>646964.6532494385</v>
      </c>
      <c r="J117" s="430" cm="1">
        <f t="array" ref="J117">+SUMPRODUCT(($J$4:$J$107)*(P$4:P$107)*($C$4:$C$107=$B117)*($D$4:$D$107=J$111)*($T$4:$T$107=$C117))</f>
        <v>0</v>
      </c>
      <c r="K117" s="430" cm="1">
        <f t="array" ref="K117">+SUMPRODUCT(($J$4:$J$107)*(Q$4:Q$107)*($C$4:$C$107=$B117)*($D$4:$D$107=K$111)*($T$4:$T$107=$C117))</f>
        <v>64696.465324943856</v>
      </c>
      <c r="L117" s="430" cm="1">
        <f t="array" ref="L117">+SUMPRODUCT(($J$4:$J$107)*(R$4:R$107)*($C$4:$C$107=$B117)*($D$4:$D$107=L$111)*($T$4:$T$107=$C117))</f>
        <v>452875.25727460696</v>
      </c>
      <c r="M117" s="430" cm="1">
        <f t="array" ref="M117">+SUMPRODUCT(($J$4:$J$107)*(S$4:S$107)*($C$4:$C$107=$B117)*($D$4:$D$107=M$111)*($T$4:$T$107=$C117))</f>
        <v>129392.93064988771</v>
      </c>
      <c r="N117" s="423">
        <f>+(D117+I117)*Conversions!$B$3</f>
        <v>3.9047725206630002</v>
      </c>
      <c r="O117" s="398">
        <f t="shared" si="2"/>
        <v>0.92</v>
      </c>
      <c r="P117" s="423" cm="1">
        <f t="array" ref="P117">+SUMPRODUCT(($J$4:$J$107)*(M$4:M$107)*($C$4:$C$107=$B117)*($D$4:$D$107=P$111)*($T$4:$T$107=$C117))</f>
        <v>264472.02984301286</v>
      </c>
      <c r="Q117" s="423" cm="1">
        <f t="array" ref="Q117">+SUMPRODUCT(($J$4:$J$107)*(L$4:L$107)*($C$4:$C$107=$B117)*($D$4:$D$107=Q$111)*($T$4:$T$107=$C117))</f>
        <v>41360.192231686771</v>
      </c>
      <c r="R117" s="423" cm="1">
        <f t="array" ref="R117">+SUMPRODUCT(($J$4:$J$107)*(M$4:M$107)*($C$4:$C$107=$B117)*($D$4:$D$107=R$111)*($T$4:$T$107=$C117))</f>
        <v>393162.94041930692</v>
      </c>
      <c r="S117" s="423" cm="1">
        <f t="array" ref="S117">+SUMPRODUCT(($J$4:$J$107)*(L$4:L$107)*($C$4:$C$107=$B117)*($D$4:$D$107=S$111)*($T$4:$T$107=$C117))</f>
        <v>61485.877367713474</v>
      </c>
      <c r="T117" s="398" t="s">
        <v>387</v>
      </c>
      <c r="U117" s="398" t="s">
        <v>422</v>
      </c>
      <c r="V117" s="453">
        <f t="shared" si="5"/>
        <v>1</v>
      </c>
      <c r="W117" s="453">
        <f t="shared" si="6"/>
        <v>0</v>
      </c>
      <c r="X117" s="453">
        <f t="shared" si="7"/>
        <v>0.1</v>
      </c>
      <c r="Y117" s="453">
        <f t="shared" si="8"/>
        <v>0.7</v>
      </c>
      <c r="Z117" s="453">
        <f t="shared" si="9"/>
        <v>0.2</v>
      </c>
      <c r="AA117" s="453">
        <f t="shared" si="10"/>
        <v>1</v>
      </c>
      <c r="AB117" s="453">
        <f t="shared" si="11"/>
        <v>0</v>
      </c>
      <c r="AC117" s="453">
        <f t="shared" si="12"/>
        <v>0.1</v>
      </c>
      <c r="AD117" s="453">
        <f t="shared" si="13"/>
        <v>0.7</v>
      </c>
      <c r="AE117" s="453">
        <f t="shared" si="14"/>
        <v>0.2</v>
      </c>
    </row>
    <row r="118" spans="2:31">
      <c r="B118" s="446" t="s">
        <v>387</v>
      </c>
      <c r="C118" s="446" t="s">
        <v>423</v>
      </c>
      <c r="D118" s="438" cm="1">
        <f t="array" ref="D118">+SUMPRODUCT(($J$4:$J$107)*(O$4:O$107)*($C$4:$C$107=$B118)*($D$4:$D$107=D$111)*($T$4:$T$107=$C118))</f>
        <v>48632.708918673481</v>
      </c>
      <c r="E118" s="430" cm="1">
        <f t="array" ref="E118">+SUMPRODUCT(($J$4:$J$107)*(P$4:P$107)*($C$4:$C$107=$B118)*($D$4:$D$107=E$111)*($T$4:$T$107=$C118))</f>
        <v>0</v>
      </c>
      <c r="F118" s="430" cm="1">
        <f t="array" ref="F118">+SUMPRODUCT(($J$4:$J$107)*(Q$4:Q$107)*($C$4:$C$107=$B118)*($D$4:$D$107=F$111)*($T$4:$T$107=$C118))</f>
        <v>0</v>
      </c>
      <c r="G118" s="430" cm="1">
        <f t="array" ref="G118">+SUMPRODUCT(($J$4:$J$107)*(R$4:R$107)*($C$4:$C$107=$B118)*($D$4:$D$107=G$111)*($T$4:$T$107=$C118))</f>
        <v>48632.708918673481</v>
      </c>
      <c r="H118" s="430" cm="1">
        <f t="array" ref="H118">+SUMPRODUCT(($J$4:$J$107)*(S$4:S$107)*($C$4:$C$107=$B118)*($D$4:$D$107=H$111)*($T$4:$T$107=$C118))</f>
        <v>0</v>
      </c>
      <c r="I118" s="438" cm="1">
        <f t="array" ref="I118">+SUMPRODUCT(($J$4:$J$107)*(O$4:O$107)*($C$4:$C$107=$B118)*($D$4:$D$107=I$111)*($T$4:$T$107=$C118))</f>
        <v>46211.760946388473</v>
      </c>
      <c r="J118" s="430" cm="1">
        <f t="array" ref="J118">+SUMPRODUCT(($J$4:$J$107)*(P$4:P$107)*($C$4:$C$107=$B118)*($D$4:$D$107=J$111)*($T$4:$T$107=$C118))</f>
        <v>0</v>
      </c>
      <c r="K118" s="430" cm="1">
        <f t="array" ref="K118">+SUMPRODUCT(($J$4:$J$107)*(Q$4:Q$107)*($C$4:$C$107=$B118)*($D$4:$D$107=K$111)*($T$4:$T$107=$C118))</f>
        <v>0</v>
      </c>
      <c r="L118" s="430" cm="1">
        <f t="array" ref="L118">+SUMPRODUCT(($J$4:$J$107)*(R$4:R$107)*($C$4:$C$107=$B118)*($D$4:$D$107=L$111)*($T$4:$T$107=$C118))</f>
        <v>46211.760946388473</v>
      </c>
      <c r="M118" s="430" cm="1">
        <f t="array" ref="M118">+SUMPRODUCT(($J$4:$J$107)*(S$4:S$107)*($C$4:$C$107=$B118)*($D$4:$D$107=M$111)*($T$4:$T$107=$C118))</f>
        <v>0</v>
      </c>
      <c r="N118" s="423">
        <f>+(D118+I118)*Conversions!$B$3</f>
        <v>0.34144009151422305</v>
      </c>
      <c r="O118" s="398">
        <f t="shared" si="2"/>
        <v>0.92</v>
      </c>
      <c r="P118" s="423" cm="1">
        <f t="array" ref="P118">+SUMPRODUCT(($J$4:$J$107)*(M$4:M$107)*($C$4:$C$107=$B118)*($D$4:$D$107=P$111)*($T$4:$T$107=$C118))</f>
        <v>29385.781093668098</v>
      </c>
      <c r="Q118" s="423" cm="1">
        <f t="array" ref="Q118">+SUMPRODUCT(($J$4:$J$107)*(L$4:L$107)*($C$4:$C$107=$B118)*($D$4:$D$107=Q$111)*($T$4:$T$107=$C118))</f>
        <v>4595.5769146318635</v>
      </c>
      <c r="R118" s="423" cm="1">
        <f t="array" ref="R118">+SUMPRODUCT(($J$4:$J$107)*(M$4:M$107)*($C$4:$C$107=$B118)*($D$4:$D$107=R$111)*($T$4:$T$107=$C118))</f>
        <v>28083.067172807641</v>
      </c>
      <c r="S118" s="423" cm="1">
        <f t="array" ref="S118">+SUMPRODUCT(($J$4:$J$107)*(L$4:L$107)*($C$4:$C$107=$B118)*($D$4:$D$107=S$111)*($T$4:$T$107=$C118))</f>
        <v>4391.8483834081062</v>
      </c>
      <c r="T118" s="398" t="s">
        <v>387</v>
      </c>
      <c r="U118" s="398" t="s">
        <v>423</v>
      </c>
      <c r="V118" s="453">
        <f t="shared" si="5"/>
        <v>1</v>
      </c>
      <c r="W118" s="453">
        <f t="shared" si="6"/>
        <v>0</v>
      </c>
      <c r="X118" s="453">
        <f t="shared" si="7"/>
        <v>0</v>
      </c>
      <c r="Y118" s="453">
        <f t="shared" si="8"/>
        <v>1</v>
      </c>
      <c r="Z118" s="453">
        <f t="shared" si="9"/>
        <v>0</v>
      </c>
      <c r="AA118" s="453">
        <f t="shared" si="10"/>
        <v>1</v>
      </c>
      <c r="AB118" s="453">
        <f t="shared" si="11"/>
        <v>0</v>
      </c>
      <c r="AC118" s="453">
        <f t="shared" si="12"/>
        <v>0</v>
      </c>
      <c r="AD118" s="453">
        <f t="shared" si="13"/>
        <v>1</v>
      </c>
      <c r="AE118" s="453">
        <f t="shared" si="14"/>
        <v>0</v>
      </c>
    </row>
    <row r="119" spans="2:31">
      <c r="B119" s="447" t="s">
        <v>377</v>
      </c>
      <c r="C119" s="447" t="s">
        <v>420</v>
      </c>
      <c r="D119" s="439" cm="1">
        <f t="array" ref="D119">+SUMPRODUCT(($J$4:$J$107)*(O$4:O$107)*($C$4:$C$107=$B119)*($D$4:$D$107=D$111)*($T$4:$T$107=$C119))</f>
        <v>190024.75517447077</v>
      </c>
      <c r="E119" s="431" cm="1">
        <f t="array" ref="E119">+SUMPRODUCT(($J$4:$J$107)*(P$4:P$107)*($C$4:$C$107=$B119)*($D$4:$D$107=E$111)*($T$4:$T$107=$C119))</f>
        <v>0</v>
      </c>
      <c r="F119" s="431" cm="1">
        <f t="array" ref="F119">+SUMPRODUCT(($J$4:$J$107)*(Q$4:Q$107)*($C$4:$C$107=$B119)*($D$4:$D$107=F$111)*($T$4:$T$107=$C119))</f>
        <v>0</v>
      </c>
      <c r="G119" s="431" cm="1">
        <f t="array" ref="G119">+SUMPRODUCT(($J$4:$J$107)*(R$4:R$107)*($C$4:$C$107=$B119)*($D$4:$D$107=G$111)*($T$4:$T$107=$C119))</f>
        <v>0</v>
      </c>
      <c r="H119" s="431" cm="1">
        <f t="array" ref="H119">+SUMPRODUCT(($J$4:$J$107)*(S$4:S$107)*($C$4:$C$107=$B119)*($D$4:$D$107=H$111)*($T$4:$T$107=$C119))</f>
        <v>190024.75517447077</v>
      </c>
      <c r="I119" s="439" cm="1">
        <f t="array" ref="I119">+SUMPRODUCT(($J$4:$J$107)*(O$4:O$107)*($C$4:$C$107=$B119)*($D$4:$D$107=I$111)*($T$4:$T$107=$C119))</f>
        <v>38184.222445719737</v>
      </c>
      <c r="J119" s="431" cm="1">
        <f t="array" ref="J119">+SUMPRODUCT(($J$4:$J$107)*(P$4:P$107)*($C$4:$C$107=$B119)*($D$4:$D$107=J$111)*($T$4:$T$107=$C119))</f>
        <v>0</v>
      </c>
      <c r="K119" s="431" cm="1">
        <f t="array" ref="K119">+SUMPRODUCT(($J$4:$J$107)*(Q$4:Q$107)*($C$4:$C$107=$B119)*($D$4:$D$107=K$111)*($T$4:$T$107=$C119))</f>
        <v>0</v>
      </c>
      <c r="L119" s="431" cm="1">
        <f t="array" ref="L119">+SUMPRODUCT(($J$4:$J$107)*(R$4:R$107)*($C$4:$C$107=$B119)*($D$4:$D$107=L$111)*($T$4:$T$107=$C119))</f>
        <v>0</v>
      </c>
      <c r="M119" s="431" cm="1">
        <f t="array" ref="M119">+SUMPRODUCT(($J$4:$J$107)*(S$4:S$107)*($C$4:$C$107=$B119)*($D$4:$D$107=M$111)*($T$4:$T$107=$C119))</f>
        <v>38184.222445719737</v>
      </c>
      <c r="N119" s="424">
        <f>+(D119+I119)*Conversions!$B$3</f>
        <v>0.82155231943268592</v>
      </c>
      <c r="O119" s="401">
        <f t="shared" si="2"/>
        <v>0.92</v>
      </c>
      <c r="P119" s="424" cm="1">
        <f t="array" ref="P119">+SUMPRODUCT(($J$4:$J$107)*(M$4:M$107)*($C$4:$C$107=$B119)*($D$4:$D$107=P$111)*($T$4:$T$107=$C119))</f>
        <v>33235.222069929063</v>
      </c>
      <c r="Q119" s="424" cm="1">
        <f t="array" ref="Q119">+SUMPRODUCT(($J$4:$J$107)*(L$4:L$107)*($C$4:$C$107=$B119)*($D$4:$D$107=Q$111)*($T$4:$T$107=$C119))</f>
        <v>20041.506964950328</v>
      </c>
      <c r="R119" s="424" cm="1">
        <f t="array" ref="R119">+SUMPRODUCT(($J$4:$J$107)*(M$4:M$107)*($C$4:$C$107=$B119)*($D$4:$D$107=R$111)*($T$4:$T$107=$C119))</f>
        <v>6652.6372761832044</v>
      </c>
      <c r="S119" s="424" cm="1">
        <f t="array" ref="S119">+SUMPRODUCT(($J$4:$J$107)*(L$4:L$107)*($C$4:$C$107=$B119)*($D$4:$D$107=S$111)*($T$4:$T$107=$C119))</f>
        <v>4011.6740013164704</v>
      </c>
      <c r="T119" s="401" t="s">
        <v>377</v>
      </c>
      <c r="U119" s="401" t="s">
        <v>420</v>
      </c>
      <c r="V119" s="454">
        <f t="shared" si="5"/>
        <v>1</v>
      </c>
      <c r="W119" s="454">
        <f t="shared" si="6"/>
        <v>0</v>
      </c>
      <c r="X119" s="454">
        <f t="shared" si="7"/>
        <v>0</v>
      </c>
      <c r="Y119" s="454">
        <f t="shared" si="8"/>
        <v>0</v>
      </c>
      <c r="Z119" s="454">
        <f t="shared" si="9"/>
        <v>1</v>
      </c>
      <c r="AA119" s="454">
        <f t="shared" si="10"/>
        <v>1</v>
      </c>
      <c r="AB119" s="454">
        <f t="shared" si="11"/>
        <v>0</v>
      </c>
      <c r="AC119" s="454">
        <f t="shared" si="12"/>
        <v>0</v>
      </c>
      <c r="AD119" s="454">
        <f t="shared" si="13"/>
        <v>0</v>
      </c>
      <c r="AE119" s="454">
        <f t="shared" si="14"/>
        <v>1</v>
      </c>
    </row>
    <row r="120" spans="2:31">
      <c r="B120" s="447" t="s">
        <v>377</v>
      </c>
      <c r="C120" s="447" t="s">
        <v>421</v>
      </c>
      <c r="D120" s="439" cm="1">
        <f t="array" ref="D120">+SUMPRODUCT(($J$4:$J$107)*(O$4:O$107)*($C$4:$C$107=$B120)*($D$4:$D$107=D$111)*($T$4:$T$107=$C120))</f>
        <v>929468.91117947642</v>
      </c>
      <c r="E120" s="431" cm="1">
        <f t="array" ref="E120">+SUMPRODUCT(($J$4:$J$107)*(P$4:P$107)*($C$4:$C$107=$B120)*($D$4:$D$107=E$111)*($T$4:$T$107=$C120))</f>
        <v>0</v>
      </c>
      <c r="F120" s="431" cm="1">
        <f t="array" ref="F120">+SUMPRODUCT(($J$4:$J$107)*(Q$4:Q$107)*($C$4:$C$107=$B120)*($D$4:$D$107=F$111)*($T$4:$T$107=$C120))</f>
        <v>0</v>
      </c>
      <c r="G120" s="431" cm="1">
        <f t="array" ref="G120">+SUMPRODUCT(($J$4:$J$107)*(R$4:R$107)*($C$4:$C$107=$B120)*($D$4:$D$107=G$111)*($T$4:$T$107=$C120))</f>
        <v>929468.91117947642</v>
      </c>
      <c r="H120" s="431" cm="1">
        <f t="array" ref="H120">+SUMPRODUCT(($J$4:$J$107)*(S$4:S$107)*($C$4:$C$107=$B120)*($D$4:$D$107=H$111)*($T$4:$T$107=$C120))</f>
        <v>0</v>
      </c>
      <c r="I120" s="439" cm="1">
        <f t="array" ref="I120">+SUMPRODUCT(($J$4:$J$107)*(O$4:O$107)*($C$4:$C$107=$B120)*($D$4:$D$107=I$111)*($T$4:$T$107=$C120))</f>
        <v>62256.884422369141</v>
      </c>
      <c r="J120" s="431" cm="1">
        <f t="array" ref="J120">+SUMPRODUCT(($J$4:$J$107)*(P$4:P$107)*($C$4:$C$107=$B120)*($D$4:$D$107=J$111)*($T$4:$T$107=$C120))</f>
        <v>0</v>
      </c>
      <c r="K120" s="431" cm="1">
        <f t="array" ref="K120">+SUMPRODUCT(($J$4:$J$107)*(Q$4:Q$107)*($C$4:$C$107=$B120)*($D$4:$D$107=K$111)*($T$4:$T$107=$C120))</f>
        <v>0</v>
      </c>
      <c r="L120" s="431" cm="1">
        <f t="array" ref="L120">+SUMPRODUCT(($J$4:$J$107)*(R$4:R$107)*($C$4:$C$107=$B120)*($D$4:$D$107=L$111)*($T$4:$T$107=$C120))</f>
        <v>62256.884422369141</v>
      </c>
      <c r="M120" s="431" cm="1">
        <f t="array" ref="M120">+SUMPRODUCT(($J$4:$J$107)*(S$4:S$107)*($C$4:$C$107=$B120)*($D$4:$D$107=M$111)*($T$4:$T$107=$C120))</f>
        <v>0</v>
      </c>
      <c r="N120" s="424">
        <f>+(D120+I120)*Conversions!$B$3</f>
        <v>3.5702128641666446</v>
      </c>
      <c r="O120" s="401">
        <f t="shared" si="2"/>
        <v>0.5</v>
      </c>
      <c r="P120" s="424" cm="1">
        <f t="array" ref="P120">+SUMPRODUCT(($J$4:$J$107)*(M$4:M$107)*($C$4:$C$107=$B120)*($D$4:$D$107=P$111)*($T$4:$T$107=$C120))</f>
        <v>299116.99862936168</v>
      </c>
      <c r="Q120" s="424" cm="1">
        <f t="array" ref="Q120">+SUMPRODUCT(($J$4:$J$107)*(L$4:L$107)*($C$4:$C$107=$B120)*($D$4:$D$107=Q$111)*($T$4:$T$107=$C120))</f>
        <v>180373.56268455292</v>
      </c>
      <c r="R120" s="424" cm="1">
        <f t="array" ref="R120">+SUMPRODUCT(($J$4:$J$107)*(M$4:M$107)*($C$4:$C$107=$B120)*($D$4:$D$107=R$111)*($T$4:$T$107=$C120))</f>
        <v>19957.911828549612</v>
      </c>
      <c r="S120" s="424" cm="1">
        <f t="array" ref="S120">+SUMPRODUCT(($J$4:$J$107)*(L$4:L$107)*($C$4:$C$107=$B120)*($D$4:$D$107=S$111)*($T$4:$T$107=$C120))</f>
        <v>12035.022003949411</v>
      </c>
      <c r="T120" s="401" t="s">
        <v>377</v>
      </c>
      <c r="U120" s="401" t="s">
        <v>421</v>
      </c>
      <c r="V120" s="454">
        <f t="shared" si="5"/>
        <v>1</v>
      </c>
      <c r="W120" s="454">
        <f t="shared" si="6"/>
        <v>0</v>
      </c>
      <c r="X120" s="454">
        <f t="shared" si="7"/>
        <v>0</v>
      </c>
      <c r="Y120" s="454">
        <f t="shared" si="8"/>
        <v>1</v>
      </c>
      <c r="Z120" s="454">
        <f t="shared" si="9"/>
        <v>0</v>
      </c>
      <c r="AA120" s="454">
        <f t="shared" si="10"/>
        <v>1</v>
      </c>
      <c r="AB120" s="454">
        <f t="shared" si="11"/>
        <v>0</v>
      </c>
      <c r="AC120" s="454">
        <f t="shared" si="12"/>
        <v>0</v>
      </c>
      <c r="AD120" s="454">
        <f t="shared" si="13"/>
        <v>1</v>
      </c>
      <c r="AE120" s="454">
        <f t="shared" si="14"/>
        <v>0</v>
      </c>
    </row>
    <row r="121" spans="2:31">
      <c r="B121" s="447" t="s">
        <v>377</v>
      </c>
      <c r="C121" s="447" t="s">
        <v>422</v>
      </c>
      <c r="D121" s="439" cm="1">
        <f t="array" ref="D121">+SUMPRODUCT(($J$4:$J$107)*(O$4:O$107)*($C$4:$C$107=$B121)*($D$4:$D$107=D$111)*($T$4:$T$107=$C121))</f>
        <v>1520198.0413957662</v>
      </c>
      <c r="E121" s="431" cm="1">
        <f t="array" ref="E121">+SUMPRODUCT(($J$4:$J$107)*(P$4:P$107)*($C$4:$C$107=$B121)*($D$4:$D$107=E$111)*($T$4:$T$107=$C121))</f>
        <v>0</v>
      </c>
      <c r="F121" s="431" cm="1">
        <f t="array" ref="F121">+SUMPRODUCT(($J$4:$J$107)*(Q$4:Q$107)*($C$4:$C$107=$B121)*($D$4:$D$107=F$111)*($T$4:$T$107=$C121))</f>
        <v>152019.80413957665</v>
      </c>
      <c r="G121" s="431" cm="1">
        <f t="array" ref="G121">+SUMPRODUCT(($J$4:$J$107)*(R$4:R$107)*($C$4:$C$107=$B121)*($D$4:$D$107=G$111)*($T$4:$T$107=$C121))</f>
        <v>912118.82483745972</v>
      </c>
      <c r="H121" s="431" cm="1">
        <f t="array" ref="H121">+SUMPRODUCT(($J$4:$J$107)*(S$4:S$107)*($C$4:$C$107=$B121)*($D$4:$D$107=H$111)*($T$4:$T$107=$C121))</f>
        <v>456059.41241872986</v>
      </c>
      <c r="I121" s="439" cm="1">
        <f t="array" ref="I121">+SUMPRODUCT(($J$4:$J$107)*(O$4:O$107)*($C$4:$C$107=$B121)*($D$4:$D$107=I$111)*($T$4:$T$107=$C121))</f>
        <v>534579.11424007639</v>
      </c>
      <c r="J121" s="431" cm="1">
        <f t="array" ref="J121">+SUMPRODUCT(($J$4:$J$107)*(P$4:P$107)*($C$4:$C$107=$B121)*($D$4:$D$107=J$111)*($T$4:$T$107=$C121))</f>
        <v>0</v>
      </c>
      <c r="K121" s="431" cm="1">
        <f t="array" ref="K121">+SUMPRODUCT(($J$4:$J$107)*(Q$4:Q$107)*($C$4:$C$107=$B121)*($D$4:$D$107=K$111)*($T$4:$T$107=$C121))</f>
        <v>53457.911424007645</v>
      </c>
      <c r="L121" s="431" cm="1">
        <f t="array" ref="L121">+SUMPRODUCT(($J$4:$J$107)*(R$4:R$107)*($C$4:$C$107=$B121)*($D$4:$D$107=L$111)*($T$4:$T$107=$C121))</f>
        <v>320747.46854404581</v>
      </c>
      <c r="M121" s="431" cm="1">
        <f t="array" ref="M121">+SUMPRODUCT(($J$4:$J$107)*(S$4:S$107)*($C$4:$C$107=$B121)*($D$4:$D$107=M$111)*($T$4:$T$107=$C121))</f>
        <v>160373.73427202291</v>
      </c>
      <c r="N121" s="424">
        <f>+(D121+I121)*Conversions!$B$3</f>
        <v>7.3971977602890338</v>
      </c>
      <c r="O121" s="401">
        <f t="shared" si="2"/>
        <v>0.92</v>
      </c>
      <c r="P121" s="424" cm="1">
        <f t="array" ref="P121">+SUMPRODUCT(($J$4:$J$107)*(M$4:M$107)*($C$4:$C$107=$B121)*($D$4:$D$107=P$111)*($T$4:$T$107=$C121))</f>
        <v>265881.7765594325</v>
      </c>
      <c r="Q121" s="424" cm="1">
        <f t="array" ref="Q121">+SUMPRODUCT(($J$4:$J$107)*(L$4:L$107)*($C$4:$C$107=$B121)*($D$4:$D$107=Q$111)*($T$4:$T$107=$C121))</f>
        <v>160332.05571960262</v>
      </c>
      <c r="R121" s="424" cm="1">
        <f t="array" ref="R121">+SUMPRODUCT(($J$4:$J$107)*(M$4:M$107)*($C$4:$C$107=$B121)*($D$4:$D$107=R$111)*($T$4:$T$107=$C121))</f>
        <v>93136.921866564837</v>
      </c>
      <c r="S121" s="424" cm="1">
        <f t="array" ref="S121">+SUMPRODUCT(($J$4:$J$107)*(L$4:L$107)*($C$4:$C$107=$B121)*($D$4:$D$107=S$111)*($T$4:$T$107=$C121))</f>
        <v>56163.436018430577</v>
      </c>
      <c r="T121" s="401" t="s">
        <v>377</v>
      </c>
      <c r="U121" s="401" t="s">
        <v>422</v>
      </c>
      <c r="V121" s="454">
        <f t="shared" si="5"/>
        <v>1</v>
      </c>
      <c r="W121" s="454">
        <f t="shared" si="6"/>
        <v>0</v>
      </c>
      <c r="X121" s="454">
        <f t="shared" si="7"/>
        <v>0.10000000000000002</v>
      </c>
      <c r="Y121" s="454">
        <f t="shared" si="8"/>
        <v>0.60000000000000009</v>
      </c>
      <c r="Z121" s="454">
        <f t="shared" si="9"/>
        <v>0.30000000000000004</v>
      </c>
      <c r="AA121" s="454">
        <f t="shared" si="10"/>
        <v>1</v>
      </c>
      <c r="AB121" s="454">
        <f t="shared" si="11"/>
        <v>0</v>
      </c>
      <c r="AC121" s="454">
        <f t="shared" si="12"/>
        <v>0.10000000000000002</v>
      </c>
      <c r="AD121" s="454">
        <f t="shared" si="13"/>
        <v>0.60000000000000009</v>
      </c>
      <c r="AE121" s="454">
        <f t="shared" si="14"/>
        <v>0.30000000000000004</v>
      </c>
    </row>
    <row r="122" spans="2:31">
      <c r="B122" s="447" t="s">
        <v>377</v>
      </c>
      <c r="C122" s="447" t="s">
        <v>423</v>
      </c>
      <c r="D122" s="439" cm="1">
        <f t="array" ref="D122">+SUMPRODUCT(($J$4:$J$107)*(O$4:O$107)*($C$4:$C$107=$B122)*($D$4:$D$107=D$111)*($T$4:$T$107=$C122))</f>
        <v>380049.51034894155</v>
      </c>
      <c r="E122" s="431" cm="1">
        <f t="array" ref="E122">+SUMPRODUCT(($J$4:$J$107)*(P$4:P$107)*($C$4:$C$107=$B122)*($D$4:$D$107=E$111)*($T$4:$T$107=$C122))</f>
        <v>0</v>
      </c>
      <c r="F122" s="431" cm="1">
        <f t="array" ref="F122">+SUMPRODUCT(($J$4:$J$107)*(Q$4:Q$107)*($C$4:$C$107=$B122)*($D$4:$D$107=F$111)*($T$4:$T$107=$C122))</f>
        <v>380049.51034894155</v>
      </c>
      <c r="G122" s="431" cm="1">
        <f t="array" ref="G122">+SUMPRODUCT(($J$4:$J$107)*(R$4:R$107)*($C$4:$C$107=$B122)*($D$4:$D$107=G$111)*($T$4:$T$107=$C122))</f>
        <v>0</v>
      </c>
      <c r="H122" s="431" cm="1">
        <f t="array" ref="H122">+SUMPRODUCT(($J$4:$J$107)*(S$4:S$107)*($C$4:$C$107=$B122)*($D$4:$D$107=H$111)*($T$4:$T$107=$C122))</f>
        <v>0</v>
      </c>
      <c r="I122" s="439" cm="1">
        <f t="array" ref="I122">+SUMPRODUCT(($J$4:$J$107)*(O$4:O$107)*($C$4:$C$107=$B122)*($D$4:$D$107=I$111)*($T$4:$T$107=$C122))</f>
        <v>76368.444891439474</v>
      </c>
      <c r="J122" s="431" cm="1">
        <f t="array" ref="J122">+SUMPRODUCT(($J$4:$J$107)*(P$4:P$107)*($C$4:$C$107=$B122)*($D$4:$D$107=J$111)*($T$4:$T$107=$C122))</f>
        <v>0</v>
      </c>
      <c r="K122" s="431" cm="1">
        <f t="array" ref="K122">+SUMPRODUCT(($J$4:$J$107)*(Q$4:Q$107)*($C$4:$C$107=$B122)*($D$4:$D$107=K$111)*($T$4:$T$107=$C122))</f>
        <v>76368.444891439474</v>
      </c>
      <c r="L122" s="431" cm="1">
        <f t="array" ref="L122">+SUMPRODUCT(($J$4:$J$107)*(R$4:R$107)*($C$4:$C$107=$B122)*($D$4:$D$107=L$111)*($T$4:$T$107=$C122))</f>
        <v>0</v>
      </c>
      <c r="M122" s="431" cm="1">
        <f t="array" ref="M122">+SUMPRODUCT(($J$4:$J$107)*(S$4:S$107)*($C$4:$C$107=$B122)*($D$4:$D$107=M$111)*($T$4:$T$107=$C122))</f>
        <v>0</v>
      </c>
      <c r="N122" s="424">
        <f>+(D122+I122)*Conversions!$B$3</f>
        <v>1.6431046388653718</v>
      </c>
      <c r="O122" s="401">
        <f t="shared" si="2"/>
        <v>0.92</v>
      </c>
      <c r="P122" s="424" cm="1">
        <f t="array" ref="P122">+SUMPRODUCT(($J$4:$J$107)*(M$4:M$107)*($C$4:$C$107=$B122)*($D$4:$D$107=P$111)*($T$4:$T$107=$C122))</f>
        <v>66470.444139858126</v>
      </c>
      <c r="Q122" s="424" cm="1">
        <f t="array" ref="Q122">+SUMPRODUCT(($J$4:$J$107)*(L$4:L$107)*($C$4:$C$107=$B122)*($D$4:$D$107=Q$111)*($T$4:$T$107=$C122))</f>
        <v>40083.013929900655</v>
      </c>
      <c r="R122" s="424" cm="1">
        <f t="array" ref="R122">+SUMPRODUCT(($J$4:$J$107)*(M$4:M$107)*($C$4:$C$107=$B122)*($D$4:$D$107=R$111)*($T$4:$T$107=$C122))</f>
        <v>13305.274552366409</v>
      </c>
      <c r="S122" s="424" cm="1">
        <f t="array" ref="S122">+SUMPRODUCT(($J$4:$J$107)*(L$4:L$107)*($C$4:$C$107=$B122)*($D$4:$D$107=S$111)*($T$4:$T$107=$C122))</f>
        <v>8023.3480026329407</v>
      </c>
      <c r="T122" s="401" t="s">
        <v>377</v>
      </c>
      <c r="U122" s="401" t="s">
        <v>423</v>
      </c>
      <c r="V122" s="454">
        <f t="shared" si="5"/>
        <v>1</v>
      </c>
      <c r="W122" s="454">
        <f t="shared" si="6"/>
        <v>0</v>
      </c>
      <c r="X122" s="454">
        <f t="shared" si="7"/>
        <v>1</v>
      </c>
      <c r="Y122" s="454">
        <f t="shared" si="8"/>
        <v>0</v>
      </c>
      <c r="Z122" s="454">
        <f t="shared" si="9"/>
        <v>0</v>
      </c>
      <c r="AA122" s="454">
        <f t="shared" si="10"/>
        <v>1</v>
      </c>
      <c r="AB122" s="454">
        <f t="shared" si="11"/>
        <v>0</v>
      </c>
      <c r="AC122" s="454">
        <f t="shared" si="12"/>
        <v>1</v>
      </c>
      <c r="AD122" s="454">
        <f t="shared" si="13"/>
        <v>0</v>
      </c>
      <c r="AE122" s="454">
        <f t="shared" si="14"/>
        <v>0</v>
      </c>
    </row>
    <row r="123" spans="2:31">
      <c r="B123" s="448" t="s">
        <v>370</v>
      </c>
      <c r="C123" s="448" t="s">
        <v>419</v>
      </c>
      <c r="D123" s="440" cm="1">
        <f t="array" ref="D123">+SUMPRODUCT(($J$4:$J$107)*(O$4:O$107)*($C$4:$C$107=$B123)*($D$4:$D$107=D$111)*($T$4:$T$107=$C123))</f>
        <v>275378.17713984265</v>
      </c>
      <c r="E123" s="432" cm="1">
        <f t="array" ref="E123">+SUMPRODUCT(($J$4:$J$107)*(P$4:P$107)*($C$4:$C$107=$B123)*($D$4:$D$107=E$111)*($T$4:$T$107=$C123))</f>
        <v>275378.17713984265</v>
      </c>
      <c r="F123" s="432" cm="1">
        <f t="array" ref="F123">+SUMPRODUCT(($J$4:$J$107)*(Q$4:Q$107)*($C$4:$C$107=$B123)*($D$4:$D$107=F$111)*($T$4:$T$107=$C123))</f>
        <v>0</v>
      </c>
      <c r="G123" s="432" cm="1">
        <f t="array" ref="G123">+SUMPRODUCT(($J$4:$J$107)*(R$4:R$107)*($C$4:$C$107=$B123)*($D$4:$D$107=G$111)*($T$4:$T$107=$C123))</f>
        <v>0</v>
      </c>
      <c r="H123" s="432" cm="1">
        <f t="array" ref="H123">+SUMPRODUCT(($J$4:$J$107)*(S$4:S$107)*($C$4:$C$107=$B123)*($D$4:$D$107=H$111)*($T$4:$T$107=$C123))</f>
        <v>0</v>
      </c>
      <c r="I123" s="440" cm="1">
        <f t="array" ref="I123">+SUMPRODUCT(($J$4:$J$107)*(O$4:O$107)*($C$4:$C$107=$B123)*($D$4:$D$107=I$111)*($T$4:$T$107=$C123))</f>
        <v>0</v>
      </c>
      <c r="J123" s="432" cm="1">
        <f t="array" ref="J123">+SUMPRODUCT(($J$4:$J$107)*(P$4:P$107)*($C$4:$C$107=$B123)*($D$4:$D$107=J$111)*($T$4:$T$107=$C123))</f>
        <v>0</v>
      </c>
      <c r="K123" s="432" cm="1">
        <f t="array" ref="K123">+SUMPRODUCT(($J$4:$J$107)*(Q$4:Q$107)*($C$4:$C$107=$B123)*($D$4:$D$107=K$111)*($T$4:$T$107=$C123))</f>
        <v>0</v>
      </c>
      <c r="L123" s="432" cm="1">
        <f t="array" ref="L123">+SUMPRODUCT(($J$4:$J$107)*(R$4:R$107)*($C$4:$C$107=$B123)*($D$4:$D$107=L$111)*($T$4:$T$107=$C123))</f>
        <v>0</v>
      </c>
      <c r="M123" s="432" cm="1">
        <f t="array" ref="M123">+SUMPRODUCT(($J$4:$J$107)*(S$4:S$107)*($C$4:$C$107=$B123)*($D$4:$D$107=M$111)*($T$4:$T$107=$C123))</f>
        <v>0</v>
      </c>
      <c r="N123" s="425">
        <f>+(D123+I123)*Conversions!$B$3</f>
        <v>0.99136143770343366</v>
      </c>
      <c r="O123" s="404">
        <f t="shared" si="2"/>
        <v>0.9</v>
      </c>
      <c r="P123" s="425" cm="1">
        <f t="array" ref="P123">+SUMPRODUCT(($J$4:$J$107)*(M$4:M$107)*($C$4:$C$107=$B123)*($D$4:$D$107=P$111)*($T$4:$T$107=$C123))</f>
        <v>59913.791524098298</v>
      </c>
      <c r="Q123" s="425" cm="1">
        <f t="array" ref="Q123">+SUMPRODUCT(($J$4:$J$107)*(L$4:L$107)*($C$4:$C$107=$B123)*($D$4:$D$107=Q$111)*($T$4:$T$107=$C123))</f>
        <v>605.18981337473031</v>
      </c>
      <c r="R123" s="425" cm="1">
        <f t="array" ref="R123">+SUMPRODUCT(($J$4:$J$107)*(M$4:M$107)*($C$4:$C$107=$B123)*($D$4:$D$107=R$111)*($T$4:$T$107=$C123))</f>
        <v>0</v>
      </c>
      <c r="S123" s="425" cm="1">
        <f t="array" ref="S123">+SUMPRODUCT(($J$4:$J$107)*(L$4:L$107)*($C$4:$C$107=$B123)*($D$4:$D$107=S$111)*($T$4:$T$107=$C123))</f>
        <v>0</v>
      </c>
      <c r="T123" s="404" t="s">
        <v>370</v>
      </c>
      <c r="U123" s="404" t="s">
        <v>419</v>
      </c>
      <c r="V123" s="455">
        <f t="shared" si="5"/>
        <v>1</v>
      </c>
      <c r="W123" s="455">
        <f t="shared" si="6"/>
        <v>1</v>
      </c>
      <c r="X123" s="455">
        <f t="shared" si="7"/>
        <v>0</v>
      </c>
      <c r="Y123" s="455">
        <f t="shared" si="8"/>
        <v>0</v>
      </c>
      <c r="Z123" s="455">
        <f t="shared" si="9"/>
        <v>0</v>
      </c>
      <c r="AA123" s="455">
        <f t="shared" si="10"/>
        <v>1</v>
      </c>
      <c r="AB123" s="455">
        <f t="shared" si="11"/>
        <v>1</v>
      </c>
      <c r="AC123" s="455">
        <f t="shared" si="12"/>
        <v>0</v>
      </c>
      <c r="AD123" s="455">
        <f t="shared" si="13"/>
        <v>0</v>
      </c>
      <c r="AE123" s="455">
        <f t="shared" si="14"/>
        <v>0</v>
      </c>
    </row>
    <row r="124" spans="2:31">
      <c r="B124" s="448" t="s">
        <v>370</v>
      </c>
      <c r="C124" s="448" t="s">
        <v>424</v>
      </c>
      <c r="D124" s="440" cm="1">
        <f t="array" ref="D124">+SUMPRODUCT(($J$4:$J$107)*(O$4:O$107)*($C$4:$C$107=$B124)*($D$4:$D$107=D$111)*($T$4:$T$107=$C124))</f>
        <v>69354.503872256682</v>
      </c>
      <c r="E124" s="432" cm="1">
        <f t="array" ref="E124">+SUMPRODUCT(($J$4:$J$107)*(P$4:P$107)*($C$4:$C$107=$B124)*($D$4:$D$107=E$111)*($T$4:$T$107=$C124))</f>
        <v>69354.503872256682</v>
      </c>
      <c r="F124" s="432" cm="1">
        <f t="array" ref="F124">+SUMPRODUCT(($J$4:$J$107)*(Q$4:Q$107)*($C$4:$C$107=$B124)*($D$4:$D$107=F$111)*($T$4:$T$107=$C124))</f>
        <v>0</v>
      </c>
      <c r="G124" s="432" cm="1">
        <f t="array" ref="G124">+SUMPRODUCT(($J$4:$J$107)*(R$4:R$107)*($C$4:$C$107=$B124)*($D$4:$D$107=G$111)*($T$4:$T$107=$C124))</f>
        <v>0</v>
      </c>
      <c r="H124" s="432" cm="1">
        <f t="array" ref="H124">+SUMPRODUCT(($J$4:$J$107)*(S$4:S$107)*($C$4:$C$107=$B124)*($D$4:$D$107=H$111)*($T$4:$T$107=$C124))</f>
        <v>0</v>
      </c>
      <c r="I124" s="440" cm="1">
        <f t="array" ref="I124">+SUMPRODUCT(($J$4:$J$107)*(O$4:O$107)*($C$4:$C$107=$B124)*($D$4:$D$107=I$111)*($T$4:$T$107=$C124))</f>
        <v>0</v>
      </c>
      <c r="J124" s="432" cm="1">
        <f t="array" ref="J124">+SUMPRODUCT(($J$4:$J$107)*(P$4:P$107)*($C$4:$C$107=$B124)*($D$4:$D$107=J$111)*($T$4:$T$107=$C124))</f>
        <v>0</v>
      </c>
      <c r="K124" s="432" cm="1">
        <f t="array" ref="K124">+SUMPRODUCT(($J$4:$J$107)*(Q$4:Q$107)*($C$4:$C$107=$B124)*($D$4:$D$107=K$111)*($T$4:$T$107=$C124))</f>
        <v>0</v>
      </c>
      <c r="L124" s="432" cm="1">
        <f t="array" ref="L124">+SUMPRODUCT(($J$4:$J$107)*(R$4:R$107)*($C$4:$C$107=$B124)*($D$4:$D$107=L$111)*($T$4:$T$107=$C124))</f>
        <v>0</v>
      </c>
      <c r="M124" s="432" cm="1">
        <f t="array" ref="M124">+SUMPRODUCT(($J$4:$J$107)*(S$4:S$107)*($C$4:$C$107=$B124)*($D$4:$D$107=M$111)*($T$4:$T$107=$C124))</f>
        <v>0</v>
      </c>
      <c r="N124" s="425">
        <f>+(D124+I124)*Conversions!$B$3</f>
        <v>0.24967621394012407</v>
      </c>
      <c r="O124" s="404">
        <f t="shared" si="2"/>
        <v>0.85</v>
      </c>
      <c r="P124" s="425" cm="1">
        <f t="array" ref="P124">+SUMPRODUCT(($J$4:$J$107)*(M$4:M$107)*($C$4:$C$107=$B124)*($D$4:$D$107=P$111)*($T$4:$T$107=$C124))</f>
        <v>15977.011073092883</v>
      </c>
      <c r="Q124" s="425" cm="1">
        <f t="array" ref="Q124">+SUMPRODUCT(($J$4:$J$107)*(L$4:L$107)*($C$4:$C$107=$B124)*($D$4:$D$107=Q$111)*($T$4:$T$107=$C124))</f>
        <v>161.38395023326146</v>
      </c>
      <c r="R124" s="425" cm="1">
        <f t="array" ref="R124">+SUMPRODUCT(($J$4:$J$107)*(M$4:M$107)*($C$4:$C$107=$B124)*($D$4:$D$107=R$111)*($T$4:$T$107=$C124))</f>
        <v>0</v>
      </c>
      <c r="S124" s="425" cm="1">
        <f t="array" ref="S124">+SUMPRODUCT(($J$4:$J$107)*(L$4:L$107)*($C$4:$C$107=$B124)*($D$4:$D$107=S$111)*($T$4:$T$107=$C124))</f>
        <v>0</v>
      </c>
      <c r="T124" s="404" t="s">
        <v>370</v>
      </c>
      <c r="U124" s="404" t="s">
        <v>424</v>
      </c>
      <c r="V124" s="455">
        <f t="shared" si="5"/>
        <v>1</v>
      </c>
      <c r="W124" s="455">
        <f t="shared" si="6"/>
        <v>1</v>
      </c>
      <c r="X124" s="455">
        <f t="shared" si="7"/>
        <v>0</v>
      </c>
      <c r="Y124" s="455">
        <f t="shared" si="8"/>
        <v>0</v>
      </c>
      <c r="Z124" s="455">
        <f t="shared" si="9"/>
        <v>0</v>
      </c>
      <c r="AA124" s="455">
        <f t="shared" si="10"/>
        <v>1</v>
      </c>
      <c r="AB124" s="455">
        <f t="shared" si="11"/>
        <v>1</v>
      </c>
      <c r="AC124" s="455">
        <f t="shared" si="12"/>
        <v>0</v>
      </c>
      <c r="AD124" s="455">
        <f t="shared" si="13"/>
        <v>0</v>
      </c>
      <c r="AE124" s="455">
        <f t="shared" si="14"/>
        <v>0</v>
      </c>
    </row>
    <row r="125" spans="2:31">
      <c r="B125" s="448" t="s">
        <v>370</v>
      </c>
      <c r="C125" s="448" t="s">
        <v>425</v>
      </c>
      <c r="D125" s="440" cm="1">
        <f t="array" ref="D125">+SUMPRODUCT(($J$4:$J$107)*(O$4:O$107)*($C$4:$C$107=$B125)*($D$4:$D$107=D$111)*($T$4:$T$107=$C125))</f>
        <v>17338.625968064171</v>
      </c>
      <c r="E125" s="432" cm="1">
        <f t="array" ref="E125">+SUMPRODUCT(($J$4:$J$107)*(P$4:P$107)*($C$4:$C$107=$B125)*($D$4:$D$107=E$111)*($T$4:$T$107=$C125))</f>
        <v>17338.625968064171</v>
      </c>
      <c r="F125" s="432" cm="1">
        <f t="array" ref="F125">+SUMPRODUCT(($J$4:$J$107)*(Q$4:Q$107)*($C$4:$C$107=$B125)*($D$4:$D$107=F$111)*($T$4:$T$107=$C125))</f>
        <v>0</v>
      </c>
      <c r="G125" s="432" cm="1">
        <f t="array" ref="G125">+SUMPRODUCT(($J$4:$J$107)*(R$4:R$107)*($C$4:$C$107=$B125)*($D$4:$D$107=G$111)*($T$4:$T$107=$C125))</f>
        <v>0</v>
      </c>
      <c r="H125" s="432" cm="1">
        <f t="array" ref="H125">+SUMPRODUCT(($J$4:$J$107)*(S$4:S$107)*($C$4:$C$107=$B125)*($D$4:$D$107=H$111)*($T$4:$T$107=$C125))</f>
        <v>0</v>
      </c>
      <c r="I125" s="440" cm="1">
        <f t="array" ref="I125">+SUMPRODUCT(($J$4:$J$107)*(O$4:O$107)*($C$4:$C$107=$B125)*($D$4:$D$107=I$111)*($T$4:$T$107=$C125))</f>
        <v>0</v>
      </c>
      <c r="J125" s="432" cm="1">
        <f t="array" ref="J125">+SUMPRODUCT(($J$4:$J$107)*(P$4:P$107)*($C$4:$C$107=$B125)*($D$4:$D$107=J$111)*($T$4:$T$107=$C125))</f>
        <v>0</v>
      </c>
      <c r="K125" s="432" cm="1">
        <f t="array" ref="K125">+SUMPRODUCT(($J$4:$J$107)*(Q$4:Q$107)*($C$4:$C$107=$B125)*($D$4:$D$107=K$111)*($T$4:$T$107=$C125))</f>
        <v>0</v>
      </c>
      <c r="L125" s="432" cm="1">
        <f t="array" ref="L125">+SUMPRODUCT(($J$4:$J$107)*(R$4:R$107)*($C$4:$C$107=$B125)*($D$4:$D$107=L$111)*($T$4:$T$107=$C125))</f>
        <v>0</v>
      </c>
      <c r="M125" s="432" cm="1">
        <f t="array" ref="M125">+SUMPRODUCT(($J$4:$J$107)*(S$4:S$107)*($C$4:$C$107=$B125)*($D$4:$D$107=M$111)*($T$4:$T$107=$C125))</f>
        <v>0</v>
      </c>
      <c r="N125" s="425">
        <f>+(D125+I125)*Conversions!$B$3</f>
        <v>6.2419053485031017E-2</v>
      </c>
      <c r="O125" s="404">
        <f t="shared" si="2"/>
        <v>0.85</v>
      </c>
      <c r="P125" s="425" cm="1">
        <f t="array" ref="P125">+SUMPRODUCT(($J$4:$J$107)*(M$4:M$107)*($C$4:$C$107=$B125)*($D$4:$D$107=P$111)*($T$4:$T$107=$C125))</f>
        <v>3994.2527682732207</v>
      </c>
      <c r="Q125" s="425" cm="1">
        <f t="array" ref="Q125">+SUMPRODUCT(($J$4:$J$107)*(L$4:L$107)*($C$4:$C$107=$B125)*($D$4:$D$107=Q$111)*($T$4:$T$107=$C125))</f>
        <v>40.345987558315365</v>
      </c>
      <c r="R125" s="425" cm="1">
        <f t="array" ref="R125">+SUMPRODUCT(($J$4:$J$107)*(M$4:M$107)*($C$4:$C$107=$B125)*($D$4:$D$107=R$111)*($T$4:$T$107=$C125))</f>
        <v>0</v>
      </c>
      <c r="S125" s="425" cm="1">
        <f t="array" ref="S125">+SUMPRODUCT(($J$4:$J$107)*(L$4:L$107)*($C$4:$C$107=$B125)*($D$4:$D$107=S$111)*($T$4:$T$107=$C125))</f>
        <v>0</v>
      </c>
      <c r="T125" s="404" t="s">
        <v>370</v>
      </c>
      <c r="U125" s="404" t="s">
        <v>425</v>
      </c>
      <c r="V125" s="455">
        <f t="shared" si="5"/>
        <v>1</v>
      </c>
      <c r="W125" s="455">
        <f t="shared" si="6"/>
        <v>1</v>
      </c>
      <c r="X125" s="455">
        <f t="shared" si="7"/>
        <v>0</v>
      </c>
      <c r="Y125" s="455">
        <f t="shared" si="8"/>
        <v>0</v>
      </c>
      <c r="Z125" s="455">
        <f t="shared" si="9"/>
        <v>0</v>
      </c>
      <c r="AA125" s="455">
        <f t="shared" si="10"/>
        <v>1</v>
      </c>
      <c r="AB125" s="455">
        <f t="shared" si="11"/>
        <v>1</v>
      </c>
      <c r="AC125" s="455">
        <f t="shared" si="12"/>
        <v>0</v>
      </c>
      <c r="AD125" s="455">
        <f t="shared" si="13"/>
        <v>0</v>
      </c>
      <c r="AE125" s="455">
        <f t="shared" si="14"/>
        <v>0</v>
      </c>
    </row>
    <row r="126" spans="2:31">
      <c r="B126" s="449" t="s">
        <v>353</v>
      </c>
      <c r="C126" s="449" t="s">
        <v>421</v>
      </c>
      <c r="D126" s="441" cm="1">
        <f t="array" ref="D126">+SUMPRODUCT(($J$4:$J$107)*(O$4:O$107)*($C$4:$C$107=$B126)*($D$4:$D$107=D$111)*($T$4:$T$107=$C126))</f>
        <v>1833641.8624626175</v>
      </c>
      <c r="E126" s="433" cm="1">
        <f t="array" ref="E126">+SUMPRODUCT(($J$4:$J$107)*(P$4:P$107)*($C$4:$C$107=$B126)*($D$4:$D$107=E$111)*($T$4:$T$107=$C126))</f>
        <v>0</v>
      </c>
      <c r="F126" s="433" cm="1">
        <f t="array" ref="F126">+SUMPRODUCT(($J$4:$J$107)*(Q$4:Q$107)*($C$4:$C$107=$B126)*($D$4:$D$107=F$111)*($T$4:$T$107=$C126))</f>
        <v>1833641.8624626175</v>
      </c>
      <c r="G126" s="433" cm="1">
        <f t="array" ref="G126">+SUMPRODUCT(($J$4:$J$107)*(R$4:R$107)*($C$4:$C$107=$B126)*($D$4:$D$107=G$111)*($T$4:$T$107=$C126))</f>
        <v>0</v>
      </c>
      <c r="H126" s="433" cm="1">
        <f t="array" ref="H126">+SUMPRODUCT(($J$4:$J$107)*(S$4:S$107)*($C$4:$C$107=$B126)*($D$4:$D$107=H$111)*($T$4:$T$107=$C126))</f>
        <v>0</v>
      </c>
      <c r="I126" s="441" cm="1">
        <f t="array" ref="I126">+SUMPRODUCT(($J$4:$J$107)*(O$4:O$107)*($C$4:$C$107=$B126)*($D$4:$D$107=I$111)*($T$4:$T$107=$C126))</f>
        <v>0</v>
      </c>
      <c r="J126" s="433" cm="1">
        <f t="array" ref="J126">+SUMPRODUCT(($J$4:$J$107)*(P$4:P$107)*($C$4:$C$107=$B126)*($D$4:$D$107=J$111)*($T$4:$T$107=$C126))</f>
        <v>0</v>
      </c>
      <c r="K126" s="433" cm="1">
        <f t="array" ref="K126">+SUMPRODUCT(($J$4:$J$107)*(Q$4:Q$107)*($C$4:$C$107=$B126)*($D$4:$D$107=K$111)*($T$4:$T$107=$C126))</f>
        <v>0</v>
      </c>
      <c r="L126" s="433" cm="1">
        <f t="array" ref="L126">+SUMPRODUCT(($J$4:$J$107)*(R$4:R$107)*($C$4:$C$107=$B126)*($D$4:$D$107=L$111)*($T$4:$T$107=$C126))</f>
        <v>0</v>
      </c>
      <c r="M126" s="433" cm="1">
        <f t="array" ref="M126">+SUMPRODUCT(($J$4:$J$107)*(S$4:S$107)*($C$4:$C$107=$B126)*($D$4:$D$107=M$111)*($T$4:$T$107=$C126))</f>
        <v>0</v>
      </c>
      <c r="N126" s="426">
        <f>+(D126+I126)*Conversions!$B$3</f>
        <v>6.6011107048654232</v>
      </c>
      <c r="O126" s="407">
        <f t="shared" si="2"/>
        <v>0.5</v>
      </c>
      <c r="P126" s="426" cm="1">
        <f t="array" ref="P126">+SUMPRODUCT(($J$4:$J$107)*(M$4:M$107)*($C$4:$C$107=$B126)*($D$4:$D$107=P$111)*($T$4:$T$107=$C126))</f>
        <v>-369339.01958450273</v>
      </c>
      <c r="Q126" s="426" cm="1">
        <f t="array" ref="Q126">+SUMPRODUCT(($J$4:$J$107)*(L$4:L$107)*($C$4:$C$107=$B126)*($D$4:$D$107=Q$111)*($T$4:$T$107=$C126))</f>
        <v>3196.2869595225839</v>
      </c>
      <c r="R126" s="426" cm="1">
        <f t="array" ref="R126">+SUMPRODUCT(($J$4:$J$107)*(M$4:M$107)*($C$4:$C$107=$B126)*($D$4:$D$107=R$111)*($T$4:$T$107=$C126))</f>
        <v>0</v>
      </c>
      <c r="S126" s="426" cm="1">
        <f t="array" ref="S126">+SUMPRODUCT(($J$4:$J$107)*(L$4:L$107)*($C$4:$C$107=$B126)*($D$4:$D$107=S$111)*($T$4:$T$107=$C126))</f>
        <v>0</v>
      </c>
      <c r="T126" s="407" t="s">
        <v>353</v>
      </c>
      <c r="U126" s="407" t="s">
        <v>421</v>
      </c>
      <c r="V126" s="456">
        <f t="shared" si="5"/>
        <v>1</v>
      </c>
      <c r="W126" s="456">
        <f t="shared" si="6"/>
        <v>0</v>
      </c>
      <c r="X126" s="456">
        <f t="shared" si="7"/>
        <v>1</v>
      </c>
      <c r="Y126" s="456">
        <f t="shared" si="8"/>
        <v>0</v>
      </c>
      <c r="Z126" s="456">
        <f t="shared" si="9"/>
        <v>0</v>
      </c>
      <c r="AA126" s="456">
        <f t="shared" si="10"/>
        <v>1</v>
      </c>
      <c r="AB126" s="456">
        <f t="shared" si="11"/>
        <v>0</v>
      </c>
      <c r="AC126" s="456">
        <f t="shared" si="12"/>
        <v>1</v>
      </c>
      <c r="AD126" s="456">
        <f t="shared" si="13"/>
        <v>0</v>
      </c>
      <c r="AE126" s="456">
        <f t="shared" si="14"/>
        <v>0</v>
      </c>
    </row>
    <row r="127" spans="2:31">
      <c r="B127" s="449" t="s">
        <v>353</v>
      </c>
      <c r="C127" s="449" t="s">
        <v>422</v>
      </c>
      <c r="D127" s="441" cm="1">
        <f t="array" ref="D127">+SUMPRODUCT(($J$4:$J$107)*(O$4:O$107)*($C$4:$C$107=$B127)*($D$4:$D$107=D$111)*($T$4:$T$107=$C127))</f>
        <v>1340593.399595387</v>
      </c>
      <c r="E127" s="433" cm="1">
        <f t="array" ref="E127">+SUMPRODUCT(($J$4:$J$107)*(P$4:P$107)*($C$4:$C$107=$B127)*($D$4:$D$107=E$111)*($T$4:$T$107=$C127))</f>
        <v>0</v>
      </c>
      <c r="F127" s="433" cm="1">
        <f t="array" ref="F127">+SUMPRODUCT(($J$4:$J$107)*(Q$4:Q$107)*($C$4:$C$107=$B127)*($D$4:$D$107=F$111)*($T$4:$T$107=$C127))</f>
        <v>1340593.399595387</v>
      </c>
      <c r="G127" s="433" cm="1">
        <f t="array" ref="G127">+SUMPRODUCT(($J$4:$J$107)*(R$4:R$107)*($C$4:$C$107=$B127)*($D$4:$D$107=G$111)*($T$4:$T$107=$C127))</f>
        <v>0</v>
      </c>
      <c r="H127" s="433" cm="1">
        <f t="array" ref="H127">+SUMPRODUCT(($J$4:$J$107)*(S$4:S$107)*($C$4:$C$107=$B127)*($D$4:$D$107=H$111)*($T$4:$T$107=$C127))</f>
        <v>0</v>
      </c>
      <c r="I127" s="441" cm="1">
        <f t="array" ref="I127">+SUMPRODUCT(($J$4:$J$107)*(O$4:O$107)*($C$4:$C$107=$B127)*($D$4:$D$107=I$111)*($T$4:$T$107=$C127))</f>
        <v>245504.51059438923</v>
      </c>
      <c r="J127" s="433" cm="1">
        <f t="array" ref="J127">+SUMPRODUCT(($J$4:$J$107)*(P$4:P$107)*($C$4:$C$107=$B127)*($D$4:$D$107=J$111)*($T$4:$T$107=$C127))</f>
        <v>0</v>
      </c>
      <c r="K127" s="433" cm="1">
        <f t="array" ref="K127">+SUMPRODUCT(($J$4:$J$107)*(Q$4:Q$107)*($C$4:$C$107=$B127)*($D$4:$D$107=K$111)*($T$4:$T$107=$C127))</f>
        <v>245504.51059438923</v>
      </c>
      <c r="L127" s="433" cm="1">
        <f t="array" ref="L127">+SUMPRODUCT(($J$4:$J$107)*(R$4:R$107)*($C$4:$C$107=$B127)*($D$4:$D$107=L$111)*($T$4:$T$107=$C127))</f>
        <v>0</v>
      </c>
      <c r="M127" s="433" cm="1">
        <f t="array" ref="M127">+SUMPRODUCT(($J$4:$J$107)*(S$4:S$107)*($C$4:$C$107=$B127)*($D$4:$D$107=M$111)*($T$4:$T$107=$C127))</f>
        <v>0</v>
      </c>
      <c r="N127" s="426">
        <f>+(D127+I127)*Conversions!$B$3</f>
        <v>5.7099524766831946</v>
      </c>
      <c r="O127" s="407">
        <f t="shared" si="2"/>
        <v>0.92</v>
      </c>
      <c r="P127" s="426" cm="1">
        <f t="array" ref="P127">+SUMPRODUCT(($J$4:$J$107)*(M$4:M$107)*($C$4:$C$107=$B127)*($D$4:$D$107=P$111)*($T$4:$T$107=$C127))</f>
        <v>-146753.99423864312</v>
      </c>
      <c r="Q127" s="426" cm="1">
        <f t="array" ref="Q127">+SUMPRODUCT(($J$4:$J$107)*(L$4:L$107)*($C$4:$C$107=$B127)*($D$4:$D$107=Q$111)*($T$4:$T$107=$C127))</f>
        <v>1270.019827773727</v>
      </c>
      <c r="R127" s="426" cm="1">
        <f t="array" ref="R127">+SUMPRODUCT(($J$4:$J$107)*(M$4:M$107)*($C$4:$C$107=$B127)*($D$4:$D$107=R$111)*($T$4:$T$107=$C127))</f>
        <v>-26860.548552442397</v>
      </c>
      <c r="S127" s="426" cm="1">
        <f t="array" ref="S127">+SUMPRODUCT(($J$4:$J$107)*(L$4:L$107)*($C$4:$C$107=$B127)*($D$4:$D$107=S$111)*($T$4:$T$107=$C127))</f>
        <v>232.45315688653341</v>
      </c>
      <c r="T127" s="407" t="s">
        <v>353</v>
      </c>
      <c r="U127" s="407" t="s">
        <v>422</v>
      </c>
      <c r="V127" s="456">
        <f t="shared" si="5"/>
        <v>1</v>
      </c>
      <c r="W127" s="456">
        <f t="shared" si="6"/>
        <v>0</v>
      </c>
      <c r="X127" s="456">
        <f t="shared" si="7"/>
        <v>1</v>
      </c>
      <c r="Y127" s="456">
        <f t="shared" si="8"/>
        <v>0</v>
      </c>
      <c r="Z127" s="456">
        <f t="shared" si="9"/>
        <v>0</v>
      </c>
      <c r="AA127" s="456">
        <f t="shared" si="10"/>
        <v>1</v>
      </c>
      <c r="AB127" s="456">
        <f t="shared" si="11"/>
        <v>0</v>
      </c>
      <c r="AC127" s="456">
        <f t="shared" si="12"/>
        <v>1</v>
      </c>
      <c r="AD127" s="456">
        <f t="shared" si="13"/>
        <v>0</v>
      </c>
      <c r="AE127" s="456">
        <f t="shared" si="14"/>
        <v>0</v>
      </c>
    </row>
    <row r="128" spans="2:31">
      <c r="B128" s="449" t="s">
        <v>353</v>
      </c>
      <c r="C128" s="449" t="s">
        <v>424</v>
      </c>
      <c r="D128" s="441" cm="1">
        <f t="array" ref="D128">+SUMPRODUCT(($J$4:$J$107)*(O$4:O$107)*($C$4:$C$107=$B128)*($D$4:$D$107=D$111)*($T$4:$T$107=$C128))</f>
        <v>831250.9776497198</v>
      </c>
      <c r="E128" s="433" cm="1">
        <f t="array" ref="E128">+SUMPRODUCT(($J$4:$J$107)*(P$4:P$107)*($C$4:$C$107=$B128)*($D$4:$D$107=E$111)*($T$4:$T$107=$C128))</f>
        <v>831250.9776497198</v>
      </c>
      <c r="F128" s="433" cm="1">
        <f t="array" ref="F128">+SUMPRODUCT(($J$4:$J$107)*(Q$4:Q$107)*($C$4:$C$107=$B128)*($D$4:$D$107=F$111)*($T$4:$T$107=$C128))</f>
        <v>0</v>
      </c>
      <c r="G128" s="433" cm="1">
        <f t="array" ref="G128">+SUMPRODUCT(($J$4:$J$107)*(R$4:R$107)*($C$4:$C$107=$B128)*($D$4:$D$107=G$111)*($T$4:$T$107=$C128))</f>
        <v>0</v>
      </c>
      <c r="H128" s="433" cm="1">
        <f t="array" ref="H128">+SUMPRODUCT(($J$4:$J$107)*(S$4:S$107)*($C$4:$C$107=$B128)*($D$4:$D$107=H$111)*($T$4:$T$107=$C128))</f>
        <v>0</v>
      </c>
      <c r="I128" s="441" cm="1">
        <f t="array" ref="I128">+SUMPRODUCT(($J$4:$J$107)*(O$4:O$107)*($C$4:$C$107=$B128)*($D$4:$D$107=I$111)*($T$4:$T$107=$C128))</f>
        <v>340237.22935635463</v>
      </c>
      <c r="J128" s="433" cm="1">
        <f t="array" ref="J128">+SUMPRODUCT(($J$4:$J$107)*(P$4:P$107)*($C$4:$C$107=$B128)*($D$4:$D$107=J$111)*($T$4:$T$107=$C128))</f>
        <v>340237.22935635463</v>
      </c>
      <c r="K128" s="433" cm="1">
        <f t="array" ref="K128">+SUMPRODUCT(($J$4:$J$107)*(Q$4:Q$107)*($C$4:$C$107=$B128)*($D$4:$D$107=K$111)*($T$4:$T$107=$C128))</f>
        <v>0</v>
      </c>
      <c r="L128" s="433" cm="1">
        <f t="array" ref="L128">+SUMPRODUCT(($J$4:$J$107)*(R$4:R$107)*($C$4:$C$107=$B128)*($D$4:$D$107=L$111)*($T$4:$T$107=$C128))</f>
        <v>0</v>
      </c>
      <c r="M128" s="433" cm="1">
        <f t="array" ref="M128">+SUMPRODUCT(($J$4:$J$107)*(S$4:S$107)*($C$4:$C$107=$B128)*($D$4:$D$107=M$111)*($T$4:$T$107=$C128))</f>
        <v>0</v>
      </c>
      <c r="N128" s="426">
        <f>+(D128+I128)*Conversions!$B$3</f>
        <v>4.2173575452218683</v>
      </c>
      <c r="O128" s="407">
        <f t="shared" si="2"/>
        <v>0.85</v>
      </c>
      <c r="P128" s="426" cm="1">
        <f t="array" ref="P128">+SUMPRODUCT(($J$4:$J$107)*(M$4:M$107)*($C$4:$C$107=$B128)*($D$4:$D$107=P$111)*($T$4:$T$107=$C128))</f>
        <v>-98490.405222534071</v>
      </c>
      <c r="Q128" s="426" cm="1">
        <f t="array" ref="Q128">+SUMPRODUCT(($J$4:$J$107)*(L$4:L$107)*($C$4:$C$107=$B128)*($D$4:$D$107=Q$111)*($T$4:$T$107=$C128))</f>
        <v>852.34318920602232</v>
      </c>
      <c r="R128" s="426" cm="1">
        <f t="array" ref="R128">+SUMPRODUCT(($J$4:$J$107)*(M$4:M$107)*($C$4:$C$107=$B128)*($D$4:$D$107=R$111)*($T$4:$T$107=$C128))</f>
        <v>-40290.822828663593</v>
      </c>
      <c r="S128" s="426" cm="1">
        <f t="array" ref="S128">+SUMPRODUCT(($J$4:$J$107)*(L$4:L$107)*($C$4:$C$107=$B128)*($D$4:$D$107=S$111)*($T$4:$T$107=$C128))</f>
        <v>348.6797353298</v>
      </c>
      <c r="T128" s="407" t="s">
        <v>353</v>
      </c>
      <c r="U128" s="407" t="s">
        <v>424</v>
      </c>
      <c r="V128" s="456">
        <f t="shared" si="5"/>
        <v>1</v>
      </c>
      <c r="W128" s="456">
        <f t="shared" si="6"/>
        <v>1</v>
      </c>
      <c r="X128" s="456">
        <f t="shared" si="7"/>
        <v>0</v>
      </c>
      <c r="Y128" s="456">
        <f t="shared" si="8"/>
        <v>0</v>
      </c>
      <c r="Z128" s="456">
        <f t="shared" si="9"/>
        <v>0</v>
      </c>
      <c r="AA128" s="456">
        <f t="shared" si="10"/>
        <v>1</v>
      </c>
      <c r="AB128" s="456">
        <f t="shared" si="11"/>
        <v>1</v>
      </c>
      <c r="AC128" s="456">
        <f t="shared" si="12"/>
        <v>0</v>
      </c>
      <c r="AD128" s="456">
        <f t="shared" si="13"/>
        <v>0</v>
      </c>
      <c r="AE128" s="456">
        <f t="shared" si="14"/>
        <v>0</v>
      </c>
    </row>
    <row r="129" spans="1:31">
      <c r="B129" s="450" t="s">
        <v>375</v>
      </c>
      <c r="C129" s="450" t="s">
        <v>422</v>
      </c>
      <c r="D129" s="442" cm="1">
        <f t="array" ref="D129">+SUMPRODUCT(($J$4:$J$107)*(O$4:O$107)*($C$4:$C$107=$B129)*($D$4:$D$107=D$111)*($T$4:$T$107=$C129))</f>
        <v>201552.57227077644</v>
      </c>
      <c r="E129" s="434" cm="1">
        <f t="array" ref="E129">+SUMPRODUCT(($J$4:$J$107)*(P$4:P$107)*($C$4:$C$107=$B129)*($D$4:$D$107=E$111)*($T$4:$T$107=$C129))</f>
        <v>0</v>
      </c>
      <c r="F129" s="434" cm="1">
        <f t="array" ref="F129">+SUMPRODUCT(($J$4:$J$107)*(Q$4:Q$107)*($C$4:$C$107=$B129)*($D$4:$D$107=F$111)*($T$4:$T$107=$C129))</f>
        <v>0</v>
      </c>
      <c r="G129" s="434" cm="1">
        <f t="array" ref="G129">+SUMPRODUCT(($J$4:$J$107)*(R$4:R$107)*($C$4:$C$107=$B129)*($D$4:$D$107=G$111)*($T$4:$T$107=$C129))</f>
        <v>120931.54336246586</v>
      </c>
      <c r="H129" s="434" cm="1">
        <f t="array" ref="H129">+SUMPRODUCT(($J$4:$J$107)*(S$4:S$107)*($C$4:$C$107=$B129)*($D$4:$D$107=H$111)*($T$4:$T$107=$C129))</f>
        <v>80621.028908310574</v>
      </c>
      <c r="I129" s="442" cm="1">
        <f t="array" ref="I129">+SUMPRODUCT(($J$4:$J$107)*(O$4:O$107)*($C$4:$C$107=$B129)*($D$4:$D$107=I$111)*($T$4:$T$107=$C129))</f>
        <v>479172.37778493401</v>
      </c>
      <c r="J129" s="434" cm="1">
        <f t="array" ref="J129">+SUMPRODUCT(($J$4:$J$107)*(P$4:P$107)*($C$4:$C$107=$B129)*($D$4:$D$107=J$111)*($T$4:$T$107=$C129))</f>
        <v>0</v>
      </c>
      <c r="K129" s="434" cm="1">
        <f t="array" ref="K129">+SUMPRODUCT(($J$4:$J$107)*(Q$4:Q$107)*($C$4:$C$107=$B129)*($D$4:$D$107=K$111)*($T$4:$T$107=$C129))</f>
        <v>0</v>
      </c>
      <c r="L129" s="434" cm="1">
        <f t="array" ref="L129">+SUMPRODUCT(($J$4:$J$107)*(R$4:R$107)*($C$4:$C$107=$B129)*($D$4:$D$107=L$111)*($T$4:$T$107=$C129))</f>
        <v>287503.42667096038</v>
      </c>
      <c r="M129" s="434" cm="1">
        <f t="array" ref="M129">+SUMPRODUCT(($J$4:$J$107)*(S$4:S$107)*($C$4:$C$107=$B129)*($D$4:$D$107=M$111)*($T$4:$T$107=$C129))</f>
        <v>191668.9511139736</v>
      </c>
      <c r="N129" s="427">
        <f>+(D129+I129)*Conversions!$B$3</f>
        <v>2.4506098202005582</v>
      </c>
      <c r="O129" s="403">
        <f t="shared" si="2"/>
        <v>0.92</v>
      </c>
      <c r="P129" s="427" cm="1">
        <f t="array" ref="P129">+SUMPRODUCT(($J$4:$J$107)*(M$4:M$107)*($C$4:$C$107=$B129)*($D$4:$D$107=P$111)*($T$4:$T$107=$C129))</f>
        <v>329854.08806944144</v>
      </c>
      <c r="Q129" s="427" cm="1">
        <f t="array" ref="Q129">+SUMPRODUCT(($J$4:$J$107)*(L$4:L$107)*($C$4:$C$107=$B129)*($D$4:$D$107=Q$111)*($T$4:$T$107=$C129))</f>
        <v>17618.825922004355</v>
      </c>
      <c r="R129" s="427" cm="1">
        <f t="array" ref="R129">+SUMPRODUCT(($J$4:$J$107)*(M$4:M$107)*($C$4:$C$107=$B129)*($D$4:$D$107=R$111)*($T$4:$T$107=$C129))</f>
        <v>782727.41733822715</v>
      </c>
      <c r="S129" s="427" cm="1">
        <f t="array" ref="S129">+SUMPRODUCT(($J$4:$J$107)*(L$4:L$107)*($C$4:$C$107=$B129)*($D$4:$D$107=S$111)*($T$4:$T$107=$C129))</f>
        <v>41808.601467322194</v>
      </c>
      <c r="T129" s="403" t="s">
        <v>375</v>
      </c>
      <c r="U129" s="403" t="s">
        <v>422</v>
      </c>
      <c r="V129" s="457">
        <f t="shared" si="5"/>
        <v>1</v>
      </c>
      <c r="W129" s="457">
        <f t="shared" si="6"/>
        <v>0</v>
      </c>
      <c r="X129" s="457">
        <f t="shared" si="7"/>
        <v>0</v>
      </c>
      <c r="Y129" s="457">
        <f t="shared" si="8"/>
        <v>0.59999999999999987</v>
      </c>
      <c r="Z129" s="457">
        <f t="shared" si="9"/>
        <v>0.4</v>
      </c>
      <c r="AA129" s="457">
        <f t="shared" si="10"/>
        <v>1</v>
      </c>
      <c r="AB129" s="457">
        <f t="shared" si="11"/>
        <v>0</v>
      </c>
      <c r="AC129" s="457">
        <f t="shared" si="12"/>
        <v>0</v>
      </c>
      <c r="AD129" s="457">
        <f t="shared" si="13"/>
        <v>0.59999999999999987</v>
      </c>
      <c r="AE129" s="457">
        <f t="shared" si="14"/>
        <v>0.4</v>
      </c>
    </row>
    <row r="130" spans="1:31">
      <c r="B130" s="450" t="s">
        <v>375</v>
      </c>
      <c r="C130" s="450" t="s">
        <v>421</v>
      </c>
      <c r="D130" s="442" cm="1">
        <f t="array" ref="D130">+SUMPRODUCT(($J$4:$J$107)*(O$4:O$107)*($C$4:$C$107=$B130)*($D$4:$D$107=D$111)*($T$4:$T$107=$C130))</f>
        <v>98585.49730635804</v>
      </c>
      <c r="E130" s="434" cm="1">
        <f t="array" ref="E130">+SUMPRODUCT(($J$4:$J$107)*(P$4:P$107)*($C$4:$C$107=$B130)*($D$4:$D$107=E$111)*($T$4:$T$107=$C130))</f>
        <v>0</v>
      </c>
      <c r="F130" s="434" cm="1">
        <f t="array" ref="F130">+SUMPRODUCT(($J$4:$J$107)*(Q$4:Q$107)*($C$4:$C$107=$B130)*($D$4:$D$107=F$111)*($T$4:$T$107=$C130))</f>
        <v>0</v>
      </c>
      <c r="G130" s="434" cm="1">
        <f t="array" ref="G130">+SUMPRODUCT(($J$4:$J$107)*(R$4:R$107)*($C$4:$C$107=$B130)*($D$4:$D$107=G$111)*($T$4:$T$107=$C130))</f>
        <v>98585.49730635804</v>
      </c>
      <c r="H130" s="434" cm="1">
        <f t="array" ref="H130">+SUMPRODUCT(($J$4:$J$107)*(S$4:S$107)*($C$4:$C$107=$B130)*($D$4:$D$107=H$111)*($T$4:$T$107=$C130))</f>
        <v>0</v>
      </c>
      <c r="I130" s="442" cm="1">
        <f t="array" ref="I130">+SUMPRODUCT(($J$4:$J$107)*(O$4:O$107)*($C$4:$C$107=$B130)*($D$4:$D$107=I$111)*($T$4:$T$107=$C130))</f>
        <v>65104.942633822546</v>
      </c>
      <c r="J130" s="434" cm="1">
        <f t="array" ref="J130">+SUMPRODUCT(($J$4:$J$107)*(P$4:P$107)*($C$4:$C$107=$B130)*($D$4:$D$107=J$111)*($T$4:$T$107=$C130))</f>
        <v>0</v>
      </c>
      <c r="K130" s="434" cm="1">
        <f t="array" ref="K130">+SUMPRODUCT(($J$4:$J$107)*(Q$4:Q$107)*($C$4:$C$107=$B130)*($D$4:$D$107=K$111)*($T$4:$T$107=$C130))</f>
        <v>0</v>
      </c>
      <c r="L130" s="434" cm="1">
        <f t="array" ref="L130">+SUMPRODUCT(($J$4:$J$107)*(R$4:R$107)*($C$4:$C$107=$B130)*($D$4:$D$107=L$111)*($T$4:$T$107=$C130))</f>
        <v>65104.942633822546</v>
      </c>
      <c r="M130" s="434" cm="1">
        <f t="array" ref="M130">+SUMPRODUCT(($J$4:$J$107)*(S$4:S$107)*($C$4:$C$107=$B130)*($D$4:$D$107=M$111)*($T$4:$T$107=$C130))</f>
        <v>0</v>
      </c>
      <c r="N130" s="427">
        <f>+(D130+I130)*Conversions!$B$3</f>
        <v>0.58928558378465012</v>
      </c>
      <c r="O130" s="403">
        <f t="shared" si="2"/>
        <v>0.5</v>
      </c>
      <c r="P130" s="427" cm="1">
        <f t="array" ref="P130">+SUMPRODUCT(($J$4:$J$107)*(M$4:M$107)*($C$4:$C$107=$B130)*($D$4:$D$107=P$111)*($T$4:$T$107=$C130))</f>
        <v>296868.67926249735</v>
      </c>
      <c r="Q130" s="427" cm="1">
        <f t="array" ref="Q130">+SUMPRODUCT(($J$4:$J$107)*(L$4:L$107)*($C$4:$C$107=$B130)*($D$4:$D$107=Q$111)*($T$4:$T$107=$C130))</f>
        <v>15856.943329803922</v>
      </c>
      <c r="R130" s="427" cm="1">
        <f t="array" ref="R130">+SUMPRODUCT(($J$4:$J$107)*(M$4:M$107)*($C$4:$C$107=$B130)*($D$4:$D$107=R$111)*($T$4:$T$107=$C130))</f>
        <v>195681.85433455679</v>
      </c>
      <c r="S130" s="427" cm="1">
        <f t="array" ref="S130">+SUMPRODUCT(($J$4:$J$107)*(L$4:L$107)*($C$4:$C$107=$B130)*($D$4:$D$107=S$111)*($T$4:$T$107=$C130))</f>
        <v>10452.150366830549</v>
      </c>
      <c r="T130" s="403" t="s">
        <v>375</v>
      </c>
      <c r="U130" s="403" t="s">
        <v>421</v>
      </c>
      <c r="V130" s="457">
        <f t="shared" si="5"/>
        <v>1</v>
      </c>
      <c r="W130" s="457">
        <f t="shared" si="6"/>
        <v>0</v>
      </c>
      <c r="X130" s="457">
        <f t="shared" si="7"/>
        <v>0</v>
      </c>
      <c r="Y130" s="457">
        <f t="shared" si="8"/>
        <v>1</v>
      </c>
      <c r="Z130" s="457">
        <f t="shared" si="9"/>
        <v>0</v>
      </c>
      <c r="AA130" s="457">
        <f t="shared" si="10"/>
        <v>1</v>
      </c>
      <c r="AB130" s="457">
        <f t="shared" si="11"/>
        <v>0</v>
      </c>
      <c r="AC130" s="457">
        <f t="shared" si="12"/>
        <v>0</v>
      </c>
      <c r="AD130" s="457">
        <f t="shared" si="13"/>
        <v>1</v>
      </c>
      <c r="AE130" s="457">
        <f t="shared" si="14"/>
        <v>0</v>
      </c>
    </row>
    <row r="131" spans="1:31">
      <c r="B131" s="450" t="s">
        <v>375</v>
      </c>
      <c r="C131" s="450" t="s">
        <v>420</v>
      </c>
      <c r="D131" s="442" cm="1">
        <f t="array" ref="D131">+SUMPRODUCT(($J$4:$J$107)*(O$4:O$107)*($C$4:$C$107=$B131)*($D$4:$D$107=D$111)*($T$4:$T$107=$C131))</f>
        <v>20155.257227077644</v>
      </c>
      <c r="E131" s="434" cm="1">
        <f t="array" ref="E131">+SUMPRODUCT(($J$4:$J$107)*(P$4:P$107)*($C$4:$C$107=$B131)*($D$4:$D$107=E$111)*($T$4:$T$107=$C131))</f>
        <v>0</v>
      </c>
      <c r="F131" s="434" cm="1">
        <f t="array" ref="F131">+SUMPRODUCT(($J$4:$J$107)*(Q$4:Q$107)*($C$4:$C$107=$B131)*($D$4:$D$107=F$111)*($T$4:$T$107=$C131))</f>
        <v>0</v>
      </c>
      <c r="G131" s="434" cm="1">
        <f t="array" ref="G131">+SUMPRODUCT(($J$4:$J$107)*(R$4:R$107)*($C$4:$C$107=$B131)*($D$4:$D$107=G$111)*($T$4:$T$107=$C131))</f>
        <v>20155.257227077644</v>
      </c>
      <c r="H131" s="434" cm="1">
        <f t="array" ref="H131">+SUMPRODUCT(($J$4:$J$107)*(S$4:S$107)*($C$4:$C$107=$B131)*($D$4:$D$107=H$111)*($T$4:$T$107=$C131))</f>
        <v>0</v>
      </c>
      <c r="I131" s="442" cm="1">
        <f t="array" ref="I131">+SUMPRODUCT(($J$4:$J$107)*(O$4:O$107)*($C$4:$C$107=$B131)*($D$4:$D$107=I$111)*($T$4:$T$107=$C131))</f>
        <v>79862.062964155673</v>
      </c>
      <c r="J131" s="434" cm="1">
        <f t="array" ref="J131">+SUMPRODUCT(($J$4:$J$107)*(P$4:P$107)*($C$4:$C$107=$B131)*($D$4:$D$107=J$111)*($T$4:$T$107=$C131))</f>
        <v>0</v>
      </c>
      <c r="K131" s="434" cm="1">
        <f t="array" ref="K131">+SUMPRODUCT(($J$4:$J$107)*(Q$4:Q$107)*($C$4:$C$107=$B131)*($D$4:$D$107=K$111)*($T$4:$T$107=$C131))</f>
        <v>0</v>
      </c>
      <c r="L131" s="434" cm="1">
        <f t="array" ref="L131">+SUMPRODUCT(($J$4:$J$107)*(R$4:R$107)*($C$4:$C$107=$B131)*($D$4:$D$107=L$111)*($T$4:$T$107=$C131))</f>
        <v>79862.062964155673</v>
      </c>
      <c r="M131" s="434" cm="1">
        <f t="array" ref="M131">+SUMPRODUCT(($J$4:$J$107)*(S$4:S$107)*($C$4:$C$107=$B131)*($D$4:$D$107=M$111)*($T$4:$T$107=$C131))</f>
        <v>0</v>
      </c>
      <c r="N131" s="427">
        <f>+(D131+I131)*Conversions!$B$3</f>
        <v>0.36006235268843995</v>
      </c>
      <c r="O131" s="403">
        <f t="shared" si="2"/>
        <v>0.92</v>
      </c>
      <c r="P131" s="427" cm="1">
        <f t="array" ref="P131">+SUMPRODUCT(($J$4:$J$107)*(M$4:M$107)*($C$4:$C$107=$B131)*($D$4:$D$107=P$111)*($T$4:$T$107=$C131))</f>
        <v>32985.40880694415</v>
      </c>
      <c r="Q131" s="427" cm="1">
        <f t="array" ref="Q131">+SUMPRODUCT(($J$4:$J$107)*(L$4:L$107)*($C$4:$C$107=$B131)*($D$4:$D$107=Q$111)*($T$4:$T$107=$C131))</f>
        <v>1761.8825922004353</v>
      </c>
      <c r="R131" s="427" cm="1">
        <f t="array" ref="R131">+SUMPRODUCT(($J$4:$J$107)*(M$4:M$107)*($C$4:$C$107=$B131)*($D$4:$D$107=R$111)*($T$4:$T$107=$C131))</f>
        <v>130454.56955637118</v>
      </c>
      <c r="S131" s="427" cm="1">
        <f t="array" ref="S131">+SUMPRODUCT(($J$4:$J$107)*(L$4:L$107)*($C$4:$C$107=$B131)*($D$4:$D$107=S$111)*($T$4:$T$107=$C131))</f>
        <v>6968.1002445536997</v>
      </c>
      <c r="T131" s="403" t="s">
        <v>375</v>
      </c>
      <c r="U131" s="403" t="s">
        <v>420</v>
      </c>
      <c r="V131" s="457">
        <f t="shared" si="5"/>
        <v>1</v>
      </c>
      <c r="W131" s="457">
        <f t="shared" si="6"/>
        <v>0</v>
      </c>
      <c r="X131" s="457">
        <f t="shared" si="7"/>
        <v>0</v>
      </c>
      <c r="Y131" s="457">
        <f t="shared" si="8"/>
        <v>1</v>
      </c>
      <c r="Z131" s="457">
        <f t="shared" si="9"/>
        <v>0</v>
      </c>
      <c r="AA131" s="457">
        <f t="shared" si="10"/>
        <v>1</v>
      </c>
      <c r="AB131" s="457">
        <f t="shared" si="11"/>
        <v>0</v>
      </c>
      <c r="AC131" s="457">
        <f t="shared" si="12"/>
        <v>0</v>
      </c>
      <c r="AD131" s="457">
        <f t="shared" si="13"/>
        <v>1</v>
      </c>
      <c r="AE131" s="457">
        <f t="shared" si="14"/>
        <v>0</v>
      </c>
    </row>
    <row r="132" spans="1:31">
      <c r="B132" s="450" t="s">
        <v>375</v>
      </c>
      <c r="C132" s="450" t="s">
        <v>423</v>
      </c>
      <c r="D132" s="442" cm="1">
        <f t="array" ref="D132">+SUMPRODUCT(($J$4:$J$107)*(O$4:O$107)*($C$4:$C$107=$B132)*($D$4:$D$107=D$111)*($T$4:$T$107=$C132))</f>
        <v>0</v>
      </c>
      <c r="E132" s="434" cm="1">
        <f t="array" ref="E132">+SUMPRODUCT(($J$4:$J$107)*(P$4:P$107)*($C$4:$C$107=$B132)*($D$4:$D$107=E$111)*($T$4:$T$107=$C132))</f>
        <v>0</v>
      </c>
      <c r="F132" s="434" cm="1">
        <f t="array" ref="F132">+SUMPRODUCT(($J$4:$J$107)*(Q$4:Q$107)*($C$4:$C$107=$B132)*($D$4:$D$107=F$111)*($T$4:$T$107=$C132))</f>
        <v>0</v>
      </c>
      <c r="G132" s="434" cm="1">
        <f t="array" ref="G132">+SUMPRODUCT(($J$4:$J$107)*(R$4:R$107)*($C$4:$C$107=$B132)*($D$4:$D$107=G$111)*($T$4:$T$107=$C132))</f>
        <v>0</v>
      </c>
      <c r="H132" s="434" cm="1">
        <f t="array" ref="H132">+SUMPRODUCT(($J$4:$J$107)*(S$4:S$107)*($C$4:$C$107=$B132)*($D$4:$D$107=H$111)*($T$4:$T$107=$C132))</f>
        <v>0</v>
      </c>
      <c r="I132" s="442" cm="1">
        <f t="array" ref="I132">+SUMPRODUCT(($J$4:$J$107)*(O$4:O$107)*($C$4:$C$107=$B132)*($D$4:$D$107=I$111)*($T$4:$T$107=$C132))</f>
        <v>79862.062964155673</v>
      </c>
      <c r="J132" s="434" cm="1">
        <f t="array" ref="J132">+SUMPRODUCT(($J$4:$J$107)*(P$4:P$107)*($C$4:$C$107=$B132)*($D$4:$D$107=J$111)*($T$4:$T$107=$C132))</f>
        <v>0</v>
      </c>
      <c r="K132" s="434" cm="1">
        <f t="array" ref="K132">+SUMPRODUCT(($J$4:$J$107)*(Q$4:Q$107)*($C$4:$C$107=$B132)*($D$4:$D$107=K$111)*($T$4:$T$107=$C132))</f>
        <v>0</v>
      </c>
      <c r="L132" s="434" cm="1">
        <f t="array" ref="L132">+SUMPRODUCT(($J$4:$J$107)*(R$4:R$107)*($C$4:$C$107=$B132)*($D$4:$D$107=L$111)*($T$4:$T$107=$C132))</f>
        <v>79862.062964155673</v>
      </c>
      <c r="M132" s="434" cm="1">
        <f t="array" ref="M132">+SUMPRODUCT(($J$4:$J$107)*(S$4:S$107)*($C$4:$C$107=$B132)*($D$4:$D$107=M$111)*($T$4:$T$107=$C132))</f>
        <v>0</v>
      </c>
      <c r="N132" s="427">
        <f>+(D132+I132)*Conversions!$B$3</f>
        <v>0.28750342667096046</v>
      </c>
      <c r="O132" s="403">
        <f t="shared" si="2"/>
        <v>0.92</v>
      </c>
      <c r="P132" s="427" cm="1">
        <f t="array" ref="P132">+SUMPRODUCT(($J$4:$J$107)*(M$4:M$107)*($C$4:$C$107=$B132)*($D$4:$D$107=P$111)*($T$4:$T$107=$C132))</f>
        <v>0</v>
      </c>
      <c r="Q132" s="427" cm="1">
        <f t="array" ref="Q132">+SUMPRODUCT(($J$4:$J$107)*(L$4:L$107)*($C$4:$C$107=$B132)*($D$4:$D$107=Q$111)*($T$4:$T$107=$C132))</f>
        <v>0</v>
      </c>
      <c r="R132" s="427" cm="1">
        <f t="array" ref="R132">+SUMPRODUCT(($J$4:$J$107)*(M$4:M$107)*($C$4:$C$107=$B132)*($D$4:$D$107=R$111)*($T$4:$T$107=$C132))</f>
        <v>130454.56955637118</v>
      </c>
      <c r="S132" s="427" cm="1">
        <f t="array" ref="S132">+SUMPRODUCT(($J$4:$J$107)*(L$4:L$107)*($C$4:$C$107=$B132)*($D$4:$D$107=S$111)*($T$4:$T$107=$C132))</f>
        <v>6968.1002445536997</v>
      </c>
      <c r="T132" s="403" t="s">
        <v>375</v>
      </c>
      <c r="U132" s="403" t="s">
        <v>423</v>
      </c>
      <c r="V132" s="457">
        <f t="shared" si="5"/>
        <v>1</v>
      </c>
      <c r="W132" s="457">
        <f t="shared" si="6"/>
        <v>0</v>
      </c>
      <c r="X132" s="457">
        <f t="shared" si="7"/>
        <v>0</v>
      </c>
      <c r="Y132" s="457">
        <f t="shared" si="8"/>
        <v>1</v>
      </c>
      <c r="Z132" s="457">
        <f t="shared" si="9"/>
        <v>0</v>
      </c>
      <c r="AA132" s="457">
        <f t="shared" si="10"/>
        <v>1</v>
      </c>
      <c r="AB132" s="457">
        <f t="shared" si="11"/>
        <v>0</v>
      </c>
      <c r="AC132" s="457">
        <f t="shared" si="12"/>
        <v>0</v>
      </c>
      <c r="AD132" s="457">
        <f t="shared" si="13"/>
        <v>1</v>
      </c>
      <c r="AE132" s="457">
        <f t="shared" si="14"/>
        <v>0</v>
      </c>
    </row>
    <row r="133" spans="1:31">
      <c r="B133" s="450" t="s">
        <v>375</v>
      </c>
      <c r="C133" s="450" t="s">
        <v>424</v>
      </c>
      <c r="D133" s="442" cm="1">
        <f t="array" ref="D133">+SUMPRODUCT(($J$4:$J$107)*(O$4:O$107)*($C$4:$C$107=$B133)*($D$4:$D$107=D$111)*($T$4:$T$107=$C133))</f>
        <v>0</v>
      </c>
      <c r="E133" s="434" cm="1">
        <f t="array" ref="E133">+SUMPRODUCT(($J$4:$J$107)*(P$4:P$107)*($C$4:$C$107=$B133)*($D$4:$D$107=E$111)*($T$4:$T$107=$C133))</f>
        <v>0</v>
      </c>
      <c r="F133" s="434" cm="1">
        <f t="array" ref="F133">+SUMPRODUCT(($J$4:$J$107)*(Q$4:Q$107)*($C$4:$C$107=$B133)*($D$4:$D$107=F$111)*($T$4:$T$107=$C133))</f>
        <v>0</v>
      </c>
      <c r="G133" s="434" cm="1">
        <f t="array" ref="G133">+SUMPRODUCT(($J$4:$J$107)*(R$4:R$107)*($C$4:$C$107=$B133)*($D$4:$D$107=G$111)*($T$4:$T$107=$C133))</f>
        <v>0</v>
      </c>
      <c r="H133" s="434" cm="1">
        <f t="array" ref="H133">+SUMPRODUCT(($J$4:$J$107)*(S$4:S$107)*($C$4:$C$107=$B133)*($D$4:$D$107=H$111)*($T$4:$T$107=$C133))</f>
        <v>0</v>
      </c>
      <c r="I133" s="442" cm="1">
        <f t="array" ref="I133">+SUMPRODUCT(($J$4:$J$107)*(O$4:O$107)*($C$4:$C$107=$B133)*($D$4:$D$107=I$111)*($T$4:$T$107=$C133))</f>
        <v>36892.800825832783</v>
      </c>
      <c r="J133" s="434" cm="1">
        <f t="array" ref="J133">+SUMPRODUCT(($J$4:$J$107)*(P$4:P$107)*($C$4:$C$107=$B133)*($D$4:$D$107=J$111)*($T$4:$T$107=$C133))</f>
        <v>36892.800825832783</v>
      </c>
      <c r="K133" s="434" cm="1">
        <f t="array" ref="K133">+SUMPRODUCT(($J$4:$J$107)*(Q$4:Q$107)*($C$4:$C$107=$B133)*($D$4:$D$107=K$111)*($T$4:$T$107=$C133))</f>
        <v>0</v>
      </c>
      <c r="L133" s="434" cm="1">
        <f t="array" ref="L133">+SUMPRODUCT(($J$4:$J$107)*(R$4:R$107)*($C$4:$C$107=$B133)*($D$4:$D$107=L$111)*($T$4:$T$107=$C133))</f>
        <v>0</v>
      </c>
      <c r="M133" s="434" cm="1">
        <f t="array" ref="M133">+SUMPRODUCT(($J$4:$J$107)*(S$4:S$107)*($C$4:$C$107=$B133)*($D$4:$D$107=M$111)*($T$4:$T$107=$C133))</f>
        <v>0</v>
      </c>
      <c r="N133" s="427">
        <f>+(D133+I133)*Conversions!$B$3</f>
        <v>0.13281408297299802</v>
      </c>
      <c r="O133" s="403">
        <f t="shared" si="2"/>
        <v>0.85</v>
      </c>
      <c r="P133" s="427" cm="1">
        <f t="array" ref="P133">+SUMPRODUCT(($J$4:$J$107)*(M$4:M$107)*($C$4:$C$107=$B133)*($D$4:$D$107=P$111)*($T$4:$T$107=$C133))</f>
        <v>0</v>
      </c>
      <c r="Q133" s="427" cm="1">
        <f t="array" ref="Q133">+SUMPRODUCT(($J$4:$J$107)*(L$4:L$107)*($C$4:$C$107=$B133)*($D$4:$D$107=Q$111)*($T$4:$T$107=$C133))</f>
        <v>0</v>
      </c>
      <c r="R133" s="427" cm="1">
        <f t="array" ref="R133">+SUMPRODUCT(($J$4:$J$107)*(M$4:M$107)*($C$4:$C$107=$B133)*($D$4:$D$107=R$111)*($T$4:$T$107=$C133))</f>
        <v>65227.284778185589</v>
      </c>
      <c r="S133" s="427" cm="1">
        <f t="array" ref="S133">+SUMPRODUCT(($J$4:$J$107)*(L$4:L$107)*($C$4:$C$107=$B133)*($D$4:$D$107=S$111)*($T$4:$T$107=$C133))</f>
        <v>3484.0501222768498</v>
      </c>
      <c r="T133" s="403" t="s">
        <v>375</v>
      </c>
      <c r="U133" s="403" t="s">
        <v>424</v>
      </c>
      <c r="V133" s="457">
        <f t="shared" si="5"/>
        <v>1</v>
      </c>
      <c r="W133" s="457">
        <f t="shared" si="6"/>
        <v>1</v>
      </c>
      <c r="X133" s="457">
        <f t="shared" si="7"/>
        <v>0</v>
      </c>
      <c r="Y133" s="457">
        <f t="shared" si="8"/>
        <v>0</v>
      </c>
      <c r="Z133" s="457">
        <f t="shared" si="9"/>
        <v>0</v>
      </c>
      <c r="AA133" s="457">
        <f t="shared" si="10"/>
        <v>1</v>
      </c>
      <c r="AB133" s="457">
        <f t="shared" si="11"/>
        <v>1</v>
      </c>
      <c r="AC133" s="457">
        <f t="shared" si="12"/>
        <v>0</v>
      </c>
      <c r="AD133" s="457">
        <f t="shared" si="13"/>
        <v>0</v>
      </c>
      <c r="AE133" s="457">
        <f t="shared" si="14"/>
        <v>0</v>
      </c>
    </row>
    <row r="134" spans="1:31">
      <c r="B134" s="451" t="s">
        <v>388</v>
      </c>
      <c r="C134" s="451" t="s">
        <v>420</v>
      </c>
      <c r="D134" s="443" cm="1">
        <f t="array" ref="D134">+SUMPRODUCT(($J$4:$J$107)*(O$4:O$107)*($C$4:$C$107=$B134)*($D$4:$D$107=D$111)*($T$4:$T$107=$C134))</f>
        <v>37381.347637586863</v>
      </c>
      <c r="E134" s="435" cm="1">
        <f t="array" ref="E134">+SUMPRODUCT(($J$4:$J$107)*(P$4:P$107)*($C$4:$C$107=$B134)*($D$4:$D$107=E$111)*($T$4:$T$107=$C134))</f>
        <v>0</v>
      </c>
      <c r="F134" s="435" cm="1">
        <f t="array" ref="F134">+SUMPRODUCT(($J$4:$J$107)*(Q$4:Q$107)*($C$4:$C$107=$B134)*($D$4:$D$107=F$111)*($T$4:$T$107=$C134))</f>
        <v>37381.347637586863</v>
      </c>
      <c r="G134" s="435" cm="1">
        <f t="array" ref="G134">+SUMPRODUCT(($J$4:$J$107)*(R$4:R$107)*($C$4:$C$107=$B134)*($D$4:$D$107=G$111)*($T$4:$T$107=$C134))</f>
        <v>0</v>
      </c>
      <c r="H134" s="435" cm="1">
        <f t="array" ref="H134">+SUMPRODUCT(($J$4:$J$107)*(S$4:S$107)*($C$4:$C$107=$B134)*($D$4:$D$107=H$111)*($T$4:$T$107=$C134))</f>
        <v>0</v>
      </c>
      <c r="I134" s="443" cm="1">
        <f t="array" ref="I134">+SUMPRODUCT(($J$4:$J$107)*(O$4:O$107)*($C$4:$C$107=$B134)*($D$4:$D$107=I$111)*($T$4:$T$107=$C134))</f>
        <v>253247.28655938763</v>
      </c>
      <c r="J134" s="435" cm="1">
        <f t="array" ref="J134">+SUMPRODUCT(($J$4:$J$107)*(P$4:P$107)*($C$4:$C$107=$B134)*($D$4:$D$107=J$111)*($T$4:$T$107=$C134))</f>
        <v>0</v>
      </c>
      <c r="K134" s="435" cm="1">
        <f t="array" ref="K134">+SUMPRODUCT(($J$4:$J$107)*(Q$4:Q$107)*($C$4:$C$107=$B134)*($D$4:$D$107=K$111)*($T$4:$T$107=$C134))</f>
        <v>253247.28655938763</v>
      </c>
      <c r="L134" s="435" cm="1">
        <f t="array" ref="L134">+SUMPRODUCT(($J$4:$J$107)*(R$4:R$107)*($C$4:$C$107=$B134)*($D$4:$D$107=L$111)*($T$4:$T$107=$C134))</f>
        <v>0</v>
      </c>
      <c r="M134" s="435" cm="1">
        <f t="array" ref="M134">+SUMPRODUCT(($J$4:$J$107)*(S$4:S$107)*($C$4:$C$107=$B134)*($D$4:$D$107=M$111)*($T$4:$T$107=$C134))</f>
        <v>0</v>
      </c>
      <c r="N134" s="428">
        <f>+(D134+I134)*Conversions!$B$3</f>
        <v>1.0462630831091084</v>
      </c>
      <c r="O134" s="399">
        <f t="shared" si="2"/>
        <v>0.92</v>
      </c>
      <c r="P134" s="428" cm="1">
        <f t="array" ref="P134">+SUMPRODUCT(($J$4:$J$107)*(M$4:M$107)*($C$4:$C$107=$B134)*($D$4:$D$107=P$111)*($T$4:$T$107=$C134))</f>
        <v>20077.615428470923</v>
      </c>
      <c r="Q134" s="428" cm="1">
        <f t="array" ref="Q134">+SUMPRODUCT(($J$4:$J$107)*(L$4:L$107)*($C$4:$C$107=$B134)*($D$4:$D$107=Q$111)*($T$4:$T$107=$C134))</f>
        <v>202.80419624718104</v>
      </c>
      <c r="R134" s="428" cm="1">
        <f t="array" ref="R134">+SUMPRODUCT(($J$4:$J$107)*(M$4:M$107)*($C$4:$C$107=$B134)*($D$4:$D$107=R$111)*($T$4:$T$107=$C134))</f>
        <v>32269.112976227272</v>
      </c>
      <c r="S134" s="428" cm="1">
        <f t="array" ref="S134">+SUMPRODUCT(($J$4:$J$107)*(L$4:L$107)*($C$4:$C$107=$B134)*($D$4:$D$107=S$111)*($T$4:$T$107=$C134))</f>
        <v>325.95063612350782</v>
      </c>
      <c r="T134" s="399" t="s">
        <v>388</v>
      </c>
      <c r="U134" s="399" t="s">
        <v>420</v>
      </c>
      <c r="V134" s="458">
        <f t="shared" si="5"/>
        <v>1</v>
      </c>
      <c r="W134" s="458">
        <f t="shared" si="6"/>
        <v>0</v>
      </c>
      <c r="X134" s="458">
        <f t="shared" si="7"/>
        <v>1</v>
      </c>
      <c r="Y134" s="458">
        <f t="shared" si="8"/>
        <v>0</v>
      </c>
      <c r="Z134" s="458">
        <f t="shared" si="9"/>
        <v>0</v>
      </c>
      <c r="AA134" s="458">
        <f t="shared" si="10"/>
        <v>1</v>
      </c>
      <c r="AB134" s="458">
        <f t="shared" si="11"/>
        <v>0</v>
      </c>
      <c r="AC134" s="458">
        <f t="shared" si="12"/>
        <v>1</v>
      </c>
      <c r="AD134" s="458">
        <f t="shared" si="13"/>
        <v>0</v>
      </c>
      <c r="AE134" s="458">
        <f t="shared" si="14"/>
        <v>0</v>
      </c>
    </row>
    <row r="135" spans="1:31">
      <c r="B135" s="451" t="s">
        <v>388</v>
      </c>
      <c r="C135" s="451" t="s">
        <v>422</v>
      </c>
      <c r="D135" s="443" cm="1">
        <f t="array" ref="D135">+SUMPRODUCT(($J$4:$J$107)*(O$4:O$107)*($C$4:$C$107=$B135)*($D$4:$D$107=D$111)*($T$4:$T$107=$C135))</f>
        <v>74762.695275173726</v>
      </c>
      <c r="E135" s="435" cm="1">
        <f t="array" ref="E135">+SUMPRODUCT(($J$4:$J$107)*(P$4:P$107)*($C$4:$C$107=$B135)*($D$4:$D$107=E$111)*($T$4:$T$107=$C135))</f>
        <v>0</v>
      </c>
      <c r="F135" s="435" cm="1">
        <f t="array" ref="F135">+SUMPRODUCT(($J$4:$J$107)*(Q$4:Q$107)*($C$4:$C$107=$B135)*($D$4:$D$107=F$111)*($T$4:$T$107=$C135))</f>
        <v>0</v>
      </c>
      <c r="G135" s="435" cm="1">
        <f t="array" ref="G135">+SUMPRODUCT(($J$4:$J$107)*(R$4:R$107)*($C$4:$C$107=$B135)*($D$4:$D$107=G$111)*($T$4:$T$107=$C135))</f>
        <v>74762.695275173726</v>
      </c>
      <c r="H135" s="435" cm="1">
        <f t="array" ref="H135">+SUMPRODUCT(($J$4:$J$107)*(S$4:S$107)*($C$4:$C$107=$B135)*($D$4:$D$107=H$111)*($T$4:$T$107=$C135))</f>
        <v>0</v>
      </c>
      <c r="I135" s="443" cm="1">
        <f t="array" ref="I135">+SUMPRODUCT(($J$4:$J$107)*(O$4:O$107)*($C$4:$C$107=$B135)*($D$4:$D$107=I$111)*($T$4:$T$107=$C135))</f>
        <v>196970.11176841255</v>
      </c>
      <c r="J135" s="435" cm="1">
        <f t="array" ref="J135">+SUMPRODUCT(($J$4:$J$107)*(P$4:P$107)*($C$4:$C$107=$B135)*($D$4:$D$107=J$111)*($T$4:$T$107=$C135))</f>
        <v>0</v>
      </c>
      <c r="K135" s="435" cm="1">
        <f t="array" ref="K135">+SUMPRODUCT(($J$4:$J$107)*(Q$4:Q$107)*($C$4:$C$107=$B135)*($D$4:$D$107=K$111)*($T$4:$T$107=$C135))</f>
        <v>0</v>
      </c>
      <c r="L135" s="435" cm="1">
        <f t="array" ref="L135">+SUMPRODUCT(($J$4:$J$107)*(R$4:R$107)*($C$4:$C$107=$B135)*($D$4:$D$107=L$111)*($T$4:$T$107=$C135))</f>
        <v>196970.11176841255</v>
      </c>
      <c r="M135" s="435" cm="1">
        <f t="array" ref="M135">+SUMPRODUCT(($J$4:$J$107)*(S$4:S$107)*($C$4:$C$107=$B135)*($D$4:$D$107=M$111)*($T$4:$T$107=$C135))</f>
        <v>0</v>
      </c>
      <c r="N135" s="428">
        <f>+(D135+I135)*Conversions!$B$3</f>
        <v>0.97823810535691069</v>
      </c>
      <c r="O135" s="399">
        <f t="shared" si="2"/>
        <v>0.92</v>
      </c>
      <c r="P135" s="428" cm="1">
        <f t="array" ref="P135">+SUMPRODUCT(($J$4:$J$107)*(M$4:M$107)*($C$4:$C$107=$B135)*($D$4:$D$107=P$111)*($T$4:$T$107=$C135))</f>
        <v>40155.230856941846</v>
      </c>
      <c r="Q135" s="428" cm="1">
        <f t="array" ref="Q135">+SUMPRODUCT(($J$4:$J$107)*(L$4:L$107)*($C$4:$C$107=$B135)*($D$4:$D$107=Q$111)*($T$4:$T$107=$C135))</f>
        <v>405.60839249436208</v>
      </c>
      <c r="R135" s="428" cm="1">
        <f t="array" ref="R135">+SUMPRODUCT(($J$4:$J$107)*(M$4:M$107)*($C$4:$C$107=$B135)*($D$4:$D$107=R$111)*($T$4:$T$107=$C135))</f>
        <v>25098.198981510104</v>
      </c>
      <c r="S135" s="428" cm="1">
        <f t="array" ref="S135">+SUMPRODUCT(($J$4:$J$107)*(L$4:L$107)*($C$4:$C$107=$B135)*($D$4:$D$107=S$111)*($T$4:$T$107=$C135))</f>
        <v>253.517161429395</v>
      </c>
      <c r="T135" s="399" t="s">
        <v>388</v>
      </c>
      <c r="U135" s="399" t="s">
        <v>422</v>
      </c>
      <c r="V135" s="458">
        <f t="shared" si="5"/>
        <v>1</v>
      </c>
      <c r="W135" s="458">
        <f t="shared" si="6"/>
        <v>0</v>
      </c>
      <c r="X135" s="458">
        <f t="shared" si="7"/>
        <v>0</v>
      </c>
      <c r="Y135" s="458">
        <f t="shared" si="8"/>
        <v>1</v>
      </c>
      <c r="Z135" s="458">
        <f t="shared" si="9"/>
        <v>0</v>
      </c>
      <c r="AA135" s="458">
        <f t="shared" si="10"/>
        <v>1</v>
      </c>
      <c r="AB135" s="458">
        <f t="shared" si="11"/>
        <v>0</v>
      </c>
      <c r="AC135" s="458">
        <f t="shared" si="12"/>
        <v>0</v>
      </c>
      <c r="AD135" s="458">
        <f t="shared" si="13"/>
        <v>1</v>
      </c>
      <c r="AE135" s="458">
        <f t="shared" si="14"/>
        <v>0</v>
      </c>
    </row>
    <row r="136" spans="1:31">
      <c r="B136" s="451" t="s">
        <v>388</v>
      </c>
      <c r="C136" s="451" t="s">
        <v>425</v>
      </c>
      <c r="D136" s="443" cm="1">
        <f t="array" ref="D136">+SUMPRODUCT(($J$4:$J$107)*(O$4:O$107)*($C$4:$C$107=$B136)*($D$4:$D$107=D$111)*($T$4:$T$107=$C136))</f>
        <v>10385.927131578741</v>
      </c>
      <c r="E136" s="435" cm="1">
        <f t="array" ref="E136">+SUMPRODUCT(($J$4:$J$107)*(P$4:P$107)*($C$4:$C$107=$B136)*($D$4:$D$107=E$111)*($T$4:$T$107=$C136))</f>
        <v>10385.927131578741</v>
      </c>
      <c r="F136" s="435" cm="1">
        <f t="array" ref="F136">+SUMPRODUCT(($J$4:$J$107)*(Q$4:Q$107)*($C$4:$C$107=$B136)*($D$4:$D$107=F$111)*($T$4:$T$107=$C136))</f>
        <v>0</v>
      </c>
      <c r="G136" s="435" cm="1">
        <f t="array" ref="G136">+SUMPRODUCT(($J$4:$J$107)*(R$4:R$107)*($C$4:$C$107=$B136)*($D$4:$D$107=G$111)*($T$4:$T$107=$C136))</f>
        <v>0</v>
      </c>
      <c r="H136" s="435" cm="1">
        <f t="array" ref="H136">+SUMPRODUCT(($J$4:$J$107)*(S$4:S$107)*($C$4:$C$107=$B136)*($D$4:$D$107=H$111)*($T$4:$T$107=$C136))</f>
        <v>0</v>
      </c>
      <c r="I136" s="443" cm="1">
        <f t="array" ref="I136">+SUMPRODUCT(($J$4:$J$107)*(O$4:O$107)*($C$4:$C$107=$B136)*($D$4:$D$107=I$111)*($T$4:$T$107=$C136))</f>
        <v>103990.4316789756</v>
      </c>
      <c r="J136" s="435" cm="1">
        <f t="array" ref="J136">+SUMPRODUCT(($J$4:$J$107)*(P$4:P$107)*($C$4:$C$107=$B136)*($D$4:$D$107=J$111)*($T$4:$T$107=$C136))</f>
        <v>103990.4316789756</v>
      </c>
      <c r="K136" s="435" cm="1">
        <f t="array" ref="K136">+SUMPRODUCT(($J$4:$J$107)*(Q$4:Q$107)*($C$4:$C$107=$B136)*($D$4:$D$107=K$111)*($T$4:$T$107=$C136))</f>
        <v>0</v>
      </c>
      <c r="L136" s="435" cm="1">
        <f t="array" ref="L136">+SUMPRODUCT(($J$4:$J$107)*(R$4:R$107)*($C$4:$C$107=$B136)*($D$4:$D$107=L$111)*($T$4:$T$107=$C136))</f>
        <v>0</v>
      </c>
      <c r="M136" s="435" cm="1">
        <f t="array" ref="M136">+SUMPRODUCT(($J$4:$J$107)*(S$4:S$107)*($C$4:$C$107=$B136)*($D$4:$D$107=M$111)*($T$4:$T$107=$C136))</f>
        <v>0</v>
      </c>
      <c r="N136" s="428">
        <f>+(D136+I136)*Conversions!$B$3</f>
        <v>0.41175489171799567</v>
      </c>
      <c r="O136" s="399">
        <f t="shared" si="2"/>
        <v>0.85</v>
      </c>
      <c r="P136" s="428" cm="1">
        <f t="array" ref="P136">+SUMPRODUCT(($J$4:$J$107)*(M$4:M$107)*($C$4:$C$107=$B136)*($D$4:$D$107=P$111)*($T$4:$T$107=$C136))</f>
        <v>6037.6974984045992</v>
      </c>
      <c r="Q136" s="428" cm="1">
        <f t="array" ref="Q136">+SUMPRODUCT(($J$4:$J$107)*(L$4:L$107)*($C$4:$C$107=$B136)*($D$4:$D$107=Q$111)*($T$4:$T$107=$C136))</f>
        <v>60.98684341822829</v>
      </c>
      <c r="R136" s="428" cm="1">
        <f t="array" ref="R136">+SUMPRODUCT(($J$4:$J$107)*(M$4:M$107)*($C$4:$C$107=$B136)*($D$4:$D$107=R$111)*($T$4:$T$107=$C136))</f>
        <v>14341.82798943435</v>
      </c>
      <c r="S136" s="428" cm="1">
        <f t="array" ref="S136">+SUMPRODUCT(($J$4:$J$107)*(L$4:L$107)*($C$4:$C$107=$B136)*($D$4:$D$107=S$111)*($T$4:$T$107=$C136))</f>
        <v>144.86694938822575</v>
      </c>
      <c r="T136" s="399" t="s">
        <v>388</v>
      </c>
      <c r="U136" s="399" t="s">
        <v>425</v>
      </c>
      <c r="V136" s="458">
        <f t="shared" si="5"/>
        <v>1</v>
      </c>
      <c r="W136" s="458">
        <f t="shared" si="6"/>
        <v>1</v>
      </c>
      <c r="X136" s="458">
        <f t="shared" si="7"/>
        <v>0</v>
      </c>
      <c r="Y136" s="458">
        <f t="shared" si="8"/>
        <v>0</v>
      </c>
      <c r="Z136" s="458">
        <f t="shared" si="9"/>
        <v>0</v>
      </c>
      <c r="AA136" s="458">
        <f t="shared" si="10"/>
        <v>1</v>
      </c>
      <c r="AB136" s="458">
        <f t="shared" si="11"/>
        <v>1</v>
      </c>
      <c r="AC136" s="458">
        <f t="shared" si="12"/>
        <v>0</v>
      </c>
      <c r="AD136" s="458">
        <f t="shared" si="13"/>
        <v>0</v>
      </c>
      <c r="AE136" s="458">
        <f t="shared" si="14"/>
        <v>0</v>
      </c>
    </row>
    <row r="137" spans="1:31">
      <c r="A137" s="55"/>
      <c r="B137" s="467" t="s">
        <v>369</v>
      </c>
      <c r="C137" s="467" t="s">
        <v>421</v>
      </c>
      <c r="D137" s="468" cm="1">
        <f t="array" ref="D137">+SUMPRODUCT(($J$4:$J$107)*(O$4:O$107)*($C$4:$C$107=$B137)*($D$4:$D$107=D$111)*($T$4:$T$107=$C137))</f>
        <v>141809.84942385452</v>
      </c>
      <c r="E137" s="469" cm="1">
        <f t="array" ref="E137">+SUMPRODUCT(($J$4:$J$107)*(P$4:P$107)*($C$4:$C$107=$B137)*($D$4:$D$107=E$111)*($T$4:$T$107=$C137))</f>
        <v>0</v>
      </c>
      <c r="F137" s="469" cm="1">
        <f t="array" ref="F137">+SUMPRODUCT(($J$4:$J$107)*(Q$4:Q$107)*($C$4:$C$107=$B137)*($D$4:$D$107=F$111)*($T$4:$T$107=$C137))</f>
        <v>141809.84942385452</v>
      </c>
      <c r="G137" s="469" cm="1">
        <f t="array" ref="G137">+SUMPRODUCT(($J$4:$J$107)*(R$4:R$107)*($C$4:$C$107=$B137)*($D$4:$D$107=G$111)*($T$4:$T$107=$C137))</f>
        <v>0</v>
      </c>
      <c r="H137" s="469" cm="1">
        <f t="array" ref="H137">+SUMPRODUCT(($J$4:$J$107)*(S$4:S$107)*($C$4:$C$107=$B137)*($D$4:$D$107=H$111)*($T$4:$T$107=$C137))</f>
        <v>0</v>
      </c>
      <c r="I137" s="468" cm="1">
        <f t="array" ref="I137">+SUMPRODUCT(($J$4:$J$107)*(O$4:O$107)*($C$4:$C$107=$B137)*($D$4:$D$107=I$111)*($T$4:$T$107=$C137))</f>
        <v>0</v>
      </c>
      <c r="J137" s="469" cm="1">
        <f t="array" ref="J137">+SUMPRODUCT(($J$4:$J$107)*(P$4:P$107)*($C$4:$C$107=$B137)*($D$4:$D$107=J$111)*($T$4:$T$107=$C137))</f>
        <v>0</v>
      </c>
      <c r="K137" s="469" cm="1">
        <f t="array" ref="K137">+SUMPRODUCT(($J$4:$J$107)*(Q$4:Q$107)*($C$4:$C$107=$B137)*($D$4:$D$107=K$111)*($T$4:$T$107=$C137))</f>
        <v>0</v>
      </c>
      <c r="L137" s="469" cm="1">
        <f t="array" ref="L137">+SUMPRODUCT(($J$4:$J$107)*(R$4:R$107)*($C$4:$C$107=$B137)*($D$4:$D$107=L$111)*($T$4:$T$107=$C137))</f>
        <v>0</v>
      </c>
      <c r="M137" s="469" cm="1">
        <f t="array" ref="M137">+SUMPRODUCT(($J$4:$J$107)*(S$4:S$107)*($C$4:$C$107=$B137)*($D$4:$D$107=M$111)*($T$4:$T$107=$C137))</f>
        <v>0</v>
      </c>
      <c r="N137" s="470">
        <f>+(D137+I137)*Conversions!$B$3</f>
        <v>0.51051545792587627</v>
      </c>
      <c r="O137" s="461">
        <f t="shared" si="2"/>
        <v>0.5</v>
      </c>
      <c r="P137" s="470" cm="1">
        <f t="array" ref="P137">+SUMPRODUCT(($J$4:$J$107)*(M$4:M$107)*($C$4:$C$107=$B137)*($D$4:$D$107=P$111)*($T$4:$T$107=$C137))</f>
        <v>22743.856816520336</v>
      </c>
      <c r="Q137" s="470" cm="1">
        <f t="array" ref="Q137">+SUMPRODUCT(($J$4:$J$107)*(L$4:L$107)*($C$4:$C$107=$B137)*($D$4:$D$107=Q$111)*($T$4:$T$107=$C137))</f>
        <v>4013.6217911506474</v>
      </c>
      <c r="R137" s="470" cm="1">
        <f t="array" ref="R137">+SUMPRODUCT(($J$4:$J$107)*(M$4:M$107)*($C$4:$C$107=$B137)*($D$4:$D$107=R$111)*($T$4:$T$107=$C137))</f>
        <v>0</v>
      </c>
      <c r="S137" s="470" cm="1">
        <f t="array" ref="S137">+SUMPRODUCT(($J$4:$J$107)*(L$4:L$107)*($C$4:$C$107=$B137)*($D$4:$D$107=S$111)*($T$4:$T$107=$C137))</f>
        <v>0</v>
      </c>
      <c r="T137" s="461" t="s">
        <v>369</v>
      </c>
      <c r="U137" s="461" t="s">
        <v>421</v>
      </c>
      <c r="V137" s="471">
        <f t="shared" si="5"/>
        <v>1</v>
      </c>
      <c r="W137" s="471">
        <f t="shared" si="6"/>
        <v>0</v>
      </c>
      <c r="X137" s="471">
        <f t="shared" si="7"/>
        <v>1</v>
      </c>
      <c r="Y137" s="471">
        <f t="shared" si="8"/>
        <v>0</v>
      </c>
      <c r="Z137" s="471">
        <f t="shared" si="9"/>
        <v>0</v>
      </c>
      <c r="AA137" s="471">
        <f t="shared" si="10"/>
        <v>1</v>
      </c>
      <c r="AB137" s="471">
        <f t="shared" si="11"/>
        <v>0</v>
      </c>
      <c r="AC137" s="471">
        <f t="shared" si="12"/>
        <v>1</v>
      </c>
      <c r="AD137" s="471">
        <f t="shared" si="13"/>
        <v>0</v>
      </c>
      <c r="AE137" s="471">
        <f t="shared" si="14"/>
        <v>0</v>
      </c>
    </row>
    <row r="138" spans="1:31">
      <c r="A138" s="55"/>
      <c r="B138" s="467" t="s">
        <v>369</v>
      </c>
      <c r="C138" s="467" t="s">
        <v>422</v>
      </c>
      <c r="D138" s="468" cm="1">
        <f t="array" ref="D138">+SUMPRODUCT(($J$4:$J$107)*(O$4:O$107)*($C$4:$C$107=$B138)*($D$4:$D$107=D$111)*($T$4:$T$107=$C138))</f>
        <v>130465.06146994616</v>
      </c>
      <c r="E138" s="469" cm="1">
        <f t="array" ref="E138">+SUMPRODUCT(($J$4:$J$107)*(P$4:P$107)*($C$4:$C$107=$B138)*($D$4:$D$107=E$111)*($T$4:$T$107=$C138))</f>
        <v>0</v>
      </c>
      <c r="F138" s="469" cm="1">
        <f t="array" ref="F138">+SUMPRODUCT(($J$4:$J$107)*(Q$4:Q$107)*($C$4:$C$107=$B138)*($D$4:$D$107=F$111)*($T$4:$T$107=$C138))</f>
        <v>130465.06146994616</v>
      </c>
      <c r="G138" s="469" cm="1">
        <f t="array" ref="G138">+SUMPRODUCT(($J$4:$J$107)*(R$4:R$107)*($C$4:$C$107=$B138)*($D$4:$D$107=G$111)*($T$4:$T$107=$C138))</f>
        <v>0</v>
      </c>
      <c r="H138" s="469" cm="1">
        <f t="array" ref="H138">+SUMPRODUCT(($J$4:$J$107)*(S$4:S$107)*($C$4:$C$107=$B138)*($D$4:$D$107=H$111)*($T$4:$T$107=$C138))</f>
        <v>0</v>
      </c>
      <c r="I138" s="468" cm="1">
        <f t="array" ref="I138">+SUMPRODUCT(($J$4:$J$107)*(O$4:O$107)*($C$4:$C$107=$B138)*($D$4:$D$107=I$111)*($T$4:$T$107=$C138))</f>
        <v>0</v>
      </c>
      <c r="J138" s="469" cm="1">
        <f t="array" ref="J138">+SUMPRODUCT(($J$4:$J$107)*(P$4:P$107)*($C$4:$C$107=$B138)*($D$4:$D$107=J$111)*($T$4:$T$107=$C138))</f>
        <v>0</v>
      </c>
      <c r="K138" s="469" cm="1">
        <f t="array" ref="K138">+SUMPRODUCT(($J$4:$J$107)*(Q$4:Q$107)*($C$4:$C$107=$B138)*($D$4:$D$107=K$111)*($T$4:$T$107=$C138))</f>
        <v>0</v>
      </c>
      <c r="L138" s="469" cm="1">
        <f t="array" ref="L138">+SUMPRODUCT(($J$4:$J$107)*(R$4:R$107)*($C$4:$C$107=$B138)*($D$4:$D$107=L$111)*($T$4:$T$107=$C138))</f>
        <v>0</v>
      </c>
      <c r="M138" s="469" cm="1">
        <f t="array" ref="M138">+SUMPRODUCT(($J$4:$J$107)*(S$4:S$107)*($C$4:$C$107=$B138)*($D$4:$D$107=M$111)*($T$4:$T$107=$C138))</f>
        <v>0</v>
      </c>
      <c r="N138" s="470">
        <f>+(D138+I138)*Conversions!$B$3</f>
        <v>0.46967422129180619</v>
      </c>
      <c r="O138" s="461">
        <f t="shared" si="2"/>
        <v>0.92</v>
      </c>
      <c r="P138" s="470" cm="1">
        <f t="array" ref="P138">+SUMPRODUCT(($J$4:$J$107)*(M$4:M$107)*($C$4:$C$107=$B138)*($D$4:$D$107=P$111)*($T$4:$T$107=$C138))</f>
        <v>11371.928408260166</v>
      </c>
      <c r="Q138" s="470" cm="1">
        <f t="array" ref="Q138">+SUMPRODUCT(($J$4:$J$107)*(L$4:L$107)*($C$4:$C$107=$B138)*($D$4:$D$107=Q$111)*($T$4:$T$107=$C138))</f>
        <v>2006.8108955753232</v>
      </c>
      <c r="R138" s="470" cm="1">
        <f t="array" ref="R138">+SUMPRODUCT(($J$4:$J$107)*(M$4:M$107)*($C$4:$C$107=$B138)*($D$4:$D$107=R$111)*($T$4:$T$107=$C138))</f>
        <v>0</v>
      </c>
      <c r="S138" s="470" cm="1">
        <f t="array" ref="S138">+SUMPRODUCT(($J$4:$J$107)*(L$4:L$107)*($C$4:$C$107=$B138)*($D$4:$D$107=S$111)*($T$4:$T$107=$C138))</f>
        <v>0</v>
      </c>
      <c r="T138" s="461" t="s">
        <v>369</v>
      </c>
      <c r="U138" s="461" t="s">
        <v>422</v>
      </c>
      <c r="V138" s="471">
        <f t="shared" si="5"/>
        <v>1</v>
      </c>
      <c r="W138" s="471">
        <f t="shared" si="6"/>
        <v>0</v>
      </c>
      <c r="X138" s="471">
        <f t="shared" si="7"/>
        <v>1</v>
      </c>
      <c r="Y138" s="471">
        <f t="shared" si="8"/>
        <v>0</v>
      </c>
      <c r="Z138" s="471">
        <f t="shared" si="9"/>
        <v>0</v>
      </c>
      <c r="AA138" s="471">
        <f t="shared" si="10"/>
        <v>1</v>
      </c>
      <c r="AB138" s="471">
        <f t="shared" si="11"/>
        <v>0</v>
      </c>
      <c r="AC138" s="471">
        <f t="shared" si="12"/>
        <v>1</v>
      </c>
      <c r="AD138" s="471">
        <f t="shared" si="13"/>
        <v>0</v>
      </c>
      <c r="AE138" s="471">
        <f t="shared" si="14"/>
        <v>0</v>
      </c>
    </row>
    <row r="139" spans="1:31">
      <c r="A139" s="55"/>
      <c r="B139" s="467" t="s">
        <v>369</v>
      </c>
      <c r="C139" s="467" t="s">
        <v>424</v>
      </c>
      <c r="D139" s="468" cm="1">
        <f t="array" ref="D139">+SUMPRODUCT(($J$4:$J$107)*(O$4:O$107)*($C$4:$C$107=$B139)*($D$4:$D$107=D$111)*($T$4:$T$107=$C139))</f>
        <v>843768.60407193424</v>
      </c>
      <c r="E139" s="469" cm="1">
        <f t="array" ref="E139">+SUMPRODUCT(($J$4:$J$107)*(P$4:P$107)*($C$4:$C$107=$B139)*($D$4:$D$107=E$111)*($T$4:$T$107=$C139))</f>
        <v>0</v>
      </c>
      <c r="F139" s="469" cm="1">
        <f t="array" ref="F139">+SUMPRODUCT(($J$4:$J$107)*(Q$4:Q$107)*($C$4:$C$107=$B139)*($D$4:$D$107=F$111)*($T$4:$T$107=$C139))</f>
        <v>843768.60407193424</v>
      </c>
      <c r="G139" s="469" cm="1">
        <f t="array" ref="G139">+SUMPRODUCT(($J$4:$J$107)*(R$4:R$107)*($C$4:$C$107=$B139)*($D$4:$D$107=G$111)*($T$4:$T$107=$C139))</f>
        <v>0</v>
      </c>
      <c r="H139" s="469" cm="1">
        <f t="array" ref="H139">+SUMPRODUCT(($J$4:$J$107)*(S$4:S$107)*($C$4:$C$107=$B139)*($D$4:$D$107=H$111)*($T$4:$T$107=$C139))</f>
        <v>0</v>
      </c>
      <c r="I139" s="468" cm="1">
        <f t="array" ref="I139">+SUMPRODUCT(($J$4:$J$107)*(O$4:O$107)*($C$4:$C$107=$B139)*($D$4:$D$107=I$111)*($T$4:$T$107=$C139))</f>
        <v>0</v>
      </c>
      <c r="J139" s="469" cm="1">
        <f t="array" ref="J139">+SUMPRODUCT(($J$4:$J$107)*(P$4:P$107)*($C$4:$C$107=$B139)*($D$4:$D$107=J$111)*($T$4:$T$107=$C139))</f>
        <v>0</v>
      </c>
      <c r="K139" s="469" cm="1">
        <f t="array" ref="K139">+SUMPRODUCT(($J$4:$J$107)*(Q$4:Q$107)*($C$4:$C$107=$B139)*($D$4:$D$107=K$111)*($T$4:$T$107=$C139))</f>
        <v>0</v>
      </c>
      <c r="L139" s="469" cm="1">
        <f t="array" ref="L139">+SUMPRODUCT(($J$4:$J$107)*(R$4:R$107)*($C$4:$C$107=$B139)*($D$4:$D$107=L$111)*($T$4:$T$107=$C139))</f>
        <v>0</v>
      </c>
      <c r="M139" s="469" cm="1">
        <f t="array" ref="M139">+SUMPRODUCT(($J$4:$J$107)*(S$4:S$107)*($C$4:$C$107=$B139)*($D$4:$D$107=M$111)*($T$4:$T$107=$C139))</f>
        <v>0</v>
      </c>
      <c r="N139" s="470">
        <f>+(D139+I139)*Conversions!$B$3</f>
        <v>3.0375669746589633</v>
      </c>
      <c r="O139" s="461">
        <f t="shared" si="2"/>
        <v>0.85</v>
      </c>
      <c r="P139" s="470" cm="1">
        <f t="array" ref="P139">+SUMPRODUCT(($J$4:$J$107)*(M$4:M$107)*($C$4:$C$107=$B139)*($D$4:$D$107=P$111)*($T$4:$T$107=$C139))</f>
        <v>79603.498857821149</v>
      </c>
      <c r="Q139" s="470" cm="1">
        <f t="array" ref="Q139">+SUMPRODUCT(($J$4:$J$107)*(L$4:L$107)*($C$4:$C$107=$B139)*($D$4:$D$107=Q$111)*($T$4:$T$107=$C139))</f>
        <v>14047.676269027263</v>
      </c>
      <c r="R139" s="470" cm="1">
        <f t="array" ref="R139">+SUMPRODUCT(($J$4:$J$107)*(M$4:M$107)*($C$4:$C$107=$B139)*($D$4:$D$107=R$111)*($T$4:$T$107=$C139))</f>
        <v>0</v>
      </c>
      <c r="S139" s="470" cm="1">
        <f t="array" ref="S139">+SUMPRODUCT(($J$4:$J$107)*(L$4:L$107)*($C$4:$C$107=$B139)*($D$4:$D$107=S$111)*($T$4:$T$107=$C139))</f>
        <v>0</v>
      </c>
      <c r="T139" s="461" t="s">
        <v>369</v>
      </c>
      <c r="U139" s="461" t="s">
        <v>424</v>
      </c>
      <c r="V139" s="471">
        <f t="shared" si="5"/>
        <v>1</v>
      </c>
      <c r="W139" s="471">
        <f t="shared" si="6"/>
        <v>0</v>
      </c>
      <c r="X139" s="471">
        <f t="shared" si="7"/>
        <v>1</v>
      </c>
      <c r="Y139" s="471">
        <f t="shared" si="8"/>
        <v>0</v>
      </c>
      <c r="Z139" s="471">
        <f t="shared" si="9"/>
        <v>0</v>
      </c>
      <c r="AA139" s="471">
        <f t="shared" si="10"/>
        <v>1</v>
      </c>
      <c r="AB139" s="471">
        <f t="shared" si="11"/>
        <v>0</v>
      </c>
      <c r="AC139" s="471">
        <f t="shared" si="12"/>
        <v>1</v>
      </c>
      <c r="AD139" s="471">
        <f t="shared" si="13"/>
        <v>0</v>
      </c>
      <c r="AE139" s="471">
        <f t="shared" si="14"/>
        <v>0</v>
      </c>
    </row>
    <row r="140" spans="1:31">
      <c r="B140" s="448" t="s">
        <v>372</v>
      </c>
      <c r="C140" s="448" t="s">
        <v>420</v>
      </c>
      <c r="D140" s="440" cm="1">
        <f t="array" ref="D140">+SUMPRODUCT(($J$4:$J$107)*(O$4:O$107)*($C$4:$C$107=$B140)*($D$4:$D$107=D$111)*($T$4:$T$107=$C140))</f>
        <v>526915.79015837703</v>
      </c>
      <c r="E140" s="432" cm="1">
        <f t="array" ref="E140">+SUMPRODUCT(($J$4:$J$107)*(P$4:P$107)*($C$4:$C$107=$B140)*($D$4:$D$107=E$111)*($T$4:$T$107=$C140))</f>
        <v>0</v>
      </c>
      <c r="F140" s="432" cm="1">
        <f t="array" ref="F140">+SUMPRODUCT(($J$4:$J$107)*(Q$4:Q$107)*($C$4:$C$107=$B140)*($D$4:$D$107=F$111)*($T$4:$T$107=$C140))</f>
        <v>0</v>
      </c>
      <c r="G140" s="432" cm="1">
        <f t="array" ref="G140">+SUMPRODUCT(($J$4:$J$107)*(R$4:R$107)*($C$4:$C$107=$B140)*($D$4:$D$107=G$111)*($T$4:$T$107=$C140))</f>
        <v>526915.79015837703</v>
      </c>
      <c r="H140" s="432" cm="1">
        <f t="array" ref="H140">+SUMPRODUCT(($J$4:$J$107)*(S$4:S$107)*($C$4:$C$107=$B140)*($D$4:$D$107=H$111)*($T$4:$T$107=$C140))</f>
        <v>0</v>
      </c>
      <c r="I140" s="440" cm="1">
        <f t="array" ref="I140">+SUMPRODUCT(($J$4:$J$107)*(O$4:O$107)*($C$4:$C$107=$B140)*($D$4:$D$107=I$111)*($T$4:$T$107=$C140))</f>
        <v>209648.84077477333</v>
      </c>
      <c r="J140" s="432" cm="1">
        <f t="array" ref="J140">+SUMPRODUCT(($J$4:$J$107)*(P$4:P$107)*($C$4:$C$107=$B140)*($D$4:$D$107=J$111)*($T$4:$T$107=$C140))</f>
        <v>0</v>
      </c>
      <c r="K140" s="432" cm="1">
        <f t="array" ref="K140">+SUMPRODUCT(($J$4:$J$107)*(Q$4:Q$107)*($C$4:$C$107=$B140)*($D$4:$D$107=K$111)*($T$4:$T$107=$C140))</f>
        <v>0</v>
      </c>
      <c r="L140" s="432" cm="1">
        <f t="array" ref="L140">+SUMPRODUCT(($J$4:$J$107)*(R$4:R$107)*($C$4:$C$107=$B140)*($D$4:$D$107=L$111)*($T$4:$T$107=$C140))</f>
        <v>209648.84077477333</v>
      </c>
      <c r="M140" s="432" cm="1">
        <f t="array" ref="M140">+SUMPRODUCT(($J$4:$J$107)*(S$4:S$107)*($C$4:$C$107=$B140)*($D$4:$D$107=M$111)*($T$4:$T$107=$C140))</f>
        <v>0</v>
      </c>
      <c r="N140" s="425">
        <f>+(D140+I140)*Conversions!$B$3</f>
        <v>2.6516326713593417</v>
      </c>
      <c r="O140" s="404">
        <f t="shared" si="2"/>
        <v>0.92</v>
      </c>
      <c r="P140" s="425" cm="1">
        <f t="array" ref="P140">+SUMPRODUCT(($J$4:$J$107)*(M$4:M$107)*($C$4:$C$107=$B140)*($D$4:$D$107=P$111)*($T$4:$T$107=$C140))</f>
        <v>118332.43357245556</v>
      </c>
      <c r="Q140" s="425" cm="1">
        <f t="array" ref="Q140">+SUMPRODUCT(($J$4:$J$107)*(L$4:L$107)*($C$4:$C$107=$B140)*($D$4:$D$107=Q$111)*($T$4:$T$107=$C140))</f>
        <v>1195.2771067924805</v>
      </c>
      <c r="R140" s="425" cm="1">
        <f t="array" ref="R140">+SUMPRODUCT(($J$4:$J$107)*(M$4:M$107)*($C$4:$C$107=$B140)*($D$4:$D$107=R$111)*($T$4:$T$107=$C140))</f>
        <v>42945.273513057378</v>
      </c>
      <c r="S140" s="425" cm="1">
        <f t="array" ref="S140">+SUMPRODUCT(($J$4:$J$107)*(L$4:L$107)*($C$4:$C$107=$B140)*($D$4:$D$107=S$111)*($T$4:$T$107=$C140))</f>
        <v>433.79064154603412</v>
      </c>
      <c r="T140" s="404" t="s">
        <v>372</v>
      </c>
      <c r="U140" s="404" t="s">
        <v>420</v>
      </c>
      <c r="V140" s="455">
        <f t="shared" si="5"/>
        <v>1</v>
      </c>
      <c r="W140" s="455">
        <f t="shared" si="6"/>
        <v>0</v>
      </c>
      <c r="X140" s="455">
        <f t="shared" si="7"/>
        <v>0</v>
      </c>
      <c r="Y140" s="455">
        <f t="shared" si="8"/>
        <v>1</v>
      </c>
      <c r="Z140" s="455">
        <f t="shared" si="9"/>
        <v>0</v>
      </c>
      <c r="AA140" s="455">
        <f t="shared" si="10"/>
        <v>1</v>
      </c>
      <c r="AB140" s="455">
        <f t="shared" si="11"/>
        <v>0</v>
      </c>
      <c r="AC140" s="455">
        <f t="shared" si="12"/>
        <v>0</v>
      </c>
      <c r="AD140" s="455">
        <f t="shared" si="13"/>
        <v>1</v>
      </c>
      <c r="AE140" s="455">
        <f t="shared" si="14"/>
        <v>0</v>
      </c>
    </row>
    <row r="141" spans="1:31">
      <c r="B141" s="448" t="s">
        <v>372</v>
      </c>
      <c r="C141" s="448" t="s">
        <v>422</v>
      </c>
      <c r="D141" s="440" cm="1">
        <f t="array" ref="D141">+SUMPRODUCT(($J$4:$J$107)*(O$4:O$107)*($C$4:$C$107=$B141)*($D$4:$D$107=D$111)*($T$4:$T$107=$C141))</f>
        <v>351277.19343891798</v>
      </c>
      <c r="E141" s="432" cm="1">
        <f t="array" ref="E141">+SUMPRODUCT(($J$4:$J$107)*(P$4:P$107)*($C$4:$C$107=$B141)*($D$4:$D$107=E$111)*($T$4:$T$107=$C141))</f>
        <v>0</v>
      </c>
      <c r="F141" s="432" cm="1">
        <f t="array" ref="F141">+SUMPRODUCT(($J$4:$J$107)*(Q$4:Q$107)*($C$4:$C$107=$B141)*($D$4:$D$107=F$111)*($T$4:$T$107=$C141))</f>
        <v>0</v>
      </c>
      <c r="G141" s="432" cm="1">
        <f t="array" ref="G141">+SUMPRODUCT(($J$4:$J$107)*(R$4:R$107)*($C$4:$C$107=$B141)*($D$4:$D$107=G$111)*($T$4:$T$107=$C141))</f>
        <v>351277.19343891798</v>
      </c>
      <c r="H141" s="432" cm="1">
        <f t="array" ref="H141">+SUMPRODUCT(($J$4:$J$107)*(S$4:S$107)*($C$4:$C$107=$B141)*($D$4:$D$107=H$111)*($T$4:$T$107=$C141))</f>
        <v>0</v>
      </c>
      <c r="I141" s="440" cm="1">
        <f t="array" ref="I141">+SUMPRODUCT(($J$4:$J$107)*(O$4:O$107)*($C$4:$C$107=$B141)*($D$4:$D$107=I$111)*($T$4:$T$107=$C141))</f>
        <v>314473.26116215991</v>
      </c>
      <c r="J141" s="432" cm="1">
        <f t="array" ref="J141">+SUMPRODUCT(($J$4:$J$107)*(P$4:P$107)*($C$4:$C$107=$B141)*($D$4:$D$107=J$111)*($T$4:$T$107=$C141))</f>
        <v>0</v>
      </c>
      <c r="K141" s="432" cm="1">
        <f t="array" ref="K141">+SUMPRODUCT(($J$4:$J$107)*(Q$4:Q$107)*($C$4:$C$107=$B141)*($D$4:$D$107=K$111)*($T$4:$T$107=$C141))</f>
        <v>0</v>
      </c>
      <c r="L141" s="432" cm="1">
        <f t="array" ref="L141">+SUMPRODUCT(($J$4:$J$107)*(R$4:R$107)*($C$4:$C$107=$B141)*($D$4:$D$107=L$111)*($T$4:$T$107=$C141))</f>
        <v>314473.26116215991</v>
      </c>
      <c r="M141" s="432" cm="1">
        <f t="array" ref="M141">+SUMPRODUCT(($J$4:$J$107)*(S$4:S$107)*($C$4:$C$107=$B141)*($D$4:$D$107=M$111)*($T$4:$T$107=$C141))</f>
        <v>0</v>
      </c>
      <c r="N141" s="425">
        <f>+(D141+I141)*Conversions!$B$3</f>
        <v>2.3967016365638805</v>
      </c>
      <c r="O141" s="404">
        <f t="shared" si="2"/>
        <v>0.92</v>
      </c>
      <c r="P141" s="425" cm="1">
        <f t="array" ref="P141">+SUMPRODUCT(($J$4:$J$107)*(M$4:M$107)*($C$4:$C$107=$B141)*($D$4:$D$107=P$111)*($T$4:$T$107=$C141))</f>
        <v>78888.289048303704</v>
      </c>
      <c r="Q141" s="425" cm="1">
        <f t="array" ref="Q141">+SUMPRODUCT(($J$4:$J$107)*(L$4:L$107)*($C$4:$C$107=$B141)*($D$4:$D$107=Q$111)*($T$4:$T$107=$C141))</f>
        <v>796.85140452832024</v>
      </c>
      <c r="R141" s="425" cm="1">
        <f t="array" ref="R141">+SUMPRODUCT(($J$4:$J$107)*(M$4:M$107)*($C$4:$C$107=$B141)*($D$4:$D$107=R$111)*($T$4:$T$107=$C141))</f>
        <v>64417.910269586071</v>
      </c>
      <c r="S141" s="425" cm="1">
        <f t="array" ref="S141">+SUMPRODUCT(($J$4:$J$107)*(L$4:L$107)*($C$4:$C$107=$B141)*($D$4:$D$107=S$111)*($T$4:$T$107=$C141))</f>
        <v>650.68596231905133</v>
      </c>
      <c r="T141" s="404" t="s">
        <v>372</v>
      </c>
      <c r="U141" s="404" t="s">
        <v>422</v>
      </c>
      <c r="V141" s="455">
        <f t="shared" si="5"/>
        <v>1</v>
      </c>
      <c r="W141" s="455">
        <f t="shared" si="6"/>
        <v>0</v>
      </c>
      <c r="X141" s="455">
        <f t="shared" si="7"/>
        <v>0</v>
      </c>
      <c r="Y141" s="455">
        <f t="shared" si="8"/>
        <v>1</v>
      </c>
      <c r="Z141" s="455">
        <f t="shared" si="9"/>
        <v>0</v>
      </c>
      <c r="AA141" s="455">
        <f t="shared" si="10"/>
        <v>1</v>
      </c>
      <c r="AB141" s="455">
        <f t="shared" si="11"/>
        <v>0</v>
      </c>
      <c r="AC141" s="455">
        <f t="shared" si="12"/>
        <v>0</v>
      </c>
      <c r="AD141" s="455">
        <f t="shared" si="13"/>
        <v>1</v>
      </c>
      <c r="AE141" s="455">
        <f t="shared" si="14"/>
        <v>0</v>
      </c>
    </row>
    <row r="142" spans="1:31">
      <c r="B142" s="395"/>
      <c r="C142" s="395"/>
      <c r="D142" s="437">
        <f>SUM(D113:D141)-D137-D138-D139</f>
        <v>12350780.233544404</v>
      </c>
      <c r="E142" s="437">
        <f t="shared" ref="E142:N142" si="15">SUM(E113:E141)</f>
        <v>4006914.4091557702</v>
      </c>
      <c r="F142" s="437">
        <f>SUM(F113:F141)-F137-F138-F139</f>
        <v>4140387.2639418845</v>
      </c>
      <c r="G142" s="437">
        <f t="shared" si="15"/>
        <v>3389234.4878916224</v>
      </c>
      <c r="H142" s="437">
        <f t="shared" si="15"/>
        <v>814244.07255512348</v>
      </c>
      <c r="I142" s="437">
        <f t="shared" si="15"/>
        <v>3956203.1100926269</v>
      </c>
      <c r="J142" s="437">
        <f t="shared" si="15"/>
        <v>481120.46186116297</v>
      </c>
      <c r="K142" s="437">
        <f t="shared" si="15"/>
        <v>793734.9686776211</v>
      </c>
      <c r="L142" s="437">
        <f t="shared" si="15"/>
        <v>2161727.841072239</v>
      </c>
      <c r="M142" s="437">
        <f t="shared" si="15"/>
        <v>519619.83848160401</v>
      </c>
      <c r="N142" s="444">
        <f t="shared" si="15"/>
        <v>62.722896690969947</v>
      </c>
      <c r="O142" s="445"/>
      <c r="P142" s="444">
        <f>SUM(P113:P141)*Conversions!$B$3</f>
        <v>8.6134218337852246</v>
      </c>
      <c r="Q142" s="444">
        <f>SUM(Q113:Q141)*Conversions!$B$3</f>
        <v>2.0278034843646036</v>
      </c>
      <c r="R142" s="444">
        <f>SUM(R113:R141)*Conversions!$B$3</f>
        <v>7.600250652812055</v>
      </c>
      <c r="S142" s="444">
        <f>SUM(S113:S141)*Conversions!$B$3</f>
        <v>0.86450901977898387</v>
      </c>
      <c r="T142" s="445"/>
      <c r="U142" s="445"/>
      <c r="V142" s="445"/>
      <c r="W142" s="445"/>
      <c r="X142" s="445"/>
      <c r="Y142" s="445"/>
      <c r="Z142" s="445"/>
      <c r="AA142" s="445"/>
      <c r="AB142" s="445"/>
      <c r="AC142" s="445"/>
      <c r="AD142" s="445"/>
      <c r="AE142" s="445"/>
    </row>
    <row r="143" spans="1:31">
      <c r="B143" s="388"/>
      <c r="C143" s="388"/>
      <c r="D143" s="35">
        <f>+D142*Conversions!$B$3</f>
        <v>44.462808840759855</v>
      </c>
      <c r="E143" s="35">
        <f>+E142*Conversions!$B$3</f>
        <v>14.424891872960774</v>
      </c>
      <c r="F143" s="35">
        <f>+F142*Conversions!$B$3</f>
        <v>14.905394150190785</v>
      </c>
      <c r="G143" s="35">
        <f>+G142*Conversions!$B$3</f>
        <v>12.201244156409841</v>
      </c>
      <c r="H143" s="35">
        <f>+H142*Conversions!$B$3</f>
        <v>2.9312786611984447</v>
      </c>
      <c r="I143" s="35">
        <f>+I142*Conversions!$B$3</f>
        <v>14.242331196333458</v>
      </c>
      <c r="J143" s="35">
        <f>+J142*Conversions!$B$3</f>
        <v>1.7320336627001869</v>
      </c>
      <c r="K143" s="35">
        <f>+K142*Conversions!$B$3</f>
        <v>2.8574458872394364</v>
      </c>
      <c r="L143" s="35">
        <f>+L142*Conversions!$B$3</f>
        <v>7.7822202278600612</v>
      </c>
      <c r="M143" s="35">
        <f>+M142*Conversions!$B$3</f>
        <v>1.8706314185337745</v>
      </c>
    </row>
    <row r="145" spans="2:31">
      <c r="D145" s="375" t="s">
        <v>354</v>
      </c>
      <c r="E145" s="375" t="s">
        <v>354</v>
      </c>
      <c r="F145" s="375" t="s">
        <v>354</v>
      </c>
      <c r="G145" s="375" t="s">
        <v>354</v>
      </c>
      <c r="H145" s="375" t="s">
        <v>354</v>
      </c>
      <c r="I145" s="375" t="s">
        <v>354</v>
      </c>
      <c r="J145" s="376" t="s">
        <v>394</v>
      </c>
      <c r="K145" s="376" t="s">
        <v>394</v>
      </c>
      <c r="L145" s="376" t="s">
        <v>394</v>
      </c>
      <c r="M145" s="376" t="s">
        <v>394</v>
      </c>
      <c r="N145" s="376" t="s">
        <v>394</v>
      </c>
      <c r="O145" s="376" t="s">
        <v>394</v>
      </c>
      <c r="T145" s="375" t="s">
        <v>354</v>
      </c>
      <c r="U145" s="375" t="s">
        <v>354</v>
      </c>
      <c r="V145" s="375" t="s">
        <v>354</v>
      </c>
      <c r="W145" s="375" t="s">
        <v>354</v>
      </c>
      <c r="X145" s="375" t="s">
        <v>354</v>
      </c>
      <c r="Y145" s="375" t="s">
        <v>354</v>
      </c>
      <c r="Z145" s="376" t="s">
        <v>394</v>
      </c>
      <c r="AA145" s="376" t="s">
        <v>394</v>
      </c>
      <c r="AB145" s="376" t="s">
        <v>394</v>
      </c>
      <c r="AC145" s="376" t="s">
        <v>394</v>
      </c>
      <c r="AD145" s="376" t="s">
        <v>394</v>
      </c>
      <c r="AE145" s="376" t="s">
        <v>394</v>
      </c>
    </row>
    <row r="146" spans="2:31">
      <c r="D146" t="s">
        <v>361</v>
      </c>
      <c r="E146" t="s">
        <v>363</v>
      </c>
      <c r="F146" t="s">
        <v>365</v>
      </c>
      <c r="G146" t="s">
        <v>358</v>
      </c>
      <c r="H146" t="s">
        <v>356</v>
      </c>
      <c r="I146" t="s">
        <v>374</v>
      </c>
      <c r="J146" t="s">
        <v>361</v>
      </c>
      <c r="K146" t="s">
        <v>363</v>
      </c>
      <c r="L146" t="s">
        <v>365</v>
      </c>
      <c r="M146" t="s">
        <v>358</v>
      </c>
      <c r="N146" t="s">
        <v>356</v>
      </c>
      <c r="O146" t="s">
        <v>374</v>
      </c>
      <c r="T146" t="s">
        <v>361</v>
      </c>
      <c r="U146" t="s">
        <v>363</v>
      </c>
      <c r="V146" t="s">
        <v>365</v>
      </c>
      <c r="W146" t="s">
        <v>358</v>
      </c>
      <c r="X146" t="s">
        <v>356</v>
      </c>
      <c r="Y146" t="s">
        <v>374</v>
      </c>
      <c r="Z146" t="s">
        <v>361</v>
      </c>
      <c r="AA146" t="s">
        <v>363</v>
      </c>
      <c r="AB146" t="s">
        <v>365</v>
      </c>
      <c r="AC146" t="s">
        <v>358</v>
      </c>
      <c r="AD146" t="s">
        <v>356</v>
      </c>
      <c r="AE146" t="s">
        <v>374</v>
      </c>
    </row>
    <row r="147" spans="2:31">
      <c r="B147" s="395" t="s">
        <v>359</v>
      </c>
      <c r="C147" s="395" t="s">
        <v>419</v>
      </c>
      <c r="D147" s="396">
        <f t="shared" ref="D147:O156" si="16">+SUMIFS($J$4:$J$107,$C$4:$C$107,$B147,$T$4:$T$107,$C147,$F$4:$F$107,D$146,$D$4:$D$107,D$145)</f>
        <v>0.58521504992915563</v>
      </c>
      <c r="E147" s="396">
        <f t="shared" si="16"/>
        <v>0.8166913745845078</v>
      </c>
      <c r="F147" s="396">
        <f t="shared" si="16"/>
        <v>2.5664154172803317</v>
      </c>
      <c r="G147" s="396">
        <f t="shared" si="16"/>
        <v>3.1544078347838532E-2</v>
      </c>
      <c r="H147" s="396">
        <f t="shared" si="16"/>
        <v>1.3407985816647636E-4</v>
      </c>
      <c r="I147" s="396">
        <f t="shared" si="16"/>
        <v>0</v>
      </c>
      <c r="J147" s="396">
        <f t="shared" si="16"/>
        <v>0</v>
      </c>
      <c r="K147" s="396">
        <f t="shared" si="16"/>
        <v>0</v>
      </c>
      <c r="L147" s="396">
        <f t="shared" si="16"/>
        <v>0</v>
      </c>
      <c r="M147" s="396">
        <f t="shared" si="16"/>
        <v>0</v>
      </c>
      <c r="N147" s="396">
        <f t="shared" si="16"/>
        <v>0</v>
      </c>
      <c r="O147" s="396">
        <f t="shared" si="16"/>
        <v>0</v>
      </c>
      <c r="R147" s="395" t="s">
        <v>359</v>
      </c>
      <c r="S147" s="395" t="s">
        <v>419</v>
      </c>
      <c r="T147" s="415">
        <f>+$D113/$O113*D179</f>
        <v>455688.4596582856</v>
      </c>
      <c r="U147" s="415">
        <f t="shared" ref="U147:U175" si="17">+$D113/$O113*E179</f>
        <v>635931.75627604674</v>
      </c>
      <c r="V147" s="415">
        <f t="shared" ref="V147:V175" si="18">+$D113/$O113*F179</f>
        <v>1998386.5563357011</v>
      </c>
      <c r="W147" s="415">
        <f t="shared" ref="W147:W175" si="19">+$D113/$O113*G179</f>
        <v>24562.376643264601</v>
      </c>
      <c r="X147" s="415">
        <f t="shared" ref="X147:X175" si="20">+$D113/$O113*H179</f>
        <v>104.40374704389342</v>
      </c>
      <c r="Y147" s="415">
        <f t="shared" ref="Y147:Y175" si="21">+$D113/$O113*I179</f>
        <v>0</v>
      </c>
      <c r="Z147" s="415">
        <f t="shared" ref="Z147:Z175" si="22">+$I113/$O113*J179</f>
        <v>0</v>
      </c>
      <c r="AA147" s="415">
        <f t="shared" ref="AA147:AA175" si="23">+$I113/$O113*K179</f>
        <v>0</v>
      </c>
      <c r="AB147" s="415">
        <f t="shared" ref="AB147:AB175" si="24">+$I113/$O113*L179</f>
        <v>0</v>
      </c>
      <c r="AC147" s="415">
        <f t="shared" ref="AC147:AC175" si="25">+$I113/$O113*M179</f>
        <v>0</v>
      </c>
      <c r="AD147" s="415">
        <f t="shared" ref="AD147:AD175" si="26">+$I113/$O113*N179</f>
        <v>0</v>
      </c>
      <c r="AE147" s="415">
        <f t="shared" ref="AE147:AE175" si="27">+$I113/$O113*O179</f>
        <v>0</v>
      </c>
    </row>
    <row r="148" spans="2:31">
      <c r="B148" s="395" t="s">
        <v>359</v>
      </c>
      <c r="C148" s="397" t="s">
        <v>420</v>
      </c>
      <c r="D148" s="396">
        <f t="shared" si="16"/>
        <v>0.58521504992915563</v>
      </c>
      <c r="E148" s="396">
        <f t="shared" si="16"/>
        <v>0.8166913745845078</v>
      </c>
      <c r="F148" s="396">
        <f t="shared" si="16"/>
        <v>2.5664154172803317</v>
      </c>
      <c r="G148" s="396">
        <f t="shared" si="16"/>
        <v>3.1544078347838525E-2</v>
      </c>
      <c r="H148" s="396">
        <f t="shared" si="16"/>
        <v>1.3407985816647636E-4</v>
      </c>
      <c r="I148" s="396">
        <f t="shared" si="16"/>
        <v>0</v>
      </c>
      <c r="J148" s="396">
        <f t="shared" si="16"/>
        <v>0</v>
      </c>
      <c r="K148" s="396">
        <f t="shared" si="16"/>
        <v>0</v>
      </c>
      <c r="L148" s="396">
        <f t="shared" si="16"/>
        <v>0</v>
      </c>
      <c r="M148" s="396">
        <f t="shared" si="16"/>
        <v>0</v>
      </c>
      <c r="N148" s="396">
        <f t="shared" si="16"/>
        <v>0</v>
      </c>
      <c r="O148" s="396">
        <f t="shared" si="16"/>
        <v>0</v>
      </c>
      <c r="R148" s="395" t="s">
        <v>359</v>
      </c>
      <c r="S148" s="397" t="s">
        <v>420</v>
      </c>
      <c r="T148" s="415">
        <f t="shared" ref="T148:T175" si="28">+$D114/$O114*D180</f>
        <v>14093.457515204713</v>
      </c>
      <c r="U148" s="415">
        <f t="shared" si="17"/>
        <v>19667.992462145779</v>
      </c>
      <c r="V148" s="415">
        <f t="shared" si="18"/>
        <v>61805.769783578398</v>
      </c>
      <c r="W148" s="415">
        <f t="shared" si="19"/>
        <v>759.66113329684333</v>
      </c>
      <c r="X148" s="415">
        <f t="shared" si="20"/>
        <v>3.2289818673369104</v>
      </c>
      <c r="Y148" s="415">
        <f t="shared" si="21"/>
        <v>0</v>
      </c>
      <c r="Z148" s="415">
        <f t="shared" si="22"/>
        <v>0</v>
      </c>
      <c r="AA148" s="415">
        <f t="shared" si="23"/>
        <v>0</v>
      </c>
      <c r="AB148" s="415">
        <f t="shared" si="24"/>
        <v>0</v>
      </c>
      <c r="AC148" s="415">
        <f t="shared" si="25"/>
        <v>0</v>
      </c>
      <c r="AD148" s="415">
        <f t="shared" si="26"/>
        <v>0</v>
      </c>
      <c r="AE148" s="415">
        <f t="shared" si="27"/>
        <v>0</v>
      </c>
    </row>
    <row r="149" spans="2:31">
      <c r="B149" s="398" t="s">
        <v>387</v>
      </c>
      <c r="C149" s="399" t="s">
        <v>420</v>
      </c>
      <c r="D149" s="400">
        <f t="shared" si="16"/>
        <v>0</v>
      </c>
      <c r="E149" s="400">
        <f t="shared" si="16"/>
        <v>0</v>
      </c>
      <c r="F149" s="400">
        <f t="shared" si="16"/>
        <v>0</v>
      </c>
      <c r="G149" s="400">
        <f t="shared" si="16"/>
        <v>0</v>
      </c>
      <c r="H149" s="400">
        <f t="shared" si="16"/>
        <v>0</v>
      </c>
      <c r="I149" s="400">
        <f t="shared" si="16"/>
        <v>0</v>
      </c>
      <c r="J149" s="400">
        <f t="shared" si="16"/>
        <v>0</v>
      </c>
      <c r="K149" s="400">
        <f t="shared" si="16"/>
        <v>0</v>
      </c>
      <c r="L149" s="400">
        <f t="shared" si="16"/>
        <v>17.665492337474817</v>
      </c>
      <c r="M149" s="400">
        <f t="shared" si="16"/>
        <v>19.156758725838724</v>
      </c>
      <c r="N149" s="400">
        <f t="shared" si="16"/>
        <v>142.17774893668644</v>
      </c>
      <c r="O149" s="400">
        <f t="shared" si="16"/>
        <v>0</v>
      </c>
      <c r="R149" s="398" t="s">
        <v>387</v>
      </c>
      <c r="S149" s="399" t="s">
        <v>420</v>
      </c>
      <c r="T149" s="416">
        <f t="shared" si="28"/>
        <v>0</v>
      </c>
      <c r="U149" s="416">
        <f t="shared" si="17"/>
        <v>0</v>
      </c>
      <c r="V149" s="416">
        <f t="shared" si="18"/>
        <v>0</v>
      </c>
      <c r="W149" s="416">
        <f t="shared" si="19"/>
        <v>0</v>
      </c>
      <c r="X149" s="416">
        <f t="shared" si="20"/>
        <v>0</v>
      </c>
      <c r="Y149" s="416">
        <f t="shared" si="21"/>
        <v>0</v>
      </c>
      <c r="Z149" s="416">
        <f t="shared" si="22"/>
        <v>0</v>
      </c>
      <c r="AA149" s="416">
        <f t="shared" si="23"/>
        <v>0</v>
      </c>
      <c r="AB149" s="416">
        <f t="shared" si="24"/>
        <v>4957.2110086206185</v>
      </c>
      <c r="AC149" s="416">
        <f t="shared" si="25"/>
        <v>5375.6834755046184</v>
      </c>
      <c r="AD149" s="416">
        <f t="shared" si="26"/>
        <v>39897.280457601351</v>
      </c>
      <c r="AE149" s="416">
        <f t="shared" si="27"/>
        <v>0</v>
      </c>
    </row>
    <row r="150" spans="2:31">
      <c r="B150" s="398" t="s">
        <v>387</v>
      </c>
      <c r="C150" s="398" t="s">
        <v>421</v>
      </c>
      <c r="D150" s="400">
        <f t="shared" si="16"/>
        <v>0</v>
      </c>
      <c r="E150" s="400">
        <f t="shared" si="16"/>
        <v>0</v>
      </c>
      <c r="F150" s="400">
        <f t="shared" si="16"/>
        <v>0</v>
      </c>
      <c r="G150" s="400">
        <f t="shared" si="16"/>
        <v>1.3359234794974353</v>
      </c>
      <c r="H150" s="400">
        <f t="shared" si="16"/>
        <v>17.664076520502565</v>
      </c>
      <c r="I150" s="400">
        <f t="shared" si="16"/>
        <v>0</v>
      </c>
      <c r="J150" s="400">
        <f t="shared" si="16"/>
        <v>0</v>
      </c>
      <c r="K150" s="400">
        <f t="shared" si="16"/>
        <v>0</v>
      </c>
      <c r="L150" s="400">
        <f t="shared" si="16"/>
        <v>17.665492337474817</v>
      </c>
      <c r="M150" s="400">
        <f t="shared" si="16"/>
        <v>19.156758725838724</v>
      </c>
      <c r="N150" s="400">
        <f t="shared" si="16"/>
        <v>142.17774893668644</v>
      </c>
      <c r="O150" s="400">
        <f t="shared" si="16"/>
        <v>0</v>
      </c>
      <c r="R150" s="398" t="s">
        <v>387</v>
      </c>
      <c r="S150" s="398" t="s">
        <v>421</v>
      </c>
      <c r="T150" s="416">
        <f t="shared" si="28"/>
        <v>0</v>
      </c>
      <c r="U150" s="416">
        <f t="shared" si="17"/>
        <v>0</v>
      </c>
      <c r="V150" s="416">
        <f t="shared" si="18"/>
        <v>0</v>
      </c>
      <c r="W150" s="416">
        <f t="shared" si="19"/>
        <v>37167.950638455513</v>
      </c>
      <c r="X150" s="416">
        <f t="shared" si="20"/>
        <v>491448.45065147366</v>
      </c>
      <c r="Y150" s="416">
        <f t="shared" si="21"/>
        <v>0</v>
      </c>
      <c r="Z150" s="416">
        <f t="shared" si="22"/>
        <v>0</v>
      </c>
      <c r="AA150" s="416">
        <f t="shared" si="23"/>
        <v>0</v>
      </c>
      <c r="AB150" s="416">
        <f t="shared" si="24"/>
        <v>19828.844034482474</v>
      </c>
      <c r="AC150" s="416">
        <f t="shared" si="25"/>
        <v>21502.733902018474</v>
      </c>
      <c r="AD150" s="416">
        <f t="shared" si="26"/>
        <v>159589.12183040541</v>
      </c>
      <c r="AE150" s="416">
        <f t="shared" si="27"/>
        <v>0</v>
      </c>
    </row>
    <row r="151" spans="2:31">
      <c r="B151" s="398" t="s">
        <v>387</v>
      </c>
      <c r="C151" s="399" t="s">
        <v>422</v>
      </c>
      <c r="D151" s="400">
        <f t="shared" si="16"/>
        <v>0</v>
      </c>
      <c r="E151" s="400">
        <f t="shared" si="16"/>
        <v>0</v>
      </c>
      <c r="F151" s="400">
        <f t="shared" si="16"/>
        <v>0</v>
      </c>
      <c r="G151" s="400">
        <f t="shared" si="16"/>
        <v>2.6718469589948715</v>
      </c>
      <c r="H151" s="400">
        <f t="shared" si="16"/>
        <v>35.32815304100513</v>
      </c>
      <c r="I151" s="400">
        <f t="shared" si="16"/>
        <v>0</v>
      </c>
      <c r="J151" s="400">
        <f t="shared" si="16"/>
        <v>0</v>
      </c>
      <c r="K151" s="400">
        <f t="shared" si="16"/>
        <v>0</v>
      </c>
      <c r="L151" s="400">
        <f t="shared" si="16"/>
        <v>17.665492337474813</v>
      </c>
      <c r="M151" s="400">
        <f t="shared" si="16"/>
        <v>19.156758725838721</v>
      </c>
      <c r="N151" s="400">
        <f t="shared" si="16"/>
        <v>142.17774893668644</v>
      </c>
      <c r="O151" s="400">
        <f t="shared" si="16"/>
        <v>0</v>
      </c>
      <c r="R151" s="398" t="s">
        <v>387</v>
      </c>
      <c r="S151" s="399" t="s">
        <v>422</v>
      </c>
      <c r="T151" s="416">
        <f t="shared" si="28"/>
        <v>0</v>
      </c>
      <c r="U151" s="416">
        <f t="shared" si="17"/>
        <v>0</v>
      </c>
      <c r="V151" s="416">
        <f t="shared" si="18"/>
        <v>0</v>
      </c>
      <c r="W151" s="416">
        <f t="shared" si="19"/>
        <v>33451.155574609969</v>
      </c>
      <c r="X151" s="416">
        <f t="shared" si="20"/>
        <v>442303.60558632627</v>
      </c>
      <c r="Y151" s="416">
        <f t="shared" si="21"/>
        <v>0</v>
      </c>
      <c r="Z151" s="416">
        <f t="shared" si="22"/>
        <v>0</v>
      </c>
      <c r="AA151" s="416">
        <f t="shared" si="23"/>
        <v>0</v>
      </c>
      <c r="AB151" s="416">
        <f t="shared" si="24"/>
        <v>69400.954120688635</v>
      </c>
      <c r="AC151" s="416">
        <f t="shared" si="25"/>
        <v>75259.568657064636</v>
      </c>
      <c r="AD151" s="416">
        <f t="shared" si="26"/>
        <v>558561.92640641902</v>
      </c>
      <c r="AE151" s="416">
        <f t="shared" si="27"/>
        <v>0</v>
      </c>
    </row>
    <row r="152" spans="2:31">
      <c r="B152" s="398" t="s">
        <v>387</v>
      </c>
      <c r="C152" s="399" t="s">
        <v>423</v>
      </c>
      <c r="D152" s="400">
        <f t="shared" si="16"/>
        <v>0</v>
      </c>
      <c r="E152" s="400">
        <f t="shared" si="16"/>
        <v>0</v>
      </c>
      <c r="F152" s="400">
        <f t="shared" si="16"/>
        <v>0</v>
      </c>
      <c r="G152" s="400">
        <f t="shared" si="16"/>
        <v>1.3359234794974357</v>
      </c>
      <c r="H152" s="400">
        <f t="shared" si="16"/>
        <v>17.664076520502565</v>
      </c>
      <c r="I152" s="400">
        <f t="shared" si="16"/>
        <v>0</v>
      </c>
      <c r="J152" s="400">
        <f t="shared" si="16"/>
        <v>0</v>
      </c>
      <c r="K152" s="400">
        <f t="shared" si="16"/>
        <v>0</v>
      </c>
      <c r="L152" s="400">
        <f t="shared" si="16"/>
        <v>17.665492337474817</v>
      </c>
      <c r="M152" s="400">
        <f t="shared" si="16"/>
        <v>19.156758725838724</v>
      </c>
      <c r="N152" s="400">
        <f t="shared" si="16"/>
        <v>142.17774893668644</v>
      </c>
      <c r="O152" s="400">
        <f t="shared" si="16"/>
        <v>0</v>
      </c>
      <c r="R152" s="398" t="s">
        <v>387</v>
      </c>
      <c r="S152" s="399" t="s">
        <v>423</v>
      </c>
      <c r="T152" s="416">
        <f t="shared" si="28"/>
        <v>0</v>
      </c>
      <c r="U152" s="416">
        <f t="shared" si="17"/>
        <v>0</v>
      </c>
      <c r="V152" s="416">
        <f t="shared" si="18"/>
        <v>0</v>
      </c>
      <c r="W152" s="416">
        <f t="shared" si="19"/>
        <v>3716.7950638455518</v>
      </c>
      <c r="X152" s="416">
        <f t="shared" si="20"/>
        <v>49144.845065147361</v>
      </c>
      <c r="Y152" s="416">
        <f t="shared" si="21"/>
        <v>0</v>
      </c>
      <c r="Z152" s="416">
        <f t="shared" si="22"/>
        <v>0</v>
      </c>
      <c r="AA152" s="416">
        <f t="shared" si="23"/>
        <v>0</v>
      </c>
      <c r="AB152" s="416">
        <f t="shared" si="24"/>
        <v>4957.2110086206185</v>
      </c>
      <c r="AC152" s="416">
        <f t="shared" si="25"/>
        <v>5375.6834755046184</v>
      </c>
      <c r="AD152" s="416">
        <f t="shared" si="26"/>
        <v>39897.280457601351</v>
      </c>
      <c r="AE152" s="416">
        <f t="shared" si="27"/>
        <v>0</v>
      </c>
    </row>
    <row r="153" spans="2:31">
      <c r="B153" s="401" t="s">
        <v>377</v>
      </c>
      <c r="C153" s="401" t="s">
        <v>420</v>
      </c>
      <c r="D153" s="402">
        <f t="shared" si="16"/>
        <v>0</v>
      </c>
      <c r="E153" s="402">
        <f t="shared" si="16"/>
        <v>0</v>
      </c>
      <c r="F153" s="402">
        <f t="shared" si="16"/>
        <v>0</v>
      </c>
      <c r="G153" s="402">
        <f t="shared" si="16"/>
        <v>0.9809160340556875</v>
      </c>
      <c r="H153" s="402">
        <f t="shared" si="16"/>
        <v>13.474851805796717</v>
      </c>
      <c r="I153" s="402">
        <f t="shared" si="16"/>
        <v>0.54423216014759435</v>
      </c>
      <c r="J153" s="402">
        <f t="shared" si="16"/>
        <v>0</v>
      </c>
      <c r="K153" s="402">
        <f t="shared" si="16"/>
        <v>0</v>
      </c>
      <c r="L153" s="402">
        <f t="shared" si="16"/>
        <v>0</v>
      </c>
      <c r="M153" s="402">
        <f t="shared" si="16"/>
        <v>421.62255034405695</v>
      </c>
      <c r="N153" s="402">
        <f t="shared" si="16"/>
        <v>117.95511713417932</v>
      </c>
      <c r="O153" s="402">
        <f t="shared" si="16"/>
        <v>131.42233252176379</v>
      </c>
      <c r="R153" s="401" t="s">
        <v>377</v>
      </c>
      <c r="S153" s="401" t="s">
        <v>420</v>
      </c>
      <c r="T153" s="417">
        <f t="shared" si="28"/>
        <v>0</v>
      </c>
      <c r="U153" s="417">
        <f t="shared" si="17"/>
        <v>0</v>
      </c>
      <c r="V153" s="417">
        <f t="shared" si="18"/>
        <v>0</v>
      </c>
      <c r="W153" s="417">
        <f t="shared" si="19"/>
        <v>13507.12530566267</v>
      </c>
      <c r="X153" s="417">
        <f t="shared" si="20"/>
        <v>185547.49387020266</v>
      </c>
      <c r="Y153" s="417">
        <f t="shared" si="21"/>
        <v>7494.0277529072446</v>
      </c>
      <c r="Z153" s="417">
        <f t="shared" si="22"/>
        <v>0</v>
      </c>
      <c r="AA153" s="417">
        <f t="shared" si="23"/>
        <v>0</v>
      </c>
      <c r="AB153" s="417">
        <f t="shared" si="24"/>
        <v>0</v>
      </c>
      <c r="AC153" s="417">
        <f t="shared" si="25"/>
        <v>26079.390349363603</v>
      </c>
      <c r="AD153" s="417">
        <f t="shared" si="26"/>
        <v>7296.0934867855094</v>
      </c>
      <c r="AE153" s="417">
        <f t="shared" si="27"/>
        <v>8129.1057787636491</v>
      </c>
    </row>
    <row r="154" spans="2:31">
      <c r="B154" s="401" t="s">
        <v>377</v>
      </c>
      <c r="C154" s="403" t="s">
        <v>421</v>
      </c>
      <c r="D154" s="402">
        <f t="shared" si="16"/>
        <v>0</v>
      </c>
      <c r="E154" s="402">
        <f t="shared" si="16"/>
        <v>0</v>
      </c>
      <c r="F154" s="402">
        <f t="shared" si="16"/>
        <v>0</v>
      </c>
      <c r="G154" s="402">
        <f t="shared" si="16"/>
        <v>1.961832068111375</v>
      </c>
      <c r="H154" s="402">
        <f t="shared" si="16"/>
        <v>26.949703611593435</v>
      </c>
      <c r="I154" s="402">
        <f t="shared" si="16"/>
        <v>1.0884643202951887</v>
      </c>
      <c r="J154" s="402">
        <f t="shared" si="16"/>
        <v>0</v>
      </c>
      <c r="K154" s="402">
        <f t="shared" si="16"/>
        <v>0</v>
      </c>
      <c r="L154" s="402">
        <f t="shared" si="16"/>
        <v>0</v>
      </c>
      <c r="M154" s="402">
        <f t="shared" si="16"/>
        <v>421.62255034405695</v>
      </c>
      <c r="N154" s="402">
        <f t="shared" si="16"/>
        <v>117.95511713417933</v>
      </c>
      <c r="O154" s="402">
        <f t="shared" si="16"/>
        <v>131.42233252176382</v>
      </c>
      <c r="R154" s="401" t="s">
        <v>377</v>
      </c>
      <c r="S154" s="403" t="s">
        <v>421</v>
      </c>
      <c r="T154" s="417">
        <f t="shared" si="28"/>
        <v>0</v>
      </c>
      <c r="U154" s="417">
        <f t="shared" si="17"/>
        <v>0</v>
      </c>
      <c r="V154" s="417">
        <f t="shared" si="18"/>
        <v>0</v>
      </c>
      <c r="W154" s="417">
        <f t="shared" si="19"/>
        <v>121564.12775096401</v>
      </c>
      <c r="X154" s="417">
        <f t="shared" si="20"/>
        <v>1669927.4448318237</v>
      </c>
      <c r="Y154" s="417">
        <f t="shared" si="21"/>
        <v>67446.24977616519</v>
      </c>
      <c r="Z154" s="417">
        <f t="shared" si="22"/>
        <v>0</v>
      </c>
      <c r="AA154" s="417">
        <f t="shared" si="23"/>
        <v>0</v>
      </c>
      <c r="AB154" s="417">
        <f t="shared" si="24"/>
        <v>0</v>
      </c>
      <c r="AC154" s="417">
        <f t="shared" si="25"/>
        <v>78238.171048090793</v>
      </c>
      <c r="AD154" s="417">
        <f t="shared" si="26"/>
        <v>21888.280460356531</v>
      </c>
      <c r="AE154" s="417">
        <f t="shared" si="27"/>
        <v>24387.317336290951</v>
      </c>
    </row>
    <row r="155" spans="2:31">
      <c r="B155" s="401" t="s">
        <v>377</v>
      </c>
      <c r="C155" s="401" t="s">
        <v>422</v>
      </c>
      <c r="D155" s="402">
        <f t="shared" si="16"/>
        <v>0</v>
      </c>
      <c r="E155" s="402">
        <f t="shared" si="16"/>
        <v>0</v>
      </c>
      <c r="F155" s="402">
        <f t="shared" si="16"/>
        <v>0</v>
      </c>
      <c r="G155" s="402">
        <f t="shared" si="16"/>
        <v>3.92366413622275</v>
      </c>
      <c r="H155" s="402">
        <f t="shared" si="16"/>
        <v>53.89940722318687</v>
      </c>
      <c r="I155" s="402">
        <f t="shared" si="16"/>
        <v>2.1769286405903774</v>
      </c>
      <c r="J155" s="402">
        <f t="shared" si="16"/>
        <v>0</v>
      </c>
      <c r="K155" s="402">
        <f t="shared" si="16"/>
        <v>0</v>
      </c>
      <c r="L155" s="402">
        <f t="shared" si="16"/>
        <v>0</v>
      </c>
      <c r="M155" s="402">
        <f t="shared" si="16"/>
        <v>421.62255034405695</v>
      </c>
      <c r="N155" s="402">
        <f t="shared" si="16"/>
        <v>117.95511713417932</v>
      </c>
      <c r="O155" s="402">
        <f t="shared" si="16"/>
        <v>131.42233252176379</v>
      </c>
      <c r="R155" s="401" t="s">
        <v>377</v>
      </c>
      <c r="S155" s="401" t="s">
        <v>422</v>
      </c>
      <c r="T155" s="417">
        <f t="shared" si="28"/>
        <v>0</v>
      </c>
      <c r="U155" s="417">
        <f t="shared" si="17"/>
        <v>0</v>
      </c>
      <c r="V155" s="417">
        <f t="shared" si="18"/>
        <v>0</v>
      </c>
      <c r="W155" s="417">
        <f t="shared" si="19"/>
        <v>108057.00244530136</v>
      </c>
      <c r="X155" s="417">
        <f t="shared" si="20"/>
        <v>1484379.9509616212</v>
      </c>
      <c r="Y155" s="417">
        <f t="shared" si="21"/>
        <v>59952.222023257957</v>
      </c>
      <c r="Z155" s="417">
        <f t="shared" si="22"/>
        <v>0</v>
      </c>
      <c r="AA155" s="417">
        <f t="shared" si="23"/>
        <v>0</v>
      </c>
      <c r="AB155" s="417">
        <f t="shared" si="24"/>
        <v>0</v>
      </c>
      <c r="AC155" s="417">
        <f t="shared" si="25"/>
        <v>365111.46489109041</v>
      </c>
      <c r="AD155" s="417">
        <f t="shared" si="26"/>
        <v>102145.30881499713</v>
      </c>
      <c r="AE155" s="417">
        <f t="shared" si="27"/>
        <v>113807.4809026911</v>
      </c>
    </row>
    <row r="156" spans="2:31">
      <c r="B156" s="401" t="s">
        <v>377</v>
      </c>
      <c r="C156" s="401" t="s">
        <v>423</v>
      </c>
      <c r="D156" s="402">
        <f t="shared" si="16"/>
        <v>0</v>
      </c>
      <c r="E156" s="402">
        <f t="shared" si="16"/>
        <v>0</v>
      </c>
      <c r="F156" s="402">
        <f t="shared" si="16"/>
        <v>0</v>
      </c>
      <c r="G156" s="402">
        <f t="shared" si="16"/>
        <v>0.9809160340556875</v>
      </c>
      <c r="H156" s="402">
        <f t="shared" si="16"/>
        <v>13.474851805796717</v>
      </c>
      <c r="I156" s="402">
        <f t="shared" si="16"/>
        <v>0.54423216014759435</v>
      </c>
      <c r="J156" s="402">
        <f t="shared" si="16"/>
        <v>0</v>
      </c>
      <c r="K156" s="402">
        <f t="shared" si="16"/>
        <v>0</v>
      </c>
      <c r="L156" s="402">
        <f t="shared" si="16"/>
        <v>0</v>
      </c>
      <c r="M156" s="402">
        <f t="shared" si="16"/>
        <v>421.62255034405695</v>
      </c>
      <c r="N156" s="402">
        <f t="shared" si="16"/>
        <v>117.95511713417932</v>
      </c>
      <c r="O156" s="402">
        <f t="shared" si="16"/>
        <v>131.42233252176379</v>
      </c>
      <c r="R156" s="401" t="s">
        <v>377</v>
      </c>
      <c r="S156" s="401" t="s">
        <v>423</v>
      </c>
      <c r="T156" s="417">
        <f t="shared" si="28"/>
        <v>0</v>
      </c>
      <c r="U156" s="417">
        <f t="shared" si="17"/>
        <v>0</v>
      </c>
      <c r="V156" s="417">
        <f t="shared" si="18"/>
        <v>0</v>
      </c>
      <c r="W156" s="417">
        <f t="shared" si="19"/>
        <v>27014.25061132534</v>
      </c>
      <c r="X156" s="417">
        <f t="shared" si="20"/>
        <v>371094.98774040531</v>
      </c>
      <c r="Y156" s="417">
        <f t="shared" si="21"/>
        <v>14988.055505814489</v>
      </c>
      <c r="Z156" s="417">
        <f t="shared" si="22"/>
        <v>0</v>
      </c>
      <c r="AA156" s="417">
        <f t="shared" si="23"/>
        <v>0</v>
      </c>
      <c r="AB156" s="417">
        <f t="shared" si="24"/>
        <v>0</v>
      </c>
      <c r="AC156" s="417">
        <f t="shared" si="25"/>
        <v>52158.780698727205</v>
      </c>
      <c r="AD156" s="417">
        <f t="shared" si="26"/>
        <v>14592.186973571019</v>
      </c>
      <c r="AE156" s="417">
        <f t="shared" si="27"/>
        <v>16258.211557527298</v>
      </c>
    </row>
    <row r="157" spans="2:31">
      <c r="B157" s="404" t="s">
        <v>370</v>
      </c>
      <c r="C157" s="405" t="s">
        <v>419</v>
      </c>
      <c r="D157" s="406">
        <f t="shared" ref="D157:O166" si="29">+SUMIFS($J$4:$J$107,$C$4:$C$107,$B157,$T$4:$T$107,$C157,$F$4:$F$107,D$146,$D$4:$D$107,D$145)</f>
        <v>0</v>
      </c>
      <c r="E157" s="406">
        <f t="shared" si="29"/>
        <v>0</v>
      </c>
      <c r="F157" s="406">
        <f t="shared" si="29"/>
        <v>1.3436796472691261</v>
      </c>
      <c r="G157" s="406">
        <f t="shared" si="29"/>
        <v>0</v>
      </c>
      <c r="H157" s="406">
        <f t="shared" si="29"/>
        <v>1.6487741424501552</v>
      </c>
      <c r="I157" s="406">
        <f t="shared" si="29"/>
        <v>0</v>
      </c>
      <c r="J157" s="406">
        <f t="shared" si="29"/>
        <v>0</v>
      </c>
      <c r="K157" s="406">
        <f t="shared" si="29"/>
        <v>0</v>
      </c>
      <c r="L157" s="406">
        <f t="shared" si="29"/>
        <v>0</v>
      </c>
      <c r="M157" s="406">
        <f t="shared" si="29"/>
        <v>0</v>
      </c>
      <c r="N157" s="406">
        <f t="shared" si="29"/>
        <v>0</v>
      </c>
      <c r="O157" s="406">
        <f t="shared" si="29"/>
        <v>0</v>
      </c>
      <c r="R157" s="404" t="s">
        <v>370</v>
      </c>
      <c r="S157" s="405" t="s">
        <v>419</v>
      </c>
      <c r="T157" s="418">
        <f t="shared" si="28"/>
        <v>0</v>
      </c>
      <c r="U157" s="418">
        <f t="shared" si="17"/>
        <v>0</v>
      </c>
      <c r="V157" s="418">
        <f t="shared" si="18"/>
        <v>137390.05509128043</v>
      </c>
      <c r="W157" s="418">
        <f t="shared" si="19"/>
        <v>0</v>
      </c>
      <c r="X157" s="418">
        <f t="shared" si="20"/>
        <v>168585.69728632248</v>
      </c>
      <c r="Y157" s="418">
        <f t="shared" si="21"/>
        <v>0</v>
      </c>
      <c r="Z157" s="418">
        <f t="shared" si="22"/>
        <v>0</v>
      </c>
      <c r="AA157" s="418">
        <f t="shared" si="23"/>
        <v>0</v>
      </c>
      <c r="AB157" s="418">
        <f t="shared" si="24"/>
        <v>0</v>
      </c>
      <c r="AC157" s="418">
        <f t="shared" si="25"/>
        <v>0</v>
      </c>
      <c r="AD157" s="418">
        <f t="shared" si="26"/>
        <v>0</v>
      </c>
      <c r="AE157" s="418">
        <f t="shared" si="27"/>
        <v>0</v>
      </c>
    </row>
    <row r="158" spans="2:31">
      <c r="B158" s="404" t="s">
        <v>370</v>
      </c>
      <c r="C158" s="404" t="s">
        <v>424</v>
      </c>
      <c r="D158" s="406">
        <f t="shared" si="29"/>
        <v>0</v>
      </c>
      <c r="E158" s="406">
        <f t="shared" si="29"/>
        <v>0</v>
      </c>
      <c r="F158" s="406">
        <f t="shared" si="29"/>
        <v>1.3436796472691261</v>
      </c>
      <c r="G158" s="406">
        <f t="shared" si="29"/>
        <v>0</v>
      </c>
      <c r="H158" s="406">
        <f t="shared" si="29"/>
        <v>1.6487741424501552</v>
      </c>
      <c r="I158" s="406">
        <f t="shared" si="29"/>
        <v>0</v>
      </c>
      <c r="J158" s="406">
        <f t="shared" si="29"/>
        <v>0</v>
      </c>
      <c r="K158" s="406">
        <f t="shared" si="29"/>
        <v>0</v>
      </c>
      <c r="L158" s="406">
        <f t="shared" si="29"/>
        <v>0</v>
      </c>
      <c r="M158" s="406">
        <f t="shared" si="29"/>
        <v>0</v>
      </c>
      <c r="N158" s="406">
        <f t="shared" si="29"/>
        <v>0</v>
      </c>
      <c r="O158" s="406">
        <f t="shared" si="29"/>
        <v>0</v>
      </c>
      <c r="R158" s="404" t="s">
        <v>370</v>
      </c>
      <c r="S158" s="404" t="s">
        <v>424</v>
      </c>
      <c r="T158" s="418">
        <f t="shared" si="28"/>
        <v>0</v>
      </c>
      <c r="U158" s="418">
        <f t="shared" si="17"/>
        <v>0</v>
      </c>
      <c r="V158" s="418">
        <f t="shared" si="18"/>
        <v>36637.34802434146</v>
      </c>
      <c r="W158" s="418">
        <f t="shared" si="19"/>
        <v>0</v>
      </c>
      <c r="X158" s="418">
        <f t="shared" si="20"/>
        <v>44956.185943019351</v>
      </c>
      <c r="Y158" s="418">
        <f t="shared" si="21"/>
        <v>0</v>
      </c>
      <c r="Z158" s="418">
        <f t="shared" si="22"/>
        <v>0</v>
      </c>
      <c r="AA158" s="418">
        <f t="shared" si="23"/>
        <v>0</v>
      </c>
      <c r="AB158" s="418">
        <f t="shared" si="24"/>
        <v>0</v>
      </c>
      <c r="AC158" s="418">
        <f t="shared" si="25"/>
        <v>0</v>
      </c>
      <c r="AD158" s="418">
        <f t="shared" si="26"/>
        <v>0</v>
      </c>
      <c r="AE158" s="418">
        <f t="shared" si="27"/>
        <v>0</v>
      </c>
    </row>
    <row r="159" spans="2:31">
      <c r="B159" s="404" t="s">
        <v>370</v>
      </c>
      <c r="C159" s="405" t="s">
        <v>425</v>
      </c>
      <c r="D159" s="406">
        <f t="shared" si="29"/>
        <v>0</v>
      </c>
      <c r="E159" s="406">
        <f t="shared" si="29"/>
        <v>0</v>
      </c>
      <c r="F159" s="406">
        <f t="shared" si="29"/>
        <v>1.3436796472691261</v>
      </c>
      <c r="G159" s="406">
        <f t="shared" si="29"/>
        <v>0</v>
      </c>
      <c r="H159" s="406">
        <f t="shared" si="29"/>
        <v>1.6487741424501552</v>
      </c>
      <c r="I159" s="406">
        <f t="shared" si="29"/>
        <v>0</v>
      </c>
      <c r="J159" s="406">
        <f t="shared" si="29"/>
        <v>0</v>
      </c>
      <c r="K159" s="406">
        <f t="shared" si="29"/>
        <v>0</v>
      </c>
      <c r="L159" s="406">
        <f t="shared" si="29"/>
        <v>0</v>
      </c>
      <c r="M159" s="406">
        <f t="shared" si="29"/>
        <v>0</v>
      </c>
      <c r="N159" s="406">
        <f t="shared" si="29"/>
        <v>0</v>
      </c>
      <c r="O159" s="406">
        <f t="shared" si="29"/>
        <v>0</v>
      </c>
      <c r="R159" s="404" t="s">
        <v>370</v>
      </c>
      <c r="S159" s="405" t="s">
        <v>425</v>
      </c>
      <c r="T159" s="418">
        <f t="shared" si="28"/>
        <v>0</v>
      </c>
      <c r="U159" s="418">
        <f t="shared" si="17"/>
        <v>0</v>
      </c>
      <c r="V159" s="418">
        <f t="shared" si="18"/>
        <v>9159.3370060853649</v>
      </c>
      <c r="W159" s="418">
        <f t="shared" si="19"/>
        <v>0</v>
      </c>
      <c r="X159" s="418">
        <f t="shared" si="20"/>
        <v>11239.046485754838</v>
      </c>
      <c r="Y159" s="418">
        <f t="shared" si="21"/>
        <v>0</v>
      </c>
      <c r="Z159" s="418">
        <f t="shared" si="22"/>
        <v>0</v>
      </c>
      <c r="AA159" s="418">
        <f t="shared" si="23"/>
        <v>0</v>
      </c>
      <c r="AB159" s="418">
        <f t="shared" si="24"/>
        <v>0</v>
      </c>
      <c r="AC159" s="418">
        <f t="shared" si="25"/>
        <v>0</v>
      </c>
      <c r="AD159" s="418">
        <f t="shared" si="26"/>
        <v>0</v>
      </c>
      <c r="AE159" s="418">
        <f t="shared" si="27"/>
        <v>0</v>
      </c>
    </row>
    <row r="160" spans="2:31">
      <c r="B160" s="407" t="s">
        <v>353</v>
      </c>
      <c r="C160" s="408" t="s">
        <v>421</v>
      </c>
      <c r="D160" s="409">
        <f t="shared" si="29"/>
        <v>0</v>
      </c>
      <c r="E160" s="409">
        <f t="shared" si="29"/>
        <v>0</v>
      </c>
      <c r="F160" s="409">
        <f t="shared" si="29"/>
        <v>0</v>
      </c>
      <c r="G160" s="409">
        <f t="shared" si="29"/>
        <v>6.644394060112262E-3</v>
      </c>
      <c r="H160" s="409">
        <f>+SUMIFS($J$4:$J$107,$C$4:$C$107,$B160,$T$4:$T$107,$C160,$F$4:$F$107,H$146,$D$4:$D$107,H$145)</f>
        <v>0.9933556059398877</v>
      </c>
      <c r="I160" s="409">
        <f t="shared" si="29"/>
        <v>0</v>
      </c>
      <c r="J160" s="409">
        <f t="shared" si="29"/>
        <v>0</v>
      </c>
      <c r="K160" s="409">
        <f t="shared" si="29"/>
        <v>0</v>
      </c>
      <c r="L160" s="409">
        <f t="shared" si="29"/>
        <v>0</v>
      </c>
      <c r="M160" s="409">
        <f t="shared" si="29"/>
        <v>0</v>
      </c>
      <c r="N160" s="409">
        <f t="shared" si="29"/>
        <v>0</v>
      </c>
      <c r="O160" s="409">
        <f t="shared" si="29"/>
        <v>0</v>
      </c>
      <c r="R160" s="407" t="s">
        <v>353</v>
      </c>
      <c r="S160" s="408" t="s">
        <v>421</v>
      </c>
      <c r="T160" s="419">
        <f t="shared" si="28"/>
        <v>0</v>
      </c>
      <c r="U160" s="419">
        <f t="shared" si="17"/>
        <v>0</v>
      </c>
      <c r="V160" s="419">
        <f t="shared" si="18"/>
        <v>0</v>
      </c>
      <c r="W160" s="419">
        <f t="shared" si="19"/>
        <v>24366.878198639602</v>
      </c>
      <c r="X160" s="419">
        <f>+$D126/$O126*H192</f>
        <v>3642916.846726595</v>
      </c>
      <c r="Y160" s="419">
        <f t="shared" si="21"/>
        <v>0</v>
      </c>
      <c r="Z160" s="419">
        <f t="shared" si="22"/>
        <v>0</v>
      </c>
      <c r="AA160" s="419">
        <f t="shared" si="23"/>
        <v>0</v>
      </c>
      <c r="AB160" s="419">
        <f t="shared" si="24"/>
        <v>0</v>
      </c>
      <c r="AC160" s="419">
        <f t="shared" si="25"/>
        <v>0</v>
      </c>
      <c r="AD160" s="419">
        <f t="shared" si="26"/>
        <v>0</v>
      </c>
      <c r="AE160" s="419">
        <f t="shared" si="27"/>
        <v>0</v>
      </c>
    </row>
    <row r="161" spans="2:32">
      <c r="B161" s="407" t="s">
        <v>353</v>
      </c>
      <c r="C161" s="407" t="s">
        <v>422</v>
      </c>
      <c r="D161" s="409">
        <f t="shared" si="29"/>
        <v>0</v>
      </c>
      <c r="E161" s="409">
        <f t="shared" si="29"/>
        <v>0</v>
      </c>
      <c r="F161" s="409">
        <f t="shared" si="29"/>
        <v>0</v>
      </c>
      <c r="G161" s="409">
        <f t="shared" si="29"/>
        <v>0</v>
      </c>
      <c r="H161" s="409">
        <f t="shared" si="29"/>
        <v>5.9601336356393269</v>
      </c>
      <c r="I161" s="409">
        <f t="shared" si="29"/>
        <v>0</v>
      </c>
      <c r="J161" s="409">
        <f t="shared" si="29"/>
        <v>0</v>
      </c>
      <c r="K161" s="409">
        <f t="shared" si="29"/>
        <v>0</v>
      </c>
      <c r="L161" s="409">
        <f t="shared" si="29"/>
        <v>1.851101589848221</v>
      </c>
      <c r="M161" s="409">
        <f t="shared" si="29"/>
        <v>106.44547800610009</v>
      </c>
      <c r="N161" s="409">
        <f t="shared" si="29"/>
        <v>672.70342040405171</v>
      </c>
      <c r="O161" s="409">
        <f t="shared" si="29"/>
        <v>0</v>
      </c>
      <c r="R161" s="407" t="s">
        <v>353</v>
      </c>
      <c r="S161" s="407" t="s">
        <v>422</v>
      </c>
      <c r="T161" s="419">
        <f t="shared" si="28"/>
        <v>0</v>
      </c>
      <c r="U161" s="419">
        <f t="shared" si="17"/>
        <v>0</v>
      </c>
      <c r="V161" s="419">
        <f t="shared" si="18"/>
        <v>0</v>
      </c>
      <c r="W161" s="419">
        <f t="shared" si="19"/>
        <v>0</v>
      </c>
      <c r="X161" s="419">
        <f t="shared" si="20"/>
        <v>1457166.738690638</v>
      </c>
      <c r="Y161" s="419">
        <f t="shared" si="21"/>
        <v>0</v>
      </c>
      <c r="Z161" s="419">
        <f t="shared" si="22"/>
        <v>0</v>
      </c>
      <c r="AA161" s="419">
        <f t="shared" si="23"/>
        <v>0</v>
      </c>
      <c r="AB161" s="419">
        <f t="shared" si="24"/>
        <v>632.48592923813305</v>
      </c>
      <c r="AC161" s="419">
        <f t="shared" si="25"/>
        <v>36370.379367134425</v>
      </c>
      <c r="AD161" s="419">
        <f t="shared" si="26"/>
        <v>229849.86361057227</v>
      </c>
      <c r="AE161" s="419">
        <f t="shared" si="27"/>
        <v>0</v>
      </c>
    </row>
    <row r="162" spans="2:32">
      <c r="B162" s="407" t="s">
        <v>353</v>
      </c>
      <c r="C162" s="407" t="s">
        <v>424</v>
      </c>
      <c r="D162" s="409">
        <f t="shared" si="29"/>
        <v>0</v>
      </c>
      <c r="E162" s="409">
        <f t="shared" si="29"/>
        <v>0</v>
      </c>
      <c r="F162" s="409">
        <f t="shared" si="29"/>
        <v>0</v>
      </c>
      <c r="G162" s="409">
        <f t="shared" si="29"/>
        <v>1.9933182180336788E-2</v>
      </c>
      <c r="H162" s="409">
        <f t="shared" si="29"/>
        <v>2.980066817819663</v>
      </c>
      <c r="I162" s="409">
        <f t="shared" si="29"/>
        <v>0</v>
      </c>
      <c r="J162" s="409">
        <f t="shared" si="29"/>
        <v>0</v>
      </c>
      <c r="K162" s="409">
        <f t="shared" si="29"/>
        <v>0</v>
      </c>
      <c r="L162" s="409">
        <f t="shared" si="29"/>
        <v>1.851101589848221</v>
      </c>
      <c r="M162" s="409">
        <f t="shared" si="29"/>
        <v>106.44547800610012</v>
      </c>
      <c r="N162" s="409">
        <f t="shared" si="29"/>
        <v>672.70342040405171</v>
      </c>
      <c r="O162" s="409">
        <f t="shared" si="29"/>
        <v>0</v>
      </c>
      <c r="R162" s="407" t="s">
        <v>353</v>
      </c>
      <c r="S162" s="407" t="s">
        <v>424</v>
      </c>
      <c r="T162" s="419">
        <f t="shared" si="28"/>
        <v>0</v>
      </c>
      <c r="U162" s="419">
        <f t="shared" si="17"/>
        <v>0</v>
      </c>
      <c r="V162" s="419">
        <f t="shared" si="18"/>
        <v>0</v>
      </c>
      <c r="W162" s="419">
        <f t="shared" si="19"/>
        <v>6497.834186303895</v>
      </c>
      <c r="X162" s="419">
        <f t="shared" si="20"/>
        <v>971444.49246042548</v>
      </c>
      <c r="Y162" s="419">
        <f t="shared" si="21"/>
        <v>0</v>
      </c>
      <c r="Z162" s="419">
        <f t="shared" si="22"/>
        <v>0</v>
      </c>
      <c r="AA162" s="419">
        <f t="shared" si="23"/>
        <v>0</v>
      </c>
      <c r="AB162" s="419">
        <f t="shared" si="24"/>
        <v>948.72889385719952</v>
      </c>
      <c r="AC162" s="419">
        <f t="shared" si="25"/>
        <v>54555.569050701648</v>
      </c>
      <c r="AD162" s="419">
        <f t="shared" si="26"/>
        <v>344774.79541585845</v>
      </c>
      <c r="AE162" s="419">
        <f t="shared" si="27"/>
        <v>0</v>
      </c>
    </row>
    <row r="163" spans="2:32">
      <c r="B163" s="403" t="s">
        <v>375</v>
      </c>
      <c r="C163" s="403" t="s">
        <v>422</v>
      </c>
      <c r="D163" s="402">
        <f t="shared" si="29"/>
        <v>0</v>
      </c>
      <c r="E163" s="402">
        <f t="shared" si="29"/>
        <v>0</v>
      </c>
      <c r="F163" s="402">
        <f t="shared" si="29"/>
        <v>0</v>
      </c>
      <c r="G163" s="402">
        <f t="shared" si="29"/>
        <v>0</v>
      </c>
      <c r="H163" s="402">
        <f t="shared" si="29"/>
        <v>2.9930010169777166</v>
      </c>
      <c r="I163" s="402">
        <f t="shared" si="29"/>
        <v>0</v>
      </c>
      <c r="J163" s="402">
        <f t="shared" si="29"/>
        <v>0</v>
      </c>
      <c r="K163" s="402">
        <f t="shared" si="29"/>
        <v>0</v>
      </c>
      <c r="L163" s="402">
        <f t="shared" si="29"/>
        <v>0</v>
      </c>
      <c r="M163" s="402">
        <f t="shared" si="29"/>
        <v>678.18190376871667</v>
      </c>
      <c r="N163" s="402">
        <f t="shared" si="29"/>
        <v>1239.8180962312833</v>
      </c>
      <c r="O163" s="402">
        <f t="shared" si="29"/>
        <v>0</v>
      </c>
      <c r="R163" s="403" t="s">
        <v>375</v>
      </c>
      <c r="S163" s="403" t="s">
        <v>422</v>
      </c>
      <c r="T163" s="417">
        <f t="shared" si="28"/>
        <v>0</v>
      </c>
      <c r="U163" s="417">
        <f t="shared" si="17"/>
        <v>0</v>
      </c>
      <c r="V163" s="417">
        <f t="shared" si="18"/>
        <v>0</v>
      </c>
      <c r="W163" s="417">
        <f t="shared" si="19"/>
        <v>0</v>
      </c>
      <c r="X163" s="417">
        <f t="shared" si="20"/>
        <v>219078.88290301786</v>
      </c>
      <c r="Y163" s="417">
        <f t="shared" si="21"/>
        <v>0</v>
      </c>
      <c r="Z163" s="417">
        <f t="shared" si="22"/>
        <v>0</v>
      </c>
      <c r="AA163" s="417">
        <f t="shared" si="23"/>
        <v>0</v>
      </c>
      <c r="AB163" s="417">
        <f t="shared" si="24"/>
        <v>0</v>
      </c>
      <c r="AC163" s="417">
        <f t="shared" si="25"/>
        <v>184162.6441716741</v>
      </c>
      <c r="AD163" s="417">
        <f t="shared" si="26"/>
        <v>336676.89689890633</v>
      </c>
      <c r="AE163" s="417">
        <f t="shared" si="27"/>
        <v>0</v>
      </c>
    </row>
    <row r="164" spans="2:32">
      <c r="B164" s="403" t="s">
        <v>375</v>
      </c>
      <c r="C164" s="401" t="s">
        <v>421</v>
      </c>
      <c r="D164" s="402">
        <f t="shared" si="29"/>
        <v>0</v>
      </c>
      <c r="E164" s="402">
        <f t="shared" si="29"/>
        <v>0</v>
      </c>
      <c r="F164" s="402">
        <f t="shared" si="29"/>
        <v>0</v>
      </c>
      <c r="G164" s="402">
        <f t="shared" si="29"/>
        <v>0</v>
      </c>
      <c r="H164" s="402">
        <f t="shared" si="29"/>
        <v>2.9930010169777166</v>
      </c>
      <c r="I164" s="402">
        <f t="shared" si="29"/>
        <v>0</v>
      </c>
      <c r="J164" s="402">
        <f t="shared" si="29"/>
        <v>0</v>
      </c>
      <c r="K164" s="402">
        <f t="shared" si="29"/>
        <v>0</v>
      </c>
      <c r="L164" s="402">
        <f t="shared" si="29"/>
        <v>0</v>
      </c>
      <c r="M164" s="402">
        <f t="shared" si="29"/>
        <v>678.18190376871667</v>
      </c>
      <c r="N164" s="402">
        <f t="shared" si="29"/>
        <v>1239.8180962312833</v>
      </c>
      <c r="O164" s="402">
        <f t="shared" si="29"/>
        <v>0</v>
      </c>
      <c r="R164" s="403" t="s">
        <v>375</v>
      </c>
      <c r="S164" s="401" t="s">
        <v>421</v>
      </c>
      <c r="T164" s="417">
        <f t="shared" si="28"/>
        <v>0</v>
      </c>
      <c r="U164" s="417">
        <f t="shared" si="17"/>
        <v>0</v>
      </c>
      <c r="V164" s="417">
        <f t="shared" si="18"/>
        <v>0</v>
      </c>
      <c r="W164" s="417">
        <f t="shared" si="19"/>
        <v>0</v>
      </c>
      <c r="X164" s="417">
        <f t="shared" si="20"/>
        <v>197170.99461271608</v>
      </c>
      <c r="Y164" s="417">
        <f t="shared" si="21"/>
        <v>0</v>
      </c>
      <c r="Z164" s="417">
        <f t="shared" si="22"/>
        <v>0</v>
      </c>
      <c r="AA164" s="417">
        <f t="shared" si="23"/>
        <v>0</v>
      </c>
      <c r="AB164" s="417">
        <f t="shared" si="24"/>
        <v>0</v>
      </c>
      <c r="AC164" s="417">
        <f t="shared" si="25"/>
        <v>46040.661042918517</v>
      </c>
      <c r="AD164" s="417">
        <f t="shared" si="26"/>
        <v>84169.224224726568</v>
      </c>
      <c r="AE164" s="417">
        <f t="shared" si="27"/>
        <v>0</v>
      </c>
    </row>
    <row r="165" spans="2:32">
      <c r="B165" s="403" t="s">
        <v>375</v>
      </c>
      <c r="C165" s="403" t="s">
        <v>420</v>
      </c>
      <c r="D165" s="402">
        <f t="shared" si="29"/>
        <v>0</v>
      </c>
      <c r="E165" s="402">
        <f t="shared" si="29"/>
        <v>0</v>
      </c>
      <c r="F165" s="402">
        <f t="shared" si="29"/>
        <v>0</v>
      </c>
      <c r="G165" s="402">
        <f t="shared" si="29"/>
        <v>0</v>
      </c>
      <c r="H165" s="402">
        <f t="shared" si="29"/>
        <v>2.9930010169777166</v>
      </c>
      <c r="I165" s="402">
        <f t="shared" si="29"/>
        <v>0</v>
      </c>
      <c r="J165" s="402">
        <f t="shared" si="29"/>
        <v>0</v>
      </c>
      <c r="K165" s="402">
        <f t="shared" si="29"/>
        <v>0</v>
      </c>
      <c r="L165" s="402">
        <f t="shared" si="29"/>
        <v>0</v>
      </c>
      <c r="M165" s="402">
        <f t="shared" si="29"/>
        <v>678.18190376871667</v>
      </c>
      <c r="N165" s="402">
        <f t="shared" si="29"/>
        <v>1239.8180962312833</v>
      </c>
      <c r="O165" s="402">
        <f t="shared" si="29"/>
        <v>0</v>
      </c>
      <c r="R165" s="403" t="s">
        <v>375</v>
      </c>
      <c r="S165" s="403" t="s">
        <v>420</v>
      </c>
      <c r="T165" s="417">
        <f t="shared" si="28"/>
        <v>0</v>
      </c>
      <c r="U165" s="417">
        <f t="shared" si="17"/>
        <v>0</v>
      </c>
      <c r="V165" s="417">
        <f t="shared" si="18"/>
        <v>0</v>
      </c>
      <c r="W165" s="417">
        <f t="shared" si="19"/>
        <v>0</v>
      </c>
      <c r="X165" s="417">
        <f t="shared" si="20"/>
        <v>21907.888290301784</v>
      </c>
      <c r="Y165" s="417">
        <f t="shared" si="21"/>
        <v>0</v>
      </c>
      <c r="Z165" s="417">
        <f t="shared" si="22"/>
        <v>0</v>
      </c>
      <c r="AA165" s="417">
        <f t="shared" si="23"/>
        <v>0</v>
      </c>
      <c r="AB165" s="417">
        <f t="shared" si="24"/>
        <v>0</v>
      </c>
      <c r="AC165" s="417">
        <f t="shared" si="25"/>
        <v>30693.774028612352</v>
      </c>
      <c r="AD165" s="417">
        <f t="shared" si="26"/>
        <v>56112.816149817721</v>
      </c>
      <c r="AE165" s="417">
        <f t="shared" si="27"/>
        <v>0</v>
      </c>
    </row>
    <row r="166" spans="2:32">
      <c r="B166" s="403" t="s">
        <v>375</v>
      </c>
      <c r="C166" s="401" t="s">
        <v>423</v>
      </c>
      <c r="D166" s="402">
        <f t="shared" si="29"/>
        <v>0</v>
      </c>
      <c r="E166" s="402">
        <f t="shared" si="29"/>
        <v>0</v>
      </c>
      <c r="F166" s="402">
        <f t="shared" si="29"/>
        <v>0</v>
      </c>
      <c r="G166" s="402">
        <f t="shared" si="29"/>
        <v>0</v>
      </c>
      <c r="H166" s="402">
        <f t="shared" si="29"/>
        <v>0</v>
      </c>
      <c r="I166" s="402">
        <f t="shared" si="29"/>
        <v>0</v>
      </c>
      <c r="J166" s="402">
        <f t="shared" si="29"/>
        <v>0</v>
      </c>
      <c r="K166" s="402">
        <f t="shared" si="29"/>
        <v>0</v>
      </c>
      <c r="L166" s="402">
        <f t="shared" si="29"/>
        <v>0</v>
      </c>
      <c r="M166" s="402">
        <f t="shared" si="29"/>
        <v>678.18190376871667</v>
      </c>
      <c r="N166" s="402">
        <f t="shared" si="29"/>
        <v>1239.8180962312833</v>
      </c>
      <c r="O166" s="402">
        <f t="shared" si="29"/>
        <v>0</v>
      </c>
      <c r="R166" s="403" t="s">
        <v>375</v>
      </c>
      <c r="S166" s="401" t="s">
        <v>423</v>
      </c>
      <c r="T166" s="417">
        <f t="shared" si="28"/>
        <v>0</v>
      </c>
      <c r="U166" s="417">
        <f t="shared" si="17"/>
        <v>0</v>
      </c>
      <c r="V166" s="417">
        <f t="shared" si="18"/>
        <v>0</v>
      </c>
      <c r="W166" s="417">
        <f t="shared" si="19"/>
        <v>0</v>
      </c>
      <c r="X166" s="417">
        <f t="shared" si="20"/>
        <v>0</v>
      </c>
      <c r="Y166" s="417">
        <f t="shared" si="21"/>
        <v>0</v>
      </c>
      <c r="Z166" s="417">
        <f t="shared" si="22"/>
        <v>0</v>
      </c>
      <c r="AA166" s="417">
        <f t="shared" si="23"/>
        <v>0</v>
      </c>
      <c r="AB166" s="417">
        <f t="shared" si="24"/>
        <v>0</v>
      </c>
      <c r="AC166" s="417">
        <f t="shared" si="25"/>
        <v>30693.774028612352</v>
      </c>
      <c r="AD166" s="417">
        <f t="shared" si="26"/>
        <v>56112.816149817721</v>
      </c>
      <c r="AE166" s="417">
        <f t="shared" si="27"/>
        <v>0</v>
      </c>
    </row>
    <row r="167" spans="2:32">
      <c r="B167" s="403" t="s">
        <v>375</v>
      </c>
      <c r="C167" s="401" t="s">
        <v>424</v>
      </c>
      <c r="D167" s="402">
        <f t="shared" ref="D167:O175" si="30">+SUMIFS($J$4:$J$107,$C$4:$C$107,$B167,$T$4:$T$107,$C167,$F$4:$F$107,D$146,$D$4:$D$107,D$145)</f>
        <v>0</v>
      </c>
      <c r="E167" s="402">
        <f t="shared" si="30"/>
        <v>0</v>
      </c>
      <c r="F167" s="402">
        <f t="shared" si="30"/>
        <v>0</v>
      </c>
      <c r="G167" s="402">
        <f t="shared" si="30"/>
        <v>0</v>
      </c>
      <c r="H167" s="402">
        <f t="shared" si="30"/>
        <v>0</v>
      </c>
      <c r="I167" s="402">
        <f t="shared" si="30"/>
        <v>0</v>
      </c>
      <c r="J167" s="402">
        <f t="shared" si="30"/>
        <v>0</v>
      </c>
      <c r="K167" s="402">
        <f t="shared" si="30"/>
        <v>0</v>
      </c>
      <c r="L167" s="402">
        <f t="shared" si="30"/>
        <v>0</v>
      </c>
      <c r="M167" s="402">
        <f t="shared" si="30"/>
        <v>678.18190376871667</v>
      </c>
      <c r="N167" s="402">
        <f t="shared" si="30"/>
        <v>1239.8180962312833</v>
      </c>
      <c r="O167" s="402">
        <f t="shared" si="30"/>
        <v>0</v>
      </c>
      <c r="R167" s="403" t="s">
        <v>375</v>
      </c>
      <c r="S167" s="401" t="s">
        <v>424</v>
      </c>
      <c r="T167" s="417">
        <f t="shared" si="28"/>
        <v>0</v>
      </c>
      <c r="U167" s="417">
        <f t="shared" si="17"/>
        <v>0</v>
      </c>
      <c r="V167" s="417">
        <f t="shared" si="18"/>
        <v>0</v>
      </c>
      <c r="W167" s="417">
        <f t="shared" si="19"/>
        <v>0</v>
      </c>
      <c r="X167" s="417">
        <f t="shared" si="20"/>
        <v>0</v>
      </c>
      <c r="Y167" s="417">
        <f t="shared" si="21"/>
        <v>0</v>
      </c>
      <c r="Z167" s="417">
        <f t="shared" si="22"/>
        <v>0</v>
      </c>
      <c r="AA167" s="417">
        <f t="shared" si="23"/>
        <v>0</v>
      </c>
      <c r="AB167" s="417">
        <f t="shared" si="24"/>
        <v>0</v>
      </c>
      <c r="AC167" s="417">
        <f t="shared" si="25"/>
        <v>15346.887014306176</v>
      </c>
      <c r="AD167" s="417">
        <f t="shared" si="26"/>
        <v>28056.408074908861</v>
      </c>
      <c r="AE167" s="417">
        <f t="shared" si="27"/>
        <v>0</v>
      </c>
    </row>
    <row r="168" spans="2:32">
      <c r="B168" s="399" t="s">
        <v>388</v>
      </c>
      <c r="C168" s="399" t="s">
        <v>420</v>
      </c>
      <c r="D168" s="400">
        <f t="shared" si="30"/>
        <v>0</v>
      </c>
      <c r="E168" s="400">
        <f t="shared" si="30"/>
        <v>0</v>
      </c>
      <c r="F168" s="400">
        <f t="shared" si="30"/>
        <v>0.57580459813941842</v>
      </c>
      <c r="G168" s="400">
        <f t="shared" si="30"/>
        <v>0</v>
      </c>
      <c r="H168" s="400">
        <f t="shared" si="30"/>
        <v>5.3089743920559425</v>
      </c>
      <c r="I168" s="400">
        <f t="shared" si="30"/>
        <v>0</v>
      </c>
      <c r="J168" s="400">
        <f t="shared" si="30"/>
        <v>0</v>
      </c>
      <c r="K168" s="400">
        <f t="shared" si="30"/>
        <v>0</v>
      </c>
      <c r="L168" s="400">
        <f t="shared" si="30"/>
        <v>0</v>
      </c>
      <c r="M168" s="400">
        <f t="shared" si="30"/>
        <v>327.93922620616524</v>
      </c>
      <c r="N168" s="400">
        <f t="shared" si="30"/>
        <v>0</v>
      </c>
      <c r="O168" s="400">
        <f t="shared" si="30"/>
        <v>7.0607737938347146</v>
      </c>
      <c r="R168" s="399" t="s">
        <v>388</v>
      </c>
      <c r="S168" s="399" t="s">
        <v>420</v>
      </c>
      <c r="T168" s="416">
        <f t="shared" si="28"/>
        <v>0</v>
      </c>
      <c r="U168" s="416">
        <f t="shared" si="17"/>
        <v>0</v>
      </c>
      <c r="V168" s="416">
        <f t="shared" si="18"/>
        <v>3975.6862005006542</v>
      </c>
      <c r="W168" s="416">
        <f t="shared" si="19"/>
        <v>0</v>
      </c>
      <c r="X168" s="416">
        <f t="shared" si="20"/>
        <v>36656.213405572023</v>
      </c>
      <c r="Y168" s="416">
        <f t="shared" si="21"/>
        <v>0</v>
      </c>
      <c r="Z168" s="416">
        <f t="shared" si="22"/>
        <v>0</v>
      </c>
      <c r="AA168" s="416">
        <f t="shared" si="23"/>
        <v>0</v>
      </c>
      <c r="AB168" s="416">
        <f t="shared" si="24"/>
        <v>0</v>
      </c>
      <c r="AC168" s="416">
        <f t="shared" si="25"/>
        <v>269466.96688220825</v>
      </c>
      <c r="AD168" s="416">
        <f t="shared" si="26"/>
        <v>0</v>
      </c>
      <c r="AE168" s="416">
        <f t="shared" si="27"/>
        <v>5801.82285625657</v>
      </c>
    </row>
    <row r="169" spans="2:32">
      <c r="B169" s="399" t="s">
        <v>388</v>
      </c>
      <c r="C169" s="399" t="s">
        <v>422</v>
      </c>
      <c r="D169" s="400">
        <f t="shared" si="30"/>
        <v>0</v>
      </c>
      <c r="E169" s="400">
        <f t="shared" si="30"/>
        <v>0</v>
      </c>
      <c r="F169" s="400">
        <f t="shared" si="30"/>
        <v>0.57580459813941842</v>
      </c>
      <c r="G169" s="400">
        <f t="shared" si="30"/>
        <v>0</v>
      </c>
      <c r="H169" s="400">
        <f t="shared" si="30"/>
        <v>5.3089743920559425</v>
      </c>
      <c r="I169" s="400">
        <f t="shared" si="30"/>
        <v>0</v>
      </c>
      <c r="J169" s="400">
        <f t="shared" si="30"/>
        <v>0</v>
      </c>
      <c r="K169" s="400">
        <f t="shared" si="30"/>
        <v>0</v>
      </c>
      <c r="L169" s="400">
        <f t="shared" si="30"/>
        <v>0</v>
      </c>
      <c r="M169" s="400">
        <f t="shared" si="30"/>
        <v>327.9392262061653</v>
      </c>
      <c r="N169" s="400">
        <f t="shared" si="30"/>
        <v>0</v>
      </c>
      <c r="O169" s="400">
        <f t="shared" si="30"/>
        <v>7.0607737938347146</v>
      </c>
      <c r="R169" s="399" t="s">
        <v>388</v>
      </c>
      <c r="S169" s="399" t="s">
        <v>422</v>
      </c>
      <c r="T169" s="416">
        <f t="shared" si="28"/>
        <v>0</v>
      </c>
      <c r="U169" s="416">
        <f t="shared" si="17"/>
        <v>0</v>
      </c>
      <c r="V169" s="416">
        <f t="shared" si="18"/>
        <v>7951.3724010013084</v>
      </c>
      <c r="W169" s="416">
        <f t="shared" si="19"/>
        <v>0</v>
      </c>
      <c r="X169" s="416">
        <f t="shared" si="20"/>
        <v>73312.426811144047</v>
      </c>
      <c r="Y169" s="416">
        <f t="shared" si="21"/>
        <v>0</v>
      </c>
      <c r="Z169" s="416">
        <f t="shared" si="22"/>
        <v>0</v>
      </c>
      <c r="AA169" s="416">
        <f t="shared" si="23"/>
        <v>0</v>
      </c>
      <c r="AB169" s="416">
        <f t="shared" si="24"/>
        <v>0</v>
      </c>
      <c r="AC169" s="416">
        <f t="shared" si="25"/>
        <v>209585.41868616192</v>
      </c>
      <c r="AD169" s="416">
        <f t="shared" si="26"/>
        <v>0</v>
      </c>
      <c r="AE169" s="416">
        <f t="shared" si="27"/>
        <v>4512.5288881995521</v>
      </c>
    </row>
    <row r="170" spans="2:32">
      <c r="B170" s="399" t="s">
        <v>388</v>
      </c>
      <c r="C170" s="398" t="s">
        <v>425</v>
      </c>
      <c r="D170" s="400">
        <f t="shared" si="30"/>
        <v>0</v>
      </c>
      <c r="E170" s="400">
        <f t="shared" si="30"/>
        <v>0</v>
      </c>
      <c r="F170" s="400">
        <f t="shared" si="30"/>
        <v>0</v>
      </c>
      <c r="G170" s="400">
        <f t="shared" si="30"/>
        <v>0</v>
      </c>
      <c r="H170" s="400">
        <f t="shared" si="30"/>
        <v>2.6544871960279712</v>
      </c>
      <c r="I170" s="400">
        <f t="shared" si="30"/>
        <v>0</v>
      </c>
      <c r="J170" s="400">
        <f t="shared" si="30"/>
        <v>0</v>
      </c>
      <c r="K170" s="400">
        <f t="shared" si="30"/>
        <v>0</v>
      </c>
      <c r="L170" s="400">
        <f t="shared" si="30"/>
        <v>0</v>
      </c>
      <c r="M170" s="400">
        <f t="shared" si="30"/>
        <v>327.9392262061653</v>
      </c>
      <c r="N170" s="400">
        <f t="shared" si="30"/>
        <v>0</v>
      </c>
      <c r="O170" s="400">
        <f t="shared" si="30"/>
        <v>7.0607737938347137</v>
      </c>
      <c r="R170" s="399" t="s">
        <v>388</v>
      </c>
      <c r="S170" s="398" t="s">
        <v>425</v>
      </c>
      <c r="T170" s="416">
        <f t="shared" si="28"/>
        <v>0</v>
      </c>
      <c r="U170" s="416">
        <f t="shared" si="17"/>
        <v>0</v>
      </c>
      <c r="V170" s="416">
        <f t="shared" si="18"/>
        <v>0</v>
      </c>
      <c r="W170" s="416">
        <f t="shared" si="19"/>
        <v>0</v>
      </c>
      <c r="X170" s="416">
        <f t="shared" si="20"/>
        <v>12218.737801857342</v>
      </c>
      <c r="Y170" s="416">
        <f t="shared" si="21"/>
        <v>0</v>
      </c>
      <c r="Z170" s="416">
        <f t="shared" si="22"/>
        <v>0</v>
      </c>
      <c r="AA170" s="416">
        <f t="shared" si="23"/>
        <v>0</v>
      </c>
      <c r="AB170" s="416">
        <f t="shared" si="24"/>
        <v>0</v>
      </c>
      <c r="AC170" s="416">
        <f t="shared" si="25"/>
        <v>119763.09639209256</v>
      </c>
      <c r="AD170" s="416">
        <f t="shared" si="26"/>
        <v>0</v>
      </c>
      <c r="AE170" s="416">
        <f t="shared" si="27"/>
        <v>2578.5879361140301</v>
      </c>
    </row>
    <row r="171" spans="2:32">
      <c r="B171" s="461" t="s">
        <v>369</v>
      </c>
      <c r="C171" s="461" t="s">
        <v>421</v>
      </c>
      <c r="D171" s="462">
        <f t="shared" si="30"/>
        <v>0</v>
      </c>
      <c r="E171" s="462">
        <f t="shared" si="30"/>
        <v>0</v>
      </c>
      <c r="F171" s="462">
        <f t="shared" si="30"/>
        <v>0</v>
      </c>
      <c r="G171" s="462">
        <f t="shared" si="30"/>
        <v>0</v>
      </c>
      <c r="H171" s="462">
        <f t="shared" si="30"/>
        <v>0.98290197304253524</v>
      </c>
      <c r="I171" s="462">
        <f t="shared" si="30"/>
        <v>0</v>
      </c>
      <c r="J171" s="462">
        <f t="shared" si="30"/>
        <v>0</v>
      </c>
      <c r="K171" s="462">
        <f t="shared" si="30"/>
        <v>0</v>
      </c>
      <c r="L171" s="462">
        <f t="shared" si="30"/>
        <v>0</v>
      </c>
      <c r="M171" s="462">
        <f t="shared" si="30"/>
        <v>0</v>
      </c>
      <c r="N171" s="462">
        <f t="shared" si="30"/>
        <v>0</v>
      </c>
      <c r="O171" s="462">
        <f t="shared" si="30"/>
        <v>0</v>
      </c>
      <c r="R171" s="461" t="s">
        <v>369</v>
      </c>
      <c r="S171" s="461" t="s">
        <v>421</v>
      </c>
      <c r="T171" s="465">
        <f t="shared" si="28"/>
        <v>0</v>
      </c>
      <c r="U171" s="465">
        <f t="shared" si="17"/>
        <v>0</v>
      </c>
      <c r="V171" s="465">
        <f t="shared" si="18"/>
        <v>0</v>
      </c>
      <c r="W171" s="465">
        <f t="shared" si="19"/>
        <v>0</v>
      </c>
      <c r="X171" s="465">
        <f t="shared" si="20"/>
        <v>283619.69884770905</v>
      </c>
      <c r="Y171" s="465">
        <f t="shared" si="21"/>
        <v>0</v>
      </c>
      <c r="Z171" s="465">
        <f t="shared" si="22"/>
        <v>0</v>
      </c>
      <c r="AA171" s="465">
        <f t="shared" si="23"/>
        <v>0</v>
      </c>
      <c r="AB171" s="465">
        <f t="shared" si="24"/>
        <v>0</v>
      </c>
      <c r="AC171" s="465">
        <f t="shared" si="25"/>
        <v>0</v>
      </c>
      <c r="AD171" s="465">
        <f t="shared" si="26"/>
        <v>0</v>
      </c>
      <c r="AE171" s="465">
        <f t="shared" si="27"/>
        <v>0</v>
      </c>
    </row>
    <row r="172" spans="2:32">
      <c r="B172" s="461" t="s">
        <v>369</v>
      </c>
      <c r="C172" s="466" t="s">
        <v>422</v>
      </c>
      <c r="D172" s="462">
        <f t="shared" si="30"/>
        <v>0</v>
      </c>
      <c r="E172" s="462">
        <f t="shared" si="30"/>
        <v>0</v>
      </c>
      <c r="F172" s="462">
        <f t="shared" si="30"/>
        <v>0</v>
      </c>
      <c r="G172" s="462">
        <f t="shared" si="30"/>
        <v>0</v>
      </c>
      <c r="H172" s="462">
        <f t="shared" si="30"/>
        <v>2.9487059191276055</v>
      </c>
      <c r="I172" s="462">
        <f t="shared" si="30"/>
        <v>0</v>
      </c>
      <c r="J172" s="462">
        <f t="shared" si="30"/>
        <v>0</v>
      </c>
      <c r="K172" s="462">
        <f t="shared" si="30"/>
        <v>0</v>
      </c>
      <c r="L172" s="462">
        <f t="shared" si="30"/>
        <v>0</v>
      </c>
      <c r="M172" s="462">
        <f t="shared" si="30"/>
        <v>0</v>
      </c>
      <c r="N172" s="462">
        <f t="shared" si="30"/>
        <v>0</v>
      </c>
      <c r="O172" s="462">
        <f t="shared" si="30"/>
        <v>0</v>
      </c>
      <c r="R172" s="461" t="s">
        <v>369</v>
      </c>
      <c r="S172" s="466" t="s">
        <v>422</v>
      </c>
      <c r="T172" s="465">
        <f t="shared" si="28"/>
        <v>0</v>
      </c>
      <c r="U172" s="465">
        <f t="shared" si="17"/>
        <v>0</v>
      </c>
      <c r="V172" s="465">
        <f t="shared" si="18"/>
        <v>0</v>
      </c>
      <c r="W172" s="465">
        <f t="shared" si="19"/>
        <v>0</v>
      </c>
      <c r="X172" s="465">
        <f t="shared" si="20"/>
        <v>141809.84942385452</v>
      </c>
      <c r="Y172" s="465">
        <f t="shared" si="21"/>
        <v>0</v>
      </c>
      <c r="Z172" s="465">
        <f t="shared" si="22"/>
        <v>0</v>
      </c>
      <c r="AA172" s="465">
        <f t="shared" si="23"/>
        <v>0</v>
      </c>
      <c r="AB172" s="465">
        <f t="shared" si="24"/>
        <v>0</v>
      </c>
      <c r="AC172" s="465">
        <f t="shared" si="25"/>
        <v>0</v>
      </c>
      <c r="AD172" s="465">
        <f t="shared" si="26"/>
        <v>0</v>
      </c>
      <c r="AE172" s="465">
        <f t="shared" si="27"/>
        <v>0</v>
      </c>
    </row>
    <row r="173" spans="2:32">
      <c r="B173" s="461" t="s">
        <v>369</v>
      </c>
      <c r="C173" s="466" t="s">
        <v>424</v>
      </c>
      <c r="D173" s="462">
        <f t="shared" si="30"/>
        <v>0</v>
      </c>
      <c r="E173" s="462">
        <f t="shared" si="30"/>
        <v>0</v>
      </c>
      <c r="F173" s="462">
        <f t="shared" si="30"/>
        <v>0</v>
      </c>
      <c r="G173" s="462">
        <f t="shared" si="30"/>
        <v>0</v>
      </c>
      <c r="H173" s="462">
        <f t="shared" si="30"/>
        <v>9.8290197304253528</v>
      </c>
      <c r="I173" s="462">
        <f t="shared" si="30"/>
        <v>0</v>
      </c>
      <c r="J173" s="462">
        <f t="shared" si="30"/>
        <v>0</v>
      </c>
      <c r="K173" s="462">
        <f t="shared" si="30"/>
        <v>0</v>
      </c>
      <c r="L173" s="462">
        <f t="shared" si="30"/>
        <v>0</v>
      </c>
      <c r="M173" s="462">
        <f t="shared" si="30"/>
        <v>0</v>
      </c>
      <c r="N173" s="462">
        <f t="shared" si="30"/>
        <v>0</v>
      </c>
      <c r="O173" s="462">
        <f t="shared" si="30"/>
        <v>0</v>
      </c>
      <c r="R173" s="461" t="s">
        <v>369</v>
      </c>
      <c r="S173" s="466" t="s">
        <v>424</v>
      </c>
      <c r="T173" s="465">
        <f t="shared" si="28"/>
        <v>0</v>
      </c>
      <c r="U173" s="465">
        <f t="shared" si="17"/>
        <v>0</v>
      </c>
      <c r="V173" s="465">
        <f t="shared" si="18"/>
        <v>0</v>
      </c>
      <c r="W173" s="465">
        <f t="shared" si="19"/>
        <v>0</v>
      </c>
      <c r="X173" s="465">
        <f t="shared" si="20"/>
        <v>992668.94596698147</v>
      </c>
      <c r="Y173" s="465">
        <f t="shared" si="21"/>
        <v>0</v>
      </c>
      <c r="Z173" s="465">
        <f t="shared" si="22"/>
        <v>0</v>
      </c>
      <c r="AA173" s="465">
        <f t="shared" si="23"/>
        <v>0</v>
      </c>
      <c r="AB173" s="465">
        <f t="shared" si="24"/>
        <v>0</v>
      </c>
      <c r="AC173" s="465">
        <f t="shared" si="25"/>
        <v>0</v>
      </c>
      <c r="AD173" s="465">
        <f t="shared" si="26"/>
        <v>0</v>
      </c>
      <c r="AE173" s="465">
        <f t="shared" si="27"/>
        <v>0</v>
      </c>
    </row>
    <row r="174" spans="2:32">
      <c r="B174" s="404" t="s">
        <v>372</v>
      </c>
      <c r="C174" s="404" t="s">
        <v>420</v>
      </c>
      <c r="D174" s="406">
        <f t="shared" si="30"/>
        <v>0</v>
      </c>
      <c r="E174" s="406">
        <f t="shared" si="30"/>
        <v>0</v>
      </c>
      <c r="F174" s="406">
        <f t="shared" si="30"/>
        <v>0</v>
      </c>
      <c r="G174" s="406">
        <f t="shared" si="30"/>
        <v>0</v>
      </c>
      <c r="H174" s="406">
        <f t="shared" si="30"/>
        <v>0</v>
      </c>
      <c r="I174" s="406">
        <f t="shared" si="30"/>
        <v>5.8031442736452767</v>
      </c>
      <c r="J174" s="406">
        <f t="shared" si="30"/>
        <v>0</v>
      </c>
      <c r="K174" s="406">
        <f t="shared" si="30"/>
        <v>0</v>
      </c>
      <c r="L174" s="406">
        <f t="shared" si="30"/>
        <v>0</v>
      </c>
      <c r="M174" s="406">
        <f t="shared" si="30"/>
        <v>11.088624779707486</v>
      </c>
      <c r="N174" s="406">
        <f t="shared" si="30"/>
        <v>3.2667422552376824</v>
      </c>
      <c r="O174" s="406">
        <f t="shared" si="30"/>
        <v>236.6446329650548</v>
      </c>
      <c r="R174" s="404" t="s">
        <v>372</v>
      </c>
      <c r="S174" s="404" t="s">
        <v>420</v>
      </c>
      <c r="T174" s="418">
        <f t="shared" si="28"/>
        <v>0</v>
      </c>
      <c r="U174" s="418">
        <f t="shared" si="17"/>
        <v>0</v>
      </c>
      <c r="V174" s="418">
        <f t="shared" si="18"/>
        <v>0</v>
      </c>
      <c r="W174" s="418">
        <f t="shared" si="19"/>
        <v>0</v>
      </c>
      <c r="X174" s="418">
        <f t="shared" si="20"/>
        <v>0</v>
      </c>
      <c r="Y174" s="418">
        <f t="shared" si="21"/>
        <v>572734.55451997498</v>
      </c>
      <c r="Z174" s="418">
        <f t="shared" si="22"/>
        <v>0</v>
      </c>
      <c r="AA174" s="418">
        <f t="shared" si="23"/>
        <v>0</v>
      </c>
      <c r="AB174" s="418">
        <f t="shared" si="24"/>
        <v>0</v>
      </c>
      <c r="AC174" s="418">
        <f t="shared" si="25"/>
        <v>10067.197864421016</v>
      </c>
      <c r="AD174" s="418">
        <f t="shared" si="26"/>
        <v>2965.8268098066378</v>
      </c>
      <c r="AE174" s="418">
        <f t="shared" si="27"/>
        <v>214846.15008096074</v>
      </c>
    </row>
    <row r="175" spans="2:32">
      <c r="B175" s="404" t="s">
        <v>372</v>
      </c>
      <c r="C175" s="404" t="s">
        <v>422</v>
      </c>
      <c r="D175" s="406">
        <f t="shared" si="30"/>
        <v>0</v>
      </c>
      <c r="E175" s="406">
        <f t="shared" si="30"/>
        <v>0</v>
      </c>
      <c r="F175" s="406">
        <f t="shared" si="30"/>
        <v>0</v>
      </c>
      <c r="G175" s="406">
        <f t="shared" si="30"/>
        <v>0</v>
      </c>
      <c r="H175" s="406">
        <f t="shared" si="30"/>
        <v>0</v>
      </c>
      <c r="I175" s="406">
        <f t="shared" si="30"/>
        <v>5.8031442736452767</v>
      </c>
      <c r="J175" s="406">
        <f t="shared" si="30"/>
        <v>0</v>
      </c>
      <c r="K175" s="406">
        <f t="shared" si="30"/>
        <v>0</v>
      </c>
      <c r="L175" s="406">
        <f t="shared" si="30"/>
        <v>0</v>
      </c>
      <c r="M175" s="406">
        <f t="shared" si="30"/>
        <v>11.088624779707486</v>
      </c>
      <c r="N175" s="406">
        <f t="shared" si="30"/>
        <v>3.2667422552376819</v>
      </c>
      <c r="O175" s="406">
        <f t="shared" si="30"/>
        <v>236.6446329650548</v>
      </c>
      <c r="R175" s="404" t="s">
        <v>372</v>
      </c>
      <c r="S175" s="404" t="s">
        <v>422</v>
      </c>
      <c r="T175" s="418">
        <f t="shared" si="28"/>
        <v>0</v>
      </c>
      <c r="U175" s="418">
        <f t="shared" si="17"/>
        <v>0</v>
      </c>
      <c r="V175" s="418">
        <f t="shared" si="18"/>
        <v>0</v>
      </c>
      <c r="W175" s="418">
        <f t="shared" si="19"/>
        <v>0</v>
      </c>
      <c r="X175" s="418">
        <f t="shared" si="20"/>
        <v>0</v>
      </c>
      <c r="Y175" s="418">
        <f t="shared" si="21"/>
        <v>381823.03634664998</v>
      </c>
      <c r="Z175" s="418">
        <f t="shared" si="22"/>
        <v>0</v>
      </c>
      <c r="AA175" s="418">
        <f t="shared" si="23"/>
        <v>0</v>
      </c>
      <c r="AB175" s="418">
        <f t="shared" si="24"/>
        <v>0</v>
      </c>
      <c r="AC175" s="418">
        <f t="shared" si="25"/>
        <v>15100.796796631517</v>
      </c>
      <c r="AD175" s="418">
        <f t="shared" si="26"/>
        <v>4448.7402147099547</v>
      </c>
      <c r="AE175" s="418">
        <f t="shared" si="27"/>
        <v>322269.22512144101</v>
      </c>
    </row>
    <row r="176" spans="2:32">
      <c r="T176" s="420">
        <f>SUM(T147:T175)*Conversions!$B$3</f>
        <v>1.6912149018245652</v>
      </c>
      <c r="U176" s="420">
        <f>SUM(U147:U175)*Conversions!$B$3</f>
        <v>2.3601590954574929</v>
      </c>
      <c r="V176" s="420">
        <f>SUM(V147:V175)*Conversions!$B$3</f>
        <v>8.1191020494329607</v>
      </c>
      <c r="W176" s="420">
        <f>SUM(W147:W175)*Conversions!$B$3</f>
        <v>1.4423945671860097</v>
      </c>
      <c r="X176" s="420">
        <f>SUM(X147:X175)*Conversions!$B$3</f>
        <v>46.687345405530543</v>
      </c>
      <c r="Y176" s="420">
        <f>SUM(Y147:Y175)*Conversions!$B$3</f>
        <v>3.9759773253291715</v>
      </c>
      <c r="Z176" s="420">
        <f>SUM(Z147:Z175)*Conversions!$B$3</f>
        <v>0</v>
      </c>
      <c r="AA176" s="420">
        <f>SUM(AA147:AA175)*Conversions!$B$3</f>
        <v>0</v>
      </c>
      <c r="AB176" s="420">
        <f>SUM(AB147:AB175)*Conversions!$B$3</f>
        <v>0.36261156598382766</v>
      </c>
      <c r="AC176" s="420">
        <f>SUM(AC147:AC175)*Conversions!$B$3</f>
        <v>5.9434151105622215</v>
      </c>
      <c r="AD176" s="420">
        <f>SUM(AD147:AD175)*Conversions!$B$3</f>
        <v>7.513325519172704</v>
      </c>
      <c r="AE176" s="420">
        <f>SUM(AE147:AE175)*Conversions!$B$3</f>
        <v>2.5653255496496818</v>
      </c>
      <c r="AF176" s="385"/>
    </row>
    <row r="177" spans="2:58">
      <c r="D177" s="375" t="s">
        <v>354</v>
      </c>
      <c r="E177" s="375" t="s">
        <v>354</v>
      </c>
      <c r="F177" s="375" t="s">
        <v>354</v>
      </c>
      <c r="G177" s="375" t="s">
        <v>354</v>
      </c>
      <c r="H177" s="375" t="s">
        <v>354</v>
      </c>
      <c r="I177" s="375" t="s">
        <v>354</v>
      </c>
      <c r="J177" s="376" t="s">
        <v>394</v>
      </c>
      <c r="K177" s="376" t="s">
        <v>394</v>
      </c>
      <c r="L177" s="376" t="s">
        <v>394</v>
      </c>
      <c r="M177" s="376" t="s">
        <v>394</v>
      </c>
      <c r="N177" s="376" t="s">
        <v>394</v>
      </c>
      <c r="O177" s="376" t="s">
        <v>394</v>
      </c>
    </row>
    <row r="178" spans="2:58" ht="18.5">
      <c r="D178" t="s">
        <v>361</v>
      </c>
      <c r="E178" t="s">
        <v>363</v>
      </c>
      <c r="F178" t="s">
        <v>365</v>
      </c>
      <c r="G178" t="s">
        <v>358</v>
      </c>
      <c r="H178" t="s">
        <v>356</v>
      </c>
      <c r="I178" t="s">
        <v>374</v>
      </c>
      <c r="J178" t="s">
        <v>361</v>
      </c>
      <c r="K178" t="s">
        <v>363</v>
      </c>
      <c r="L178" t="s">
        <v>365</v>
      </c>
      <c r="M178" t="s">
        <v>358</v>
      </c>
      <c r="N178" t="s">
        <v>356</v>
      </c>
      <c r="O178" t="s">
        <v>374</v>
      </c>
      <c r="R178" s="475" t="s">
        <v>477</v>
      </c>
      <c r="T178" s="375" t="s">
        <v>354</v>
      </c>
      <c r="U178" s="375" t="s">
        <v>354</v>
      </c>
      <c r="V178" s="375" t="s">
        <v>354</v>
      </c>
      <c r="W178" s="375" t="s">
        <v>354</v>
      </c>
      <c r="X178" s="375" t="s">
        <v>354</v>
      </c>
      <c r="Y178" s="375" t="s">
        <v>354</v>
      </c>
      <c r="Z178" s="376" t="s">
        <v>394</v>
      </c>
      <c r="AA178" s="376" t="s">
        <v>394</v>
      </c>
      <c r="AB178" s="376" t="s">
        <v>394</v>
      </c>
      <c r="AC178" s="376" t="s">
        <v>394</v>
      </c>
      <c r="AD178" s="376" t="s">
        <v>394</v>
      </c>
      <c r="AE178" s="376" t="s">
        <v>394</v>
      </c>
      <c r="AO178" s="509" t="s">
        <v>434</v>
      </c>
      <c r="AP178" s="509"/>
      <c r="AQ178" s="509"/>
      <c r="AR178" s="509"/>
      <c r="AS178" s="509"/>
      <c r="AT178" s="509"/>
      <c r="AU178" s="509"/>
      <c r="AV178" s="509"/>
      <c r="AW178" s="509" t="s">
        <v>475</v>
      </c>
      <c r="AX178" s="509"/>
      <c r="AY178" s="509"/>
      <c r="AZ178" s="509"/>
      <c r="BA178" s="509"/>
      <c r="BB178" s="509"/>
      <c r="BC178" s="509"/>
      <c r="BD178" s="509"/>
      <c r="BE178">
        <v>2019</v>
      </c>
    </row>
    <row r="179" spans="2:58">
      <c r="B179" s="395" t="s">
        <v>359</v>
      </c>
      <c r="C179" s="395" t="s">
        <v>419</v>
      </c>
      <c r="D179" s="410">
        <f t="shared" ref="D179:I179" si="31">+IFERROR(D147/SUM($D147:$I147),0)</f>
        <v>0.14630376248228891</v>
      </c>
      <c r="E179" s="410">
        <f t="shared" si="31"/>
        <v>0.20417284364612695</v>
      </c>
      <c r="F179" s="410">
        <f t="shared" si="31"/>
        <v>0.64160385432008293</v>
      </c>
      <c r="G179" s="410">
        <f t="shared" si="31"/>
        <v>7.886019586959633E-3</v>
      </c>
      <c r="H179" s="410">
        <f t="shared" si="31"/>
        <v>3.351996454161909E-5</v>
      </c>
      <c r="I179" s="410">
        <f t="shared" si="31"/>
        <v>0</v>
      </c>
      <c r="J179" s="410">
        <f>+IFERROR(J147/SUM($J147:$O147),0)</f>
        <v>0</v>
      </c>
      <c r="K179" s="410">
        <f t="shared" ref="K179:O179" si="32">+IFERROR(K147/SUM($J147:$O147),0)</f>
        <v>0</v>
      </c>
      <c r="L179" s="410">
        <f t="shared" si="32"/>
        <v>0</v>
      </c>
      <c r="M179" s="410">
        <f t="shared" si="32"/>
        <v>0</v>
      </c>
      <c r="N179" s="410">
        <f t="shared" si="32"/>
        <v>0</v>
      </c>
      <c r="O179" s="410">
        <f t="shared" si="32"/>
        <v>0</v>
      </c>
      <c r="T179" t="s">
        <v>361</v>
      </c>
      <c r="U179" t="s">
        <v>363</v>
      </c>
      <c r="V179" t="s">
        <v>365</v>
      </c>
      <c r="W179" t="s">
        <v>358</v>
      </c>
      <c r="X179" t="s">
        <v>356</v>
      </c>
      <c r="Y179" t="s">
        <v>374</v>
      </c>
      <c r="Z179" t="s">
        <v>361</v>
      </c>
      <c r="AA179" t="s">
        <v>363</v>
      </c>
      <c r="AB179" t="s">
        <v>365</v>
      </c>
      <c r="AC179" t="s">
        <v>358</v>
      </c>
      <c r="AD179" t="s">
        <v>356</v>
      </c>
      <c r="AE179" t="s">
        <v>374</v>
      </c>
      <c r="AF179" t="s">
        <v>361</v>
      </c>
      <c r="AG179" t="s">
        <v>363</v>
      </c>
      <c r="AH179" t="s">
        <v>365</v>
      </c>
      <c r="AI179" t="s">
        <v>358</v>
      </c>
      <c r="AJ179" t="s">
        <v>356</v>
      </c>
      <c r="AK179" t="s">
        <v>374</v>
      </c>
      <c r="AL179" t="s">
        <v>431</v>
      </c>
      <c r="AM179" t="s">
        <v>432</v>
      </c>
      <c r="AO179" t="s">
        <v>433</v>
      </c>
      <c r="AP179" t="s">
        <v>361</v>
      </c>
      <c r="AQ179" t="s">
        <v>363</v>
      </c>
      <c r="AR179" t="s">
        <v>365</v>
      </c>
      <c r="AS179" t="s">
        <v>358</v>
      </c>
      <c r="AT179" t="s">
        <v>356</v>
      </c>
      <c r="AU179" t="s">
        <v>374</v>
      </c>
      <c r="AV179" t="s">
        <v>432</v>
      </c>
      <c r="AW179" t="s">
        <v>433</v>
      </c>
      <c r="AX179" t="s">
        <v>361</v>
      </c>
      <c r="AY179" t="s">
        <v>363</v>
      </c>
      <c r="AZ179" t="s">
        <v>365</v>
      </c>
      <c r="BA179" t="s">
        <v>358</v>
      </c>
      <c r="BB179" t="s">
        <v>356</v>
      </c>
      <c r="BC179" t="s">
        <v>374</v>
      </c>
      <c r="BD179" t="s">
        <v>432</v>
      </c>
      <c r="BE179" t="s">
        <v>476</v>
      </c>
      <c r="BF179" t="s">
        <v>509</v>
      </c>
    </row>
    <row r="180" spans="2:58">
      <c r="B180" s="395" t="s">
        <v>359</v>
      </c>
      <c r="C180" s="397" t="s">
        <v>420</v>
      </c>
      <c r="D180" s="410">
        <f t="shared" ref="D180:I180" si="33">+IFERROR(D148/SUM($D148:$I148),0)</f>
        <v>0.14630376248228891</v>
      </c>
      <c r="E180" s="410">
        <f t="shared" si="33"/>
        <v>0.20417284364612695</v>
      </c>
      <c r="F180" s="410">
        <f t="shared" si="33"/>
        <v>0.64160385432008293</v>
      </c>
      <c r="G180" s="410">
        <f t="shared" si="33"/>
        <v>7.8860195869596313E-3</v>
      </c>
      <c r="H180" s="410">
        <f t="shared" si="33"/>
        <v>3.351996454161909E-5</v>
      </c>
      <c r="I180" s="410">
        <f t="shared" si="33"/>
        <v>0</v>
      </c>
      <c r="J180" s="410">
        <f t="shared" ref="J180:O180" si="34">+IFERROR(J148/SUM($J148:$O148),0)</f>
        <v>0</v>
      </c>
      <c r="K180" s="410">
        <f t="shared" si="34"/>
        <v>0</v>
      </c>
      <c r="L180" s="410">
        <f t="shared" si="34"/>
        <v>0</v>
      </c>
      <c r="M180" s="410">
        <f t="shared" si="34"/>
        <v>0</v>
      </c>
      <c r="N180" s="410">
        <f t="shared" si="34"/>
        <v>0</v>
      </c>
      <c r="O180" s="410">
        <f t="shared" si="34"/>
        <v>0</v>
      </c>
      <c r="R180" s="395" t="s">
        <v>359</v>
      </c>
      <c r="S180" s="444">
        <f>+SUM(T180:AE180)</f>
        <v>11.559613185131168</v>
      </c>
      <c r="T180" s="396">
        <f>+SUMIF($R$147:$R$175,$R180,T$147:T$175)*Conversions!$B$3</f>
        <v>1.6912149018245652</v>
      </c>
      <c r="U180" s="396">
        <f>+SUMIF($R$147:$R$175,$R180,U$147:U$175)*Conversions!$B$3</f>
        <v>2.3601590954574929</v>
      </c>
      <c r="V180" s="396">
        <f>+SUMIF($R$147:$R$175,$R180,V$147:V$175)*Conversions!$B$3</f>
        <v>7.4166923740294068</v>
      </c>
      <c r="W180" s="396">
        <f>+SUMIF($R$147:$R$175,$R180,W$147:W$175)*Conversions!$B$3</f>
        <v>9.1159335995621205E-2</v>
      </c>
      <c r="X180" s="396">
        <f>+SUMIF($R$147:$R$175,$R180,X$147:X$175)*Conversions!$B$3</f>
        <v>3.8747782408042923E-4</v>
      </c>
      <c r="Y180" s="396">
        <f>+SUMIF($R$147:$R$175,$R180,Y$147:Y$175)*Conversions!$B$3</f>
        <v>0</v>
      </c>
      <c r="Z180" s="396">
        <f>+SUMIF($R$147:$R$175,$R180,Z$147:Z$175)*Conversions!$B$3</f>
        <v>0</v>
      </c>
      <c r="AA180" s="396">
        <f>+SUMIF($R$147:$R$175,$R180,AA$147:AA$175)*Conversions!$B$3</f>
        <v>0</v>
      </c>
      <c r="AB180" s="396">
        <f>+SUMIF($R$147:$R$175,$R180,AB$147:AB$175)*Conversions!$B$3</f>
        <v>0</v>
      </c>
      <c r="AC180" s="396">
        <f>+SUMIF($R$147:$R$175,$R180,AC$147:AC$175)*Conversions!$B$3</f>
        <v>0</v>
      </c>
      <c r="AD180" s="396">
        <f>+SUMIF($R$147:$R$175,$R180,AD$147:AD$175)*Conversions!$B$3</f>
        <v>0</v>
      </c>
      <c r="AE180" s="396">
        <f>+SUMIF($R$147:$R$175,$R180,AE$147:AE$175)*Conversions!$B$3</f>
        <v>0</v>
      </c>
      <c r="AF180" s="459">
        <f>+Z180+T180</f>
        <v>1.6912149018245652</v>
      </c>
      <c r="AG180" s="459">
        <f t="shared" ref="AG180:AK188" si="35">+AA180+U180</f>
        <v>2.3601590954574929</v>
      </c>
      <c r="AH180" s="459">
        <f>+AB180+V180</f>
        <v>7.4166923740294068</v>
      </c>
      <c r="AI180" s="459">
        <f t="shared" si="35"/>
        <v>9.1159335995621205E-2</v>
      </c>
      <c r="AJ180" s="459">
        <f t="shared" si="35"/>
        <v>3.8747782408042923E-4</v>
      </c>
      <c r="AK180" s="459">
        <f t="shared" si="35"/>
        <v>0</v>
      </c>
      <c r="AL180" s="387">
        <f>SUM(AF180:AK180)</f>
        <v>11.559613185131168</v>
      </c>
      <c r="AM180" s="387">
        <f>SUMIF($T$113:$T$141,AN180,$P$113:$S$141)*Conversions!$B$3</f>
        <v>2.296716299401182</v>
      </c>
      <c r="AN180" s="395" t="s">
        <v>359</v>
      </c>
      <c r="AO180" s="459">
        <f t="shared" ref="AO180:AO188" si="36">+SUM(AP180:AU180)</f>
        <v>14.828138593546825</v>
      </c>
      <c r="AP180" s="387">
        <f>+'EB2019'!AF38*Conversions!$B$2</f>
        <v>1.6912622571677662</v>
      </c>
      <c r="AQ180" s="387">
        <f>+'EB2019'!AN38*Conversions!$B$2</f>
        <v>2.3723125702563985</v>
      </c>
      <c r="AR180" s="387">
        <f>+'EB2019'!C38*Conversions!$B$2</f>
        <v>3.3139014117518704</v>
      </c>
      <c r="AS180" s="387">
        <f>+'EB2019'!L38*Conversions!$B$2</f>
        <v>5.9846648024104203</v>
      </c>
      <c r="AT180" s="387">
        <f>+'EB2019'!AA38*Conversions!$B$2</f>
        <v>1.4195816694656069</v>
      </c>
      <c r="AU180" s="387">
        <f>+'EB2019'!AE38*Conversions!$B$2</f>
        <v>4.6415882494762327E-2</v>
      </c>
      <c r="AV180" s="387">
        <f>+'EB2019'!AO38*Conversions!$B$2</f>
        <v>2.7851701423708044</v>
      </c>
      <c r="AW180" s="459">
        <f>+SUM(AX180:BC180)</f>
        <v>16.397384738923023</v>
      </c>
      <c r="AX180" s="387">
        <f>+'EB2018'!AF38*Conversions!$B$2</f>
        <v>1.7037305140559671</v>
      </c>
      <c r="AY180" s="387">
        <f>+'EB2018'!AN38*Conversions!$B$2</f>
        <v>2.2911400353810554</v>
      </c>
      <c r="AZ180" s="387">
        <f>+'EB2018'!C38*Conversions!$B$2</f>
        <v>3.6391335711979691</v>
      </c>
      <c r="BA180" s="387">
        <f>+'EB2018'!L38*Conversions!$B$2</f>
        <v>6.7124272784394208</v>
      </c>
      <c r="BB180" s="387">
        <f>+'EB2018'!AA38*Conversions!$B$2</f>
        <v>1.9577646302977345</v>
      </c>
      <c r="BC180" s="387">
        <f>+'EB2018'!AE38*Conversions!$B$2</f>
        <v>9.3188709550874854E-2</v>
      </c>
      <c r="BD180" s="387">
        <f>+'EB2018'!AO38*Conversions!$B$2</f>
        <v>3.085092065585795</v>
      </c>
      <c r="BE180" s="387">
        <f>+'EB2019'!V38*Conversions!$B$2</f>
        <v>5.3541848937173944</v>
      </c>
    </row>
    <row r="181" spans="2:58">
      <c r="B181" s="398" t="s">
        <v>387</v>
      </c>
      <c r="C181" s="399" t="s">
        <v>420</v>
      </c>
      <c r="D181" s="411">
        <f t="shared" ref="D181:I181" si="37">+IFERROR(D149/SUM($D149:$I149),0)</f>
        <v>0</v>
      </c>
      <c r="E181" s="411">
        <f t="shared" si="37"/>
        <v>0</v>
      </c>
      <c r="F181" s="411">
        <f t="shared" si="37"/>
        <v>0</v>
      </c>
      <c r="G181" s="411">
        <f t="shared" si="37"/>
        <v>0</v>
      </c>
      <c r="H181" s="411">
        <f t="shared" si="37"/>
        <v>0</v>
      </c>
      <c r="I181" s="411">
        <f t="shared" si="37"/>
        <v>0</v>
      </c>
      <c r="J181" s="411">
        <f t="shared" ref="J181:O181" si="38">+IFERROR(J149/SUM($J149:$O149),0)</f>
        <v>0</v>
      </c>
      <c r="K181" s="411">
        <f t="shared" si="38"/>
        <v>0</v>
      </c>
      <c r="L181" s="411">
        <f t="shared" si="38"/>
        <v>9.8689901326674948E-2</v>
      </c>
      <c r="M181" s="411">
        <f t="shared" si="38"/>
        <v>0.10702099846837276</v>
      </c>
      <c r="N181" s="411">
        <f t="shared" si="38"/>
        <v>0.79428910020495214</v>
      </c>
      <c r="O181" s="411">
        <f t="shared" si="38"/>
        <v>0</v>
      </c>
      <c r="R181" s="398" t="s">
        <v>387</v>
      </c>
      <c r="S181" s="428">
        <f t="shared" ref="S181:S188" si="39">+SUM(T181:AE181)</f>
        <v>7.4226106850918043</v>
      </c>
      <c r="T181" s="400">
        <f>+SUMIF($R$147:$R$175,$R181,T$147:T$175)*Conversions!$B$3</f>
        <v>0</v>
      </c>
      <c r="U181" s="400">
        <f>+SUMIF($R$147:$R$175,$R181,U$147:U$175)*Conversions!$B$3</f>
        <v>0</v>
      </c>
      <c r="V181" s="400">
        <f>+SUMIF($R$147:$R$175,$R181,V$147:V$175)*Conversions!$B$3</f>
        <v>0</v>
      </c>
      <c r="W181" s="400">
        <f>+SUMIF($R$147:$R$175,$R181,W$147:W$175)*Conversions!$B$3</f>
        <v>0.26760924459687974</v>
      </c>
      <c r="X181" s="400">
        <f>+SUMIF($R$147:$R$175,$R181,X$147:X$175)*Conversions!$B$3</f>
        <v>3.5384288446906105</v>
      </c>
      <c r="Y181" s="400">
        <f>+SUMIF($R$147:$R$175,$R181,Y$147:Y$175)*Conversions!$B$3</f>
        <v>0</v>
      </c>
      <c r="Z181" s="400">
        <f>+SUMIF($R$147:$R$175,$R181,Z$147:Z$175)*Conversions!$B$3</f>
        <v>0</v>
      </c>
      <c r="AA181" s="400">
        <f>+SUMIF($R$147:$R$175,$R181,AA$147:AA$175)*Conversions!$B$3</f>
        <v>0</v>
      </c>
      <c r="AB181" s="400">
        <f>+SUMIF($R$147:$R$175,$R181,AB$147:AB$175)*Conversions!$B$3</f>
        <v>0.35691919262068444</v>
      </c>
      <c r="AC181" s="400">
        <f>+SUMIF($R$147:$R$175,$R181,AC$147:AC$175)*Conversions!$B$3</f>
        <v>0.38704921023633243</v>
      </c>
      <c r="AD181" s="400">
        <f>+SUMIF($R$147:$R$175,$R181,AD$147:AD$175)*Conversions!$B$3</f>
        <v>2.8726041929472976</v>
      </c>
      <c r="AE181" s="400">
        <f>+SUMIF($R$147:$R$175,$R181,AE$147:AE$175)*Conversions!$B$3</f>
        <v>0</v>
      </c>
      <c r="AF181" s="459">
        <f t="shared" ref="AF181:AF188" si="40">+Z181+T181</f>
        <v>0</v>
      </c>
      <c r="AG181" s="459">
        <f t="shared" si="35"/>
        <v>0</v>
      </c>
      <c r="AH181" s="459">
        <f t="shared" si="35"/>
        <v>0.35691919262068444</v>
      </c>
      <c r="AI181" s="459">
        <f t="shared" si="35"/>
        <v>0.65465845483321217</v>
      </c>
      <c r="AJ181" s="459">
        <f t="shared" si="35"/>
        <v>6.4110330376379085</v>
      </c>
      <c r="AK181" s="459">
        <f t="shared" si="35"/>
        <v>0</v>
      </c>
      <c r="AL181" s="387">
        <f t="shared" ref="AL181:AL188" si="41">SUM(AF181:AK181)</f>
        <v>7.4226106850918052</v>
      </c>
      <c r="AM181" s="387">
        <f>SUMIF($T$113:$T$141,AN181,$P$113:$S$141)*Conversions!$B$3</f>
        <v>2.115776238744103</v>
      </c>
      <c r="AN181" s="398" t="s">
        <v>387</v>
      </c>
      <c r="AO181" s="459">
        <f t="shared" si="36"/>
        <v>6.7307563007450719</v>
      </c>
      <c r="AP181" s="387">
        <f>(+'EB2019'!AF36*Conversions!$B$2)+(+'EB2019'!AF37*Conversions!$B$2)</f>
        <v>0</v>
      </c>
      <c r="AQ181" s="387">
        <f>(+'EB2019'!AN36*Conversions!$B$2)+(+'EB2019'!AN37*Conversions!$B$2)</f>
        <v>0</v>
      </c>
      <c r="AR181" s="387">
        <f>(+'EB2019'!C36*Conversions!$B$2)+(+'EB2019'!C37*Conversions!$B$2)</f>
        <v>0</v>
      </c>
      <c r="AS181" s="387">
        <f>(+'EB2019'!L36*Conversions!$B$2)+(+'EB2019'!L37*Conversions!$B$2)</f>
        <v>0.98446897435934844</v>
      </c>
      <c r="AT181" s="387">
        <f>(+'EB2019'!AA36*Conversions!$B$2)+(+'EB2019'!AA37*Conversions!$B$2)</f>
        <v>5.7462873263857235</v>
      </c>
      <c r="AU181" s="387">
        <f>(+'EB2019'!AE36*Conversions!$B$2)+(+'EB2019'!AE37*Conversions!$B$2)</f>
        <v>0</v>
      </c>
      <c r="AV181" s="387">
        <f>(+'EB2019'!AO36*Conversions!$B$2)+(+'EB2019'!AO37*Conversions!$B$2)</f>
        <v>4.5228113439464668</v>
      </c>
      <c r="AW181" s="459">
        <f t="shared" ref="AW181:AW188" si="42">+SUM(AX181:BC181)</f>
        <v>7.2286026464118081</v>
      </c>
      <c r="AX181" s="387">
        <f>(+'EB2018'!AF36*Conversions!$B$2)+(+'EB2018'!AF37*Conversions!$B$2)</f>
        <v>0</v>
      </c>
      <c r="AY181" s="387">
        <f>(+'EB2018'!AN36*Conversions!$B$2)+(+'EB2018'!AN37*Conversions!$B$2)</f>
        <v>0</v>
      </c>
      <c r="AZ181" s="387">
        <f>(+'EB2018'!C36*Conversions!$B$2)+(+'EB2018'!C37*Conversions!$B$2)</f>
        <v>0</v>
      </c>
      <c r="BA181" s="387">
        <f>(+'EB2018'!L36*Conversions!$B$2)+(+'EB2018'!L37*Conversions!$B$2)</f>
        <v>1.0723091402064582</v>
      </c>
      <c r="BB181" s="387">
        <f>(+'EB2018'!AA36*Conversions!$B$2)+(+'EB2018'!AA37*Conversions!$B$2)</f>
        <v>6.1562935062053494</v>
      </c>
      <c r="BC181" s="387">
        <f>(+'EB2018'!AE36*Conversions!$B$2)+(+'EB2018'!AE37*Conversions!$B$2)</f>
        <v>0</v>
      </c>
      <c r="BD181" s="387">
        <f>(+'EB2018'!AO36*Conversions!$B$2)+(+'EB2018'!AO37*Conversions!$B$2)</f>
        <v>4.2370706190450118</v>
      </c>
      <c r="BE181" s="387">
        <f>(+'EB2019'!V36*Conversions!$B$2)+(+'EB2019'!V37*Conversions!$B$2)</f>
        <v>0.3808289979579858</v>
      </c>
    </row>
    <row r="182" spans="2:58">
      <c r="B182" s="398" t="s">
        <v>387</v>
      </c>
      <c r="C182" s="398" t="s">
        <v>421</v>
      </c>
      <c r="D182" s="411">
        <f t="shared" ref="D182:I182" si="43">+IFERROR(D150/SUM($D150:$I150),0)</f>
        <v>0</v>
      </c>
      <c r="E182" s="411">
        <f t="shared" si="43"/>
        <v>0</v>
      </c>
      <c r="F182" s="411">
        <f t="shared" si="43"/>
        <v>0</v>
      </c>
      <c r="G182" s="411">
        <f t="shared" si="43"/>
        <v>7.0311762078812387E-2</v>
      </c>
      <c r="H182" s="411">
        <f t="shared" si="43"/>
        <v>0.9296882379211876</v>
      </c>
      <c r="I182" s="411">
        <f t="shared" si="43"/>
        <v>0</v>
      </c>
      <c r="J182" s="411">
        <f t="shared" ref="J182:O182" si="44">+IFERROR(J150/SUM($J150:$O150),0)</f>
        <v>0</v>
      </c>
      <c r="K182" s="411">
        <f t="shared" si="44"/>
        <v>0</v>
      </c>
      <c r="L182" s="411">
        <f t="shared" si="44"/>
        <v>9.8689901326674948E-2</v>
      </c>
      <c r="M182" s="411">
        <f t="shared" si="44"/>
        <v>0.10702099846837276</v>
      </c>
      <c r="N182" s="411">
        <f t="shared" si="44"/>
        <v>0.79428910020495214</v>
      </c>
      <c r="O182" s="411">
        <f t="shared" si="44"/>
        <v>0</v>
      </c>
      <c r="R182" s="401" t="s">
        <v>377</v>
      </c>
      <c r="S182" s="424">
        <f t="shared" si="39"/>
        <v>17.859833031145346</v>
      </c>
      <c r="T182" s="402">
        <f>+SUMIF($R$147:$R$175,$R182,T$147:T$175)*Conversions!$B$3</f>
        <v>0</v>
      </c>
      <c r="U182" s="402">
        <f>+SUMIF($R$147:$R$175,$R182,U$147:U$175)*Conversions!$B$3</f>
        <v>0</v>
      </c>
      <c r="V182" s="402">
        <f>+SUMIF($R$147:$R$175,$R182,V$147:V$175)*Conversions!$B$3</f>
        <v>0</v>
      </c>
      <c r="W182" s="402">
        <f>+SUMIF($R$147:$R$175,$R182,W$147:W$175)*Conversions!$B$3</f>
        <v>0.97251302200771217</v>
      </c>
      <c r="X182" s="402">
        <f>+SUMIF($R$147:$R$175,$R182,X$147:X$175)*Conversions!$B$3</f>
        <v>13.359419558654592</v>
      </c>
      <c r="Y182" s="402">
        <f>+SUMIF($R$147:$R$175,$R182,Y$147:Y$175)*Conversions!$B$3</f>
        <v>0.53956999820932172</v>
      </c>
      <c r="Z182" s="402">
        <f>+SUMIF($R$147:$R$175,$R182,Z$147:Z$175)*Conversions!$B$3</f>
        <v>0</v>
      </c>
      <c r="AA182" s="402">
        <f>+SUMIF($R$147:$R$175,$R182,AA$147:AA$175)*Conversions!$B$3</f>
        <v>0</v>
      </c>
      <c r="AB182" s="402">
        <f>+SUMIF($R$147:$R$175,$R182,AB$147:AB$175)*Conversions!$B$3</f>
        <v>0</v>
      </c>
      <c r="AC182" s="402">
        <f>+SUMIF($R$147:$R$175,$R182,AC$147:AC$175)*Conversions!$B$3</f>
        <v>1.8777161051541793</v>
      </c>
      <c r="AD182" s="402">
        <f>+SUMIF($R$147:$R$175,$R182,AD$147:AD$175)*Conversions!$B$3</f>
        <v>0.52531873104855675</v>
      </c>
      <c r="AE182" s="402">
        <f>+SUMIF($R$147:$R$175,$R182,AE$147:AE$175)*Conversions!$B$3</f>
        <v>0.58529561607098279</v>
      </c>
      <c r="AF182" s="459">
        <f t="shared" si="40"/>
        <v>0</v>
      </c>
      <c r="AG182" s="459">
        <f t="shared" si="35"/>
        <v>0</v>
      </c>
      <c r="AH182" s="459">
        <f t="shared" si="35"/>
        <v>0</v>
      </c>
      <c r="AI182" s="459">
        <f t="shared" si="35"/>
        <v>2.8502291271618914</v>
      </c>
      <c r="AJ182" s="459">
        <f t="shared" si="35"/>
        <v>13.884738289703149</v>
      </c>
      <c r="AK182" s="459">
        <f t="shared" si="35"/>
        <v>1.1248656142803046</v>
      </c>
      <c r="AL182" s="387">
        <f t="shared" si="41"/>
        <v>17.859833031145342</v>
      </c>
      <c r="AM182" s="387">
        <f>SUMIF($T$113:$T$141,AN182,$P$113:$S$141)*Conversions!$B$3</f>
        <v>2.3929359890348931</v>
      </c>
      <c r="AN182" s="401" t="s">
        <v>377</v>
      </c>
      <c r="AO182" s="459">
        <f t="shared" si="36"/>
        <v>16.549801093942484</v>
      </c>
      <c r="AP182" s="387">
        <f>+'EB2019'!AF32*Conversions!$B$2</f>
        <v>0</v>
      </c>
      <c r="AQ182" s="387">
        <f>+'EB2019'!AN32*Conversions!$B$2</f>
        <v>0</v>
      </c>
      <c r="AR182" s="387">
        <f>+'EB2019'!C32*Conversions!$B$2</f>
        <v>0</v>
      </c>
      <c r="AS182" s="387">
        <f>+'EB2019'!L32*Conversions!$B$2</f>
        <v>2.8298800907855437</v>
      </c>
      <c r="AT182" s="387">
        <f>+'EB2019'!AA32*Conversions!$B$2</f>
        <v>12.74411608786844</v>
      </c>
      <c r="AU182" s="387">
        <f>+'EB2019'!AE32*Conversions!$B$2</f>
        <v>0.97580491528850222</v>
      </c>
      <c r="AV182" s="387">
        <f>+'EB2019'!AO32*Conversions!$B$2</f>
        <v>4.1176771932889622</v>
      </c>
      <c r="AW182" s="459">
        <f t="shared" si="42"/>
        <v>15.915134816584255</v>
      </c>
      <c r="AX182" s="387">
        <f>+'EB2018'!AF32*Conversions!$B$2</f>
        <v>0</v>
      </c>
      <c r="AY182" s="387">
        <f>+'EB2018'!AN32*Conversions!$B$2</f>
        <v>0</v>
      </c>
      <c r="AZ182" s="387">
        <f>+'EB2018'!C32*Conversions!$B$2</f>
        <v>0.77480150227833611</v>
      </c>
      <c r="BA182" s="387">
        <f>+'EB2018'!L32*Conversions!$B$2</f>
        <v>2.724821130970708</v>
      </c>
      <c r="BB182" s="387">
        <f>+'EB2018'!AA32*Conversions!$B$2</f>
        <v>11.417880684049202</v>
      </c>
      <c r="BC182" s="387">
        <f>+'EB2018'!AE32*Conversions!$B$2</f>
        <v>0.99763149928600958</v>
      </c>
      <c r="BD182" s="387">
        <f>+'EB2018'!AO32*Conversions!$B$2</f>
        <v>3.9889774207116981</v>
      </c>
    </row>
    <row r="183" spans="2:58">
      <c r="B183" s="398" t="s">
        <v>387</v>
      </c>
      <c r="C183" s="399" t="s">
        <v>422</v>
      </c>
      <c r="D183" s="411">
        <f t="shared" ref="D183:I183" si="45">+IFERROR(D151/SUM($D151:$I151),0)</f>
        <v>0</v>
      </c>
      <c r="E183" s="411">
        <f t="shared" si="45"/>
        <v>0</v>
      </c>
      <c r="F183" s="411">
        <f t="shared" si="45"/>
        <v>0</v>
      </c>
      <c r="G183" s="411">
        <f t="shared" si="45"/>
        <v>7.0311762078812401E-2</v>
      </c>
      <c r="H183" s="411">
        <f t="shared" si="45"/>
        <v>0.9296882379211876</v>
      </c>
      <c r="I183" s="411">
        <f t="shared" si="45"/>
        <v>0</v>
      </c>
      <c r="J183" s="411">
        <f t="shared" ref="J183:O183" si="46">+IFERROR(J151/SUM($J151:$O151),0)</f>
        <v>0</v>
      </c>
      <c r="K183" s="411">
        <f t="shared" si="46"/>
        <v>0</v>
      </c>
      <c r="L183" s="411">
        <f t="shared" si="46"/>
        <v>9.8689901326674948E-2</v>
      </c>
      <c r="M183" s="411">
        <f t="shared" si="46"/>
        <v>0.10702099846837276</v>
      </c>
      <c r="N183" s="411">
        <f t="shared" si="46"/>
        <v>0.79428910020495236</v>
      </c>
      <c r="O183" s="411">
        <f t="shared" si="46"/>
        <v>0</v>
      </c>
      <c r="R183" s="404" t="s">
        <v>370</v>
      </c>
      <c r="S183" s="502">
        <f t="shared" si="39"/>
        <v>1.4686836114124944</v>
      </c>
      <c r="T183" s="406">
        <f>+SUMIF($R$147:$R$175,$R183,T$147:T$175)*Conversions!$B$3</f>
        <v>0</v>
      </c>
      <c r="U183" s="406">
        <f>+SUMIF($R$147:$R$175,$R183,U$147:U$175)*Conversions!$B$3</f>
        <v>0</v>
      </c>
      <c r="V183" s="406">
        <f>+SUMIF($R$147:$R$175,$R183,V$147:V$175)*Conversions!$B$3</f>
        <v>0.65947226443814622</v>
      </c>
      <c r="W183" s="406">
        <f>+SUMIF($R$147:$R$175,$R183,W$147:W$175)*Conversions!$B$3</f>
        <v>0</v>
      </c>
      <c r="X183" s="406">
        <f>+SUMIF($R$147:$R$175,$R183,X$147:X$175)*Conversions!$B$3</f>
        <v>0.80921134697434804</v>
      </c>
      <c r="Y183" s="406">
        <f>+SUMIF($R$147:$R$175,$R183,Y$147:Y$175)*Conversions!$B$3</f>
        <v>0</v>
      </c>
      <c r="Z183" s="406">
        <f>+SUMIF($R$147:$R$175,$R183,Z$147:Z$175)*Conversions!$B$3</f>
        <v>0</v>
      </c>
      <c r="AA183" s="406">
        <f>+SUMIF($R$147:$R$175,$R183,AA$147:AA$175)*Conversions!$B$3</f>
        <v>0</v>
      </c>
      <c r="AB183" s="406">
        <f>+SUMIF($R$147:$R$175,$R183,AB$147:AB$175)*Conversions!$B$3</f>
        <v>0</v>
      </c>
      <c r="AC183" s="406">
        <f>+SUMIF($R$147:$R$175,$R183,AC$147:AC$175)*Conversions!$B$3</f>
        <v>0</v>
      </c>
      <c r="AD183" s="406">
        <f>+SUMIF($R$147:$R$175,$R183,AD$147:AD$175)*Conversions!$B$3</f>
        <v>0</v>
      </c>
      <c r="AE183" s="406">
        <f>+SUMIF($R$147:$R$175,$R183,AE$147:AE$175)*Conversions!$B$3</f>
        <v>0</v>
      </c>
      <c r="AF183" s="459">
        <f t="shared" si="40"/>
        <v>0</v>
      </c>
      <c r="AG183" s="459">
        <f t="shared" si="35"/>
        <v>0</v>
      </c>
      <c r="AH183" s="459">
        <f t="shared" si="35"/>
        <v>0.65947226443814622</v>
      </c>
      <c r="AI183" s="459">
        <f t="shared" si="35"/>
        <v>0</v>
      </c>
      <c r="AJ183" s="459">
        <f t="shared" si="35"/>
        <v>0.80921134697434804</v>
      </c>
      <c r="AK183" s="459">
        <f t="shared" si="35"/>
        <v>0</v>
      </c>
      <c r="AL183" s="387">
        <f t="shared" si="41"/>
        <v>1.4686836114124944</v>
      </c>
      <c r="AM183" s="387">
        <f>SUMIF($T$113:$T$141,AN183,$P$113:$S$141)*Conversions!$B$3</f>
        <v>0.28758619931567186</v>
      </c>
      <c r="AN183" s="404" t="s">
        <v>370</v>
      </c>
      <c r="AO183" s="459">
        <f t="shared" si="36"/>
        <v>0</v>
      </c>
      <c r="AP183" s="387"/>
      <c r="AQ183" s="387"/>
      <c r="AR183" s="387"/>
      <c r="AS183" s="387"/>
      <c r="AT183" s="387"/>
      <c r="AU183" s="387"/>
      <c r="AV183" s="387"/>
      <c r="AW183" s="459">
        <f t="shared" si="42"/>
        <v>0</v>
      </c>
      <c r="AX183" s="387"/>
      <c r="AY183" s="387"/>
      <c r="AZ183" s="387"/>
      <c r="BA183" s="387"/>
      <c r="BB183" s="387"/>
      <c r="BC183" s="387"/>
      <c r="BD183" s="387"/>
    </row>
    <row r="184" spans="2:58">
      <c r="B184" s="398" t="s">
        <v>387</v>
      </c>
      <c r="C184" s="399" t="s">
        <v>423</v>
      </c>
      <c r="D184" s="411">
        <f t="shared" ref="D184:I184" si="47">+IFERROR(D152/SUM($D152:$I152),0)</f>
        <v>0</v>
      </c>
      <c r="E184" s="411">
        <f t="shared" si="47"/>
        <v>0</v>
      </c>
      <c r="F184" s="411">
        <f t="shared" si="47"/>
        <v>0</v>
      </c>
      <c r="G184" s="411">
        <f t="shared" si="47"/>
        <v>7.0311762078812401E-2</v>
      </c>
      <c r="H184" s="411">
        <f t="shared" si="47"/>
        <v>0.9296882379211876</v>
      </c>
      <c r="I184" s="411">
        <f t="shared" si="47"/>
        <v>0</v>
      </c>
      <c r="J184" s="411">
        <f t="shared" ref="J184:O184" si="48">+IFERROR(J152/SUM($J152:$O152),0)</f>
        <v>0</v>
      </c>
      <c r="K184" s="411">
        <f t="shared" si="48"/>
        <v>0</v>
      </c>
      <c r="L184" s="411">
        <f t="shared" si="48"/>
        <v>9.8689901326674948E-2</v>
      </c>
      <c r="M184" s="411">
        <f t="shared" si="48"/>
        <v>0.10702099846837276</v>
      </c>
      <c r="N184" s="411">
        <f t="shared" si="48"/>
        <v>0.79428910020495214</v>
      </c>
      <c r="O184" s="411">
        <f t="shared" si="48"/>
        <v>0</v>
      </c>
      <c r="R184" s="407" t="s">
        <v>353</v>
      </c>
      <c r="S184" s="503">
        <f t="shared" si="39"/>
        <v>24.370288605107877</v>
      </c>
      <c r="T184" s="409">
        <f>+SUMIF($R$147:$R$175,$R184,T$147:T$175)*Conversions!$B$3</f>
        <v>0</v>
      </c>
      <c r="U184" s="409">
        <f>+SUMIF($R$147:$R$175,$R184,U$147:U$175)*Conversions!$B$3</f>
        <v>0</v>
      </c>
      <c r="V184" s="409">
        <f>+SUMIF($R$147:$R$175,$R184,V$147:V$175)*Conversions!$B$3</f>
        <v>0</v>
      </c>
      <c r="W184" s="409">
        <f>+SUMIF($R$147:$R$175,$R184,W$147:W$175)*Conversions!$B$3</f>
        <v>0.1111129645857966</v>
      </c>
      <c r="X184" s="409">
        <f>+SUMIF($R$147:$R$175,$R184,X$147:X$175)*Conversions!$B$3</f>
        <v>21.857501080359576</v>
      </c>
      <c r="Y184" s="409">
        <f>+SUMIF($R$147:$R$175,$R184,Y$147:Y$175)*Conversions!$B$3</f>
        <v>0</v>
      </c>
      <c r="Z184" s="409">
        <f>+SUMIF($R$147:$R$175,$R184,Z$147:Z$175)*Conversions!$B$3</f>
        <v>0</v>
      </c>
      <c r="AA184" s="409">
        <f>+SUMIF($R$147:$R$175,$R184,AA$147:AA$175)*Conversions!$B$3</f>
        <v>0</v>
      </c>
      <c r="AB184" s="409">
        <f>+SUMIF($R$147:$R$175,$R184,AB$147:AB$175)*Conversions!$B$3</f>
        <v>5.6923733631431975E-3</v>
      </c>
      <c r="AC184" s="409">
        <f>+SUMIF($R$147:$R$175,$R184,AC$147:AC$175)*Conversions!$B$3</f>
        <v>0.32733341430420987</v>
      </c>
      <c r="AD184" s="409">
        <f>+SUMIF($R$147:$R$175,$R184,AD$147:AD$175)*Conversions!$B$3</f>
        <v>2.0686487724951506</v>
      </c>
      <c r="AE184" s="409">
        <f>+SUMIF($R$147:$R$175,$R184,AE$147:AE$175)*Conversions!$B$3</f>
        <v>0</v>
      </c>
      <c r="AF184" s="459">
        <f t="shared" si="40"/>
        <v>0</v>
      </c>
      <c r="AG184" s="459">
        <f t="shared" si="35"/>
        <v>0</v>
      </c>
      <c r="AH184" s="459">
        <f t="shared" si="35"/>
        <v>5.6923733631431975E-3</v>
      </c>
      <c r="AI184" s="459">
        <f t="shared" si="35"/>
        <v>0.43844637889000648</v>
      </c>
      <c r="AJ184" s="459">
        <f>+AD184+X184</f>
        <v>23.926149852854728</v>
      </c>
      <c r="AK184" s="459">
        <f t="shared" si="35"/>
        <v>0</v>
      </c>
      <c r="AL184" s="387">
        <f t="shared" si="41"/>
        <v>24.370288605107877</v>
      </c>
      <c r="AM184" s="387">
        <f>SUMIF($T$113:$T$141,AN184,$P$113:$S$141)*Conversions!$B$3</f>
        <v>-2.2125003085644481</v>
      </c>
      <c r="AN184" s="407" t="s">
        <v>353</v>
      </c>
      <c r="AO184" s="459">
        <f t="shared" si="36"/>
        <v>18.146045071081474</v>
      </c>
      <c r="AP184" s="387">
        <f>+'EB2019'!AF39*Conversions!$B$2</f>
        <v>0</v>
      </c>
      <c r="AQ184" s="387">
        <f>+'EB2019'!AN39*Conversions!$B$2</f>
        <v>0</v>
      </c>
      <c r="AR184" s="387">
        <f>+'EB2019'!C39*Conversions!$B$2</f>
        <v>0</v>
      </c>
      <c r="AS184" s="387">
        <f>+'EB2019'!L39*Conversions!$B$2</f>
        <v>0.26909243475521621</v>
      </c>
      <c r="AT184" s="387">
        <f>+'EB2019'!AA39*Conversions!$B$2</f>
        <v>17.876952636326259</v>
      </c>
      <c r="AU184" s="387">
        <f>+'EB2019'!AE39*Conversions!$B$2</f>
        <v>0</v>
      </c>
      <c r="AV184" s="387">
        <f>+'EB2019'!AO39*Conversions!$B$2</f>
        <v>2.6008011570972385</v>
      </c>
      <c r="AW184" s="459">
        <f t="shared" si="42"/>
        <v>17.485295983547328</v>
      </c>
      <c r="AX184" s="387">
        <f>+'EB2018'!AF39*Conversions!$B$2</f>
        <v>0</v>
      </c>
      <c r="AY184" s="387">
        <f>+'EB2018'!AN39*Conversions!$B$2</f>
        <v>0</v>
      </c>
      <c r="AZ184" s="387">
        <f>+'EB2018'!C39*Conversions!$B$2</f>
        <v>0</v>
      </c>
      <c r="BA184" s="387">
        <f>+'EB2018'!L39*Conversions!$B$2</f>
        <v>0.23771207795026408</v>
      </c>
      <c r="BB184" s="387">
        <f>+'EB2018'!AA39*Conversions!$B$2</f>
        <v>17.247583905597065</v>
      </c>
      <c r="BC184" s="387">
        <f>+'EB2018'!AE39*Conversions!$B$2</f>
        <v>0</v>
      </c>
      <c r="BD184" s="387">
        <f>+'EB2018'!AO39*Conversions!$B$2</f>
        <v>2.8300857861425315</v>
      </c>
      <c r="BF184" s="387">
        <f>+'EB2019'!AA11*Conversions!$B$2</f>
        <v>10.82946133303532</v>
      </c>
    </row>
    <row r="185" spans="2:58">
      <c r="B185" s="401" t="s">
        <v>377</v>
      </c>
      <c r="C185" s="401" t="s">
        <v>420</v>
      </c>
      <c r="D185" s="412">
        <f t="shared" ref="D185:I185" si="49">+IFERROR(D153/SUM($D153:$I153),0)</f>
        <v>0</v>
      </c>
      <c r="E185" s="412">
        <f t="shared" si="49"/>
        <v>0</v>
      </c>
      <c r="F185" s="412">
        <f t="shared" si="49"/>
        <v>0</v>
      </c>
      <c r="G185" s="412">
        <f t="shared" si="49"/>
        <v>6.5394402270379168E-2</v>
      </c>
      <c r="H185" s="412">
        <f t="shared" si="49"/>
        <v>0.89832345371978128</v>
      </c>
      <c r="I185" s="412">
        <f t="shared" si="49"/>
        <v>3.6282144009839624E-2</v>
      </c>
      <c r="J185" s="412">
        <f t="shared" ref="J185:O185" si="50">+IFERROR(J153/SUM($J153:$O153),0)</f>
        <v>0</v>
      </c>
      <c r="K185" s="412">
        <f t="shared" si="50"/>
        <v>0</v>
      </c>
      <c r="L185" s="412">
        <f t="shared" si="50"/>
        <v>0</v>
      </c>
      <c r="M185" s="412">
        <f t="shared" si="50"/>
        <v>0.62834955341886278</v>
      </c>
      <c r="N185" s="412">
        <f t="shared" si="50"/>
        <v>0.17579004043841925</v>
      </c>
      <c r="O185" s="412">
        <f t="shared" si="50"/>
        <v>0.19586040614271802</v>
      </c>
      <c r="R185" s="403" t="s">
        <v>375</v>
      </c>
      <c r="S185" s="427">
        <f t="shared" si="39"/>
        <v>4.7024052033252115</v>
      </c>
      <c r="T185" s="402">
        <f>+SUMIF($R$147:$R$175,$R185,T$147:T$175)*Conversions!$B$3</f>
        <v>0</v>
      </c>
      <c r="U185" s="402">
        <f>+SUMIF($R$147:$R$175,$R185,U$147:U$175)*Conversions!$B$3</f>
        <v>0</v>
      </c>
      <c r="V185" s="402">
        <f>+SUMIF($R$147:$R$175,$R185,V$147:V$175)*Conversions!$B$3</f>
        <v>0</v>
      </c>
      <c r="W185" s="402">
        <f>+SUMIF($R$147:$R$175,$R185,W$147:W$175)*Conversions!$B$3</f>
        <v>0</v>
      </c>
      <c r="X185" s="402">
        <f>+SUMIF($R$147:$R$175,$R185,X$147:X$175)*Conversions!$B$3</f>
        <v>1.5773679569017287</v>
      </c>
      <c r="Y185" s="402">
        <f>+SUMIF($R$147:$R$175,$R185,Y$147:Y$175)*Conversions!$B$3</f>
        <v>0</v>
      </c>
      <c r="Z185" s="402">
        <f>+SUMIF($R$147:$R$175,$R185,Z$147:Z$175)*Conversions!$B$3</f>
        <v>0</v>
      </c>
      <c r="AA185" s="402">
        <f>+SUMIF($R$147:$R$175,$R185,AA$147:AA$175)*Conversions!$B$3</f>
        <v>0</v>
      </c>
      <c r="AB185" s="402">
        <f>+SUMIF($R$147:$R$175,$R185,AB$147:AB$175)*Conversions!$B$3</f>
        <v>0</v>
      </c>
      <c r="AC185" s="402">
        <f>+SUMIF($R$147:$R$175,$R185,AC$147:AC$175)*Conversions!$B$3</f>
        <v>1.1049758650300445</v>
      </c>
      <c r="AD185" s="402">
        <f>+SUMIF($R$147:$R$175,$R185,AD$147:AD$175)*Conversions!$B$3</f>
        <v>2.0200613813934383</v>
      </c>
      <c r="AE185" s="402">
        <f>+SUMIF($R$147:$R$175,$R185,AE$147:AE$175)*Conversions!$B$3</f>
        <v>0</v>
      </c>
      <c r="AF185" s="459">
        <f t="shared" si="40"/>
        <v>0</v>
      </c>
      <c r="AG185" s="459">
        <f t="shared" si="35"/>
        <v>0</v>
      </c>
      <c r="AH185" s="459">
        <f t="shared" si="35"/>
        <v>0</v>
      </c>
      <c r="AI185" s="459">
        <f t="shared" si="35"/>
        <v>1.1049758650300445</v>
      </c>
      <c r="AJ185" s="459">
        <f t="shared" si="35"/>
        <v>3.597429338295167</v>
      </c>
      <c r="AK185" s="459">
        <f t="shared" si="35"/>
        <v>0</v>
      </c>
      <c r="AL185" s="387">
        <f t="shared" si="41"/>
        <v>4.7024052033252115</v>
      </c>
      <c r="AM185" s="387">
        <f>SUMIF($T$113:$T$141,AN185,$P$113:$S$141)*Conversions!$B$3</f>
        <v>2.3749494340999786</v>
      </c>
      <c r="AN185" s="403" t="s">
        <v>375</v>
      </c>
      <c r="AO185" s="459">
        <f t="shared" si="36"/>
        <v>4.3219809868542596</v>
      </c>
      <c r="AP185" s="387">
        <f>+SUM('EB2019'!AF40:AF43,'EB2019'!AF35)*Conversions!$B$2</f>
        <v>0</v>
      </c>
      <c r="AQ185" s="387">
        <f>SUM('EB2019'!AN40:AN43,'EB2019'!AN35)*Conversions!$B$2</f>
        <v>0</v>
      </c>
      <c r="AR185" s="387">
        <f>+SUM('EB2019'!C40:C43,'EB2019'!C35)*Conversions!$B$2</f>
        <v>0</v>
      </c>
      <c r="AS185" s="387">
        <f>SUM('EB2019'!L40:L43,'EB2019'!L35)*Conversions!$B$2</f>
        <v>0.75430094512744872</v>
      </c>
      <c r="AT185" s="387">
        <f>SUM('EB2019'!AA40:AA43,'EB2019'!AA35)*Conversions!$B$2</f>
        <v>3.5676800417268106</v>
      </c>
      <c r="AU185" s="387">
        <f>SUM('EB2019'!AE40:AE43,'EB2019'!AE35)*Conversions!$B$2</f>
        <v>0</v>
      </c>
      <c r="AV185" s="387">
        <f>SUM('EB2019'!AO40:AO43,'EB2019'!AO35)*Conversions!$B$2</f>
        <v>7.3253172124451762</v>
      </c>
      <c r="AW185" s="459">
        <f t="shared" si="42"/>
        <v>5.0597953846323538</v>
      </c>
      <c r="AX185" s="387">
        <f>+SUM('EB2018'!AF40:AF43,'EB2018'!AF35)*Conversions!$B$2</f>
        <v>0</v>
      </c>
      <c r="AY185" s="387">
        <f>SUM('EB2018'!AN40:AN43,'EB2018'!AN35)*Conversions!$B$2</f>
        <v>0</v>
      </c>
      <c r="AZ185" s="387">
        <f>+SUM('EB2018'!C40:C43,'EB2018'!C35)*Conversions!$B$2</f>
        <v>0</v>
      </c>
      <c r="BA185" s="387">
        <f>SUM('EB2018'!L40:L43,'EB2018'!L35)*Conversions!$B$2</f>
        <v>0.890483755923831</v>
      </c>
      <c r="BB185" s="387">
        <f>SUM('EB2018'!AA40:AA43,'EB2018'!AA35)*Conversions!$B$2</f>
        <v>4.169311628708523</v>
      </c>
      <c r="BC185" s="387">
        <f>SUM('EB2018'!AE40:AE43,'EB2018'!AE35)*Conversions!$B$2</f>
        <v>0</v>
      </c>
      <c r="BD185" s="387">
        <f>SUM('EB2018'!AO40:AO43,'EB2018'!AO35)*Conversions!$B$2</f>
        <v>7.0486207064614916</v>
      </c>
      <c r="BF185" s="387"/>
    </row>
    <row r="186" spans="2:58">
      <c r="B186" s="401" t="s">
        <v>377</v>
      </c>
      <c r="C186" s="403" t="s">
        <v>421</v>
      </c>
      <c r="D186" s="412">
        <f t="shared" ref="D186:I186" si="51">+IFERROR(D154/SUM($D154:$I154),0)</f>
        <v>0</v>
      </c>
      <c r="E186" s="412">
        <f t="shared" si="51"/>
        <v>0</v>
      </c>
      <c r="F186" s="412">
        <f t="shared" si="51"/>
        <v>0</v>
      </c>
      <c r="G186" s="412">
        <f t="shared" si="51"/>
        <v>6.5394402270379168E-2</v>
      </c>
      <c r="H186" s="412">
        <f t="shared" si="51"/>
        <v>0.89832345371978128</v>
      </c>
      <c r="I186" s="412">
        <f t="shared" si="51"/>
        <v>3.6282144009839624E-2</v>
      </c>
      <c r="J186" s="412">
        <f t="shared" ref="J186:O186" si="52">+IFERROR(J154/SUM($J154:$O154),0)</f>
        <v>0</v>
      </c>
      <c r="K186" s="412">
        <f t="shared" si="52"/>
        <v>0</v>
      </c>
      <c r="L186" s="412">
        <f t="shared" si="52"/>
        <v>0</v>
      </c>
      <c r="M186" s="412">
        <f t="shared" si="52"/>
        <v>0.62834955341886267</v>
      </c>
      <c r="N186" s="412">
        <f t="shared" si="52"/>
        <v>0.17579004043841925</v>
      </c>
      <c r="O186" s="412">
        <f t="shared" si="52"/>
        <v>0.19586040614271802</v>
      </c>
      <c r="R186" s="399" t="s">
        <v>388</v>
      </c>
      <c r="S186" s="428">
        <f t="shared" si="39"/>
        <v>2.6849622897399903</v>
      </c>
      <c r="T186" s="400">
        <f>+SUMIF($R$147:$R$175,$R186,T$147:T$175)*Conversions!$B$3</f>
        <v>0</v>
      </c>
      <c r="U186" s="400">
        <f>+SUMIF($R$147:$R$175,$R186,U$147:U$175)*Conversions!$B$3</f>
        <v>0</v>
      </c>
      <c r="V186" s="400">
        <f>+SUMIF($R$147:$R$175,$R186,V$147:V$175)*Conversions!$B$3</f>
        <v>4.2937410965407062E-2</v>
      </c>
      <c r="W186" s="400">
        <f>+SUMIF($R$147:$R$175,$R186,W$147:W$175)*Conversions!$B$3</f>
        <v>0</v>
      </c>
      <c r="X186" s="400">
        <f>+SUMIF($R$147:$R$175,$R186,X$147:X$175)*Conversions!$B$3</f>
        <v>0.43987456086686427</v>
      </c>
      <c r="Y186" s="400">
        <f>+SUMIF($R$147:$R$175,$R186,Y$147:Y$175)*Conversions!$B$3</f>
        <v>0</v>
      </c>
      <c r="Z186" s="400">
        <f>+SUMIF($R$147:$R$175,$R186,Z$147:Z$175)*Conversions!$B$3</f>
        <v>0</v>
      </c>
      <c r="AA186" s="400">
        <f>+SUMIF($R$147:$R$175,$R186,AA$147:AA$175)*Conversions!$B$3</f>
        <v>0</v>
      </c>
      <c r="AB186" s="400">
        <f>+SUMIF($R$147:$R$175,$R186,AB$147:AB$175)*Conversions!$B$3</f>
        <v>0</v>
      </c>
      <c r="AC186" s="400">
        <f>+SUMIF($R$147:$R$175,$R186,AC$147:AC$175)*Conversions!$B$3</f>
        <v>2.1557357350576662</v>
      </c>
      <c r="AD186" s="400">
        <f>+SUMIF($R$147:$R$175,$R186,AD$147:AD$175)*Conversions!$B$3</f>
        <v>0</v>
      </c>
      <c r="AE186" s="400">
        <f>+SUMIF($R$147:$R$175,$R186,AE$147:AE$175)*Conversions!$B$3</f>
        <v>4.6414582850052552E-2</v>
      </c>
      <c r="AF186" s="459">
        <f t="shared" si="40"/>
        <v>0</v>
      </c>
      <c r="AG186" s="459">
        <f t="shared" si="35"/>
        <v>0</v>
      </c>
      <c r="AH186" s="459">
        <f t="shared" si="35"/>
        <v>4.2937410965407062E-2</v>
      </c>
      <c r="AI186" s="459">
        <f t="shared" si="35"/>
        <v>2.1557357350576662</v>
      </c>
      <c r="AJ186" s="459">
        <f t="shared" si="35"/>
        <v>0.43987456086686427</v>
      </c>
      <c r="AK186" s="459">
        <f t="shared" si="35"/>
        <v>4.6414582850052552E-2</v>
      </c>
      <c r="AL186" s="387">
        <f t="shared" si="41"/>
        <v>2.6849622897399903</v>
      </c>
      <c r="AM186" s="387">
        <f>SUMIF($T$113:$T$141,AN186,$P$113:$S$141)*Conversions!$B$3</f>
        <v>0.23857395762174255</v>
      </c>
      <c r="AN186" s="399" t="s">
        <v>388</v>
      </c>
      <c r="AO186" s="459">
        <f t="shared" si="36"/>
        <v>1.8216094985968154</v>
      </c>
      <c r="AP186" s="387">
        <f>+'EB2019'!AF31*Conversions!$B$2</f>
        <v>0</v>
      </c>
      <c r="AQ186" s="387">
        <f>+'EB2019'!AN31*Conversions!$B$2</f>
        <v>0</v>
      </c>
      <c r="AR186" s="387">
        <f>+'EB2019'!C31*Conversions!$B$2</f>
        <v>0</v>
      </c>
      <c r="AS186" s="387">
        <f>+'EB2019'!L31*Conversions!$B$2</f>
        <v>1.2115441420853825</v>
      </c>
      <c r="AT186" s="387">
        <f>+'EB2019'!AA31*Conversions!$B$2</f>
        <v>0.6100653565114329</v>
      </c>
      <c r="AU186" s="387">
        <f>+'EB2019'!AE31*Conversions!$B$2</f>
        <v>0</v>
      </c>
      <c r="AV186" s="387">
        <f>+'EB2019'!AO31*Conversions!$B$2</f>
        <v>1.0953790828114522</v>
      </c>
      <c r="AW186" s="459">
        <f t="shared" si="42"/>
        <v>1.105250829988129</v>
      </c>
      <c r="AX186" s="387">
        <f>+'EB2018'!AF31*Conversions!$B$2</f>
        <v>0</v>
      </c>
      <c r="AY186" s="387">
        <f>+'EB2018'!AN31*Conversions!$B$2</f>
        <v>0</v>
      </c>
      <c r="AZ186" s="387">
        <f>+'EB2018'!C31*Conversions!$B$2</f>
        <v>0</v>
      </c>
      <c r="BA186" s="387">
        <f>+'EB2018'!L31*Conversions!$B$2</f>
        <v>0.6312415010997996</v>
      </c>
      <c r="BB186" s="387">
        <f>+'EB2018'!AA31*Conversions!$B$2</f>
        <v>0.47400932888832942</v>
      </c>
      <c r="BC186" s="387">
        <f>+'EB2018'!AE31*Conversions!$B$2</f>
        <v>0</v>
      </c>
      <c r="BD186" s="387">
        <f>+'EB2018'!AO31*Conversions!$B$2</f>
        <v>0.79310323033896124</v>
      </c>
    </row>
    <row r="187" spans="2:58">
      <c r="B187" s="401" t="s">
        <v>377</v>
      </c>
      <c r="C187" s="401" t="s">
        <v>422</v>
      </c>
      <c r="D187" s="412">
        <f t="shared" ref="D187:I187" si="53">+IFERROR(D155/SUM($D155:$I155),0)</f>
        <v>0</v>
      </c>
      <c r="E187" s="412">
        <f t="shared" si="53"/>
        <v>0</v>
      </c>
      <c r="F187" s="412">
        <f t="shared" si="53"/>
        <v>0</v>
      </c>
      <c r="G187" s="412">
        <f t="shared" si="53"/>
        <v>6.5394402270379168E-2</v>
      </c>
      <c r="H187" s="412">
        <f t="shared" si="53"/>
        <v>0.89832345371978128</v>
      </c>
      <c r="I187" s="412">
        <f t="shared" si="53"/>
        <v>3.6282144009839624E-2</v>
      </c>
      <c r="J187" s="412">
        <f t="shared" ref="J187:O187" si="54">+IFERROR(J155/SUM($J155:$O155),0)</f>
        <v>0</v>
      </c>
      <c r="K187" s="412">
        <f t="shared" si="54"/>
        <v>0</v>
      </c>
      <c r="L187" s="412">
        <f t="shared" si="54"/>
        <v>0</v>
      </c>
      <c r="M187" s="412">
        <f t="shared" si="54"/>
        <v>0.62834955341886278</v>
      </c>
      <c r="N187" s="412">
        <f t="shared" si="54"/>
        <v>0.17579004043841925</v>
      </c>
      <c r="O187" s="412">
        <f t="shared" si="54"/>
        <v>0.19586040614271802</v>
      </c>
      <c r="R187" s="461" t="s">
        <v>369</v>
      </c>
      <c r="S187" s="470">
        <f t="shared" si="39"/>
        <v>5.1051545792587634</v>
      </c>
      <c r="T187" s="462">
        <f>+SUMIF($R$147:$R$175,$R187,T$147:T$175)*Conversions!$B$3</f>
        <v>0</v>
      </c>
      <c r="U187" s="462">
        <f>+SUMIF($R$147:$R$175,$R187,U$147:U$175)*Conversions!$B$3</f>
        <v>0</v>
      </c>
      <c r="V187" s="462">
        <f>+SUMIF($R$147:$R$175,$R187,V$147:V$175)*Conversions!$B$3</f>
        <v>0</v>
      </c>
      <c r="W187" s="462">
        <f>+SUMIF($R$147:$R$175,$R187,W$147:W$175)*Conversions!$B$3</f>
        <v>0</v>
      </c>
      <c r="X187" s="462">
        <f>+SUMIF($R$147:$R$175,$R187,X$147:X$175)*Conversions!$B$3</f>
        <v>5.1051545792587634</v>
      </c>
      <c r="Y187" s="462">
        <f>+SUMIF($R$147:$R$175,$R187,Y$147:Y$175)*Conversions!$B$3</f>
        <v>0</v>
      </c>
      <c r="Z187" s="462">
        <f>+SUMIF($R$147:$R$175,$R187,Z$147:Z$175)*Conversions!$B$3</f>
        <v>0</v>
      </c>
      <c r="AA187" s="462">
        <f>+SUMIF($R$147:$R$175,$R187,AA$147:AA$175)*Conversions!$B$3</f>
        <v>0</v>
      </c>
      <c r="AB187" s="462">
        <f>+SUMIF($R$147:$R$175,$R187,AB$147:AB$175)*Conversions!$B$3</f>
        <v>0</v>
      </c>
      <c r="AC187" s="462">
        <f>+SUMIF($R$147:$R$175,$R187,AC$147:AC$175)*Conversions!$B$3</f>
        <v>0</v>
      </c>
      <c r="AD187" s="462">
        <f>+SUMIF($R$147:$R$175,$R187,AD$147:AD$175)*Conversions!$B$3</f>
        <v>0</v>
      </c>
      <c r="AE187" s="462">
        <f>+SUMIF($R$147:$R$175,$R187,AE$147:AE$175)*Conversions!$B$3</f>
        <v>0</v>
      </c>
      <c r="AF187" s="463">
        <f t="shared" si="40"/>
        <v>0</v>
      </c>
      <c r="AG187" s="463">
        <f t="shared" si="35"/>
        <v>0</v>
      </c>
      <c r="AH187" s="463">
        <f t="shared" si="35"/>
        <v>0</v>
      </c>
      <c r="AI187" s="463">
        <f t="shared" si="35"/>
        <v>0</v>
      </c>
      <c r="AJ187" s="463">
        <f t="shared" si="35"/>
        <v>5.1051545792587634</v>
      </c>
      <c r="AK187" s="463">
        <f t="shared" si="35"/>
        <v>0</v>
      </c>
      <c r="AL187" s="464">
        <f t="shared" si="41"/>
        <v>5.1051545792587634</v>
      </c>
      <c r="AM187" s="387">
        <f>SUMIF($T$113:$T$141,AN187,$P$113:$S$141)*Conversions!$B$3</f>
        <v>0.40938942269736595</v>
      </c>
      <c r="AN187" s="461" t="s">
        <v>369</v>
      </c>
      <c r="AO187" s="463">
        <f t="shared" si="36"/>
        <v>6.1266857864825921</v>
      </c>
      <c r="AP187" s="464">
        <f>+'EB2019'!AF25*Conversions!$B$2</f>
        <v>0</v>
      </c>
      <c r="AQ187" s="464">
        <f>+'EB2019'!AN25*Conversions!$B$2</f>
        <v>0</v>
      </c>
      <c r="AR187" s="464">
        <f>+'EB2019'!C25*Conversions!$B$2</f>
        <v>0</v>
      </c>
      <c r="AS187" s="464">
        <f>+'EB2019'!L25*Conversions!$B$2</f>
        <v>3.3692202509400171</v>
      </c>
      <c r="AT187" s="464">
        <f>+'EB2019'!AA25*Conversions!$B$2</f>
        <v>2.757465535542575</v>
      </c>
      <c r="AU187" s="464">
        <f>+'EB2019'!AE25*Conversions!$B$2</f>
        <v>0</v>
      </c>
      <c r="AV187" s="464">
        <f>+'EB2019'!AO25*Conversions!$B$2</f>
        <v>10.655013055424455</v>
      </c>
      <c r="AW187" s="463">
        <f t="shared" si="42"/>
        <v>6.523589450808462</v>
      </c>
      <c r="AX187" s="464">
        <f>+'EB2018'!AF25*Conversions!$B$2</f>
        <v>0</v>
      </c>
      <c r="AY187" s="464">
        <f>+'EB2018'!AN25*Conversions!$B$2</f>
        <v>0</v>
      </c>
      <c r="AZ187" s="464">
        <f>+'EB2018'!C25*Conversions!$B$2</f>
        <v>0</v>
      </c>
      <c r="BA187" s="464">
        <f>+'EB2018'!L25*Conversions!$B$2</f>
        <v>4.1149820451100556</v>
      </c>
      <c r="BB187" s="464">
        <f>+'EB2018'!AA25*Conversions!$B$2</f>
        <v>2.4086074056984059</v>
      </c>
      <c r="BC187" s="464">
        <f>+'EB2018'!AE25*Conversions!$B$2</f>
        <v>0</v>
      </c>
      <c r="BD187" s="464">
        <f>+'EB2018'!AO25*Conversions!$B$2</f>
        <v>10.86335658457072</v>
      </c>
    </row>
    <row r="188" spans="2:58">
      <c r="B188" s="401" t="s">
        <v>377</v>
      </c>
      <c r="C188" s="401" t="s">
        <v>423</v>
      </c>
      <c r="D188" s="412">
        <f t="shared" ref="D188:I188" si="55">+IFERROR(D156/SUM($D156:$I156),0)</f>
        <v>0</v>
      </c>
      <c r="E188" s="412">
        <f t="shared" si="55"/>
        <v>0</v>
      </c>
      <c r="F188" s="412">
        <f t="shared" si="55"/>
        <v>0</v>
      </c>
      <c r="G188" s="412">
        <f t="shared" si="55"/>
        <v>6.5394402270379168E-2</v>
      </c>
      <c r="H188" s="412">
        <f t="shared" si="55"/>
        <v>0.89832345371978128</v>
      </c>
      <c r="I188" s="412">
        <f t="shared" si="55"/>
        <v>3.6282144009839624E-2</v>
      </c>
      <c r="J188" s="412">
        <f t="shared" ref="J188:O188" si="56">+IFERROR(J156/SUM($J156:$O156),0)</f>
        <v>0</v>
      </c>
      <c r="K188" s="412">
        <f t="shared" si="56"/>
        <v>0</v>
      </c>
      <c r="L188" s="412">
        <f t="shared" si="56"/>
        <v>0</v>
      </c>
      <c r="M188" s="412">
        <f t="shared" si="56"/>
        <v>0.62834955341886278</v>
      </c>
      <c r="N188" s="412">
        <f t="shared" si="56"/>
        <v>0.17579004043841925</v>
      </c>
      <c r="O188" s="412">
        <f t="shared" si="56"/>
        <v>0.19586040614271802</v>
      </c>
      <c r="R188" s="404" t="s">
        <v>372</v>
      </c>
      <c r="S188" s="425">
        <f t="shared" si="39"/>
        <v>5.487319899916546</v>
      </c>
      <c r="T188" s="406">
        <f>+SUMIF($R$147:$R$175,$R188,T$147:T$175)*Conversions!$B$3</f>
        <v>0</v>
      </c>
      <c r="U188" s="406">
        <f>+SUMIF($R$147:$R$175,$R188,U$147:U$175)*Conversions!$B$3</f>
        <v>0</v>
      </c>
      <c r="V188" s="406">
        <f>+SUMIF($R$147:$R$175,$R188,V$147:V$175)*Conversions!$B$3</f>
        <v>0</v>
      </c>
      <c r="W188" s="406">
        <f>+SUMIF($R$147:$R$175,$R188,W$147:W$175)*Conversions!$B$3</f>
        <v>0</v>
      </c>
      <c r="X188" s="406">
        <f>+SUMIF($R$147:$R$175,$R188,X$147:X$175)*Conversions!$B$3</f>
        <v>0</v>
      </c>
      <c r="Y188" s="406">
        <f>+SUMIF($R$147:$R$175,$R188,Y$147:Y$175)*Conversions!$B$3</f>
        <v>3.4364073271198503</v>
      </c>
      <c r="Z188" s="406">
        <f>+SUMIF($R$147:$R$175,$R188,Z$147:Z$175)*Conversions!$B$3</f>
        <v>0</v>
      </c>
      <c r="AA188" s="406">
        <f>+SUMIF($R$147:$R$175,$R188,AA$147:AA$175)*Conversions!$B$3</f>
        <v>0</v>
      </c>
      <c r="AB188" s="406">
        <f>+SUMIF($R$147:$R$175,$R188,AB$147:AB$175)*Conversions!$B$3</f>
        <v>0</v>
      </c>
      <c r="AC188" s="406">
        <f>+SUMIF($R$147:$R$175,$R188,AC$147:AC$175)*Conversions!$B$3</f>
        <v>9.0604780779789132E-2</v>
      </c>
      <c r="AD188" s="406">
        <f>+SUMIF($R$147:$R$175,$R188,AD$147:AD$175)*Conversions!$B$3</f>
        <v>2.6692441288259736E-2</v>
      </c>
      <c r="AE188" s="406">
        <f>+SUMIF($R$147:$R$175,$R188,AE$147:AE$175)*Conversions!$B$3</f>
        <v>1.9336153507286464</v>
      </c>
      <c r="AF188" s="459">
        <f t="shared" si="40"/>
        <v>0</v>
      </c>
      <c r="AG188" s="459">
        <f t="shared" si="35"/>
        <v>0</v>
      </c>
      <c r="AH188" s="459">
        <f t="shared" si="35"/>
        <v>0</v>
      </c>
      <c r="AI188" s="459">
        <f t="shared" si="35"/>
        <v>9.0604780779789132E-2</v>
      </c>
      <c r="AJ188" s="459">
        <f t="shared" si="35"/>
        <v>2.6692441288259736E-2</v>
      </c>
      <c r="AK188" s="459">
        <f t="shared" si="35"/>
        <v>5.370022677848497</v>
      </c>
      <c r="AL188" s="387">
        <f t="shared" si="41"/>
        <v>5.487319899916546</v>
      </c>
      <c r="AM188" s="387">
        <f>SUMIF($T$113:$T$141,AN188,$P$113:$S$141)*Conversions!$B$3</f>
        <v>0.70999460143473347</v>
      </c>
      <c r="AN188" s="404" t="s">
        <v>372</v>
      </c>
      <c r="AO188" s="459">
        <f t="shared" si="36"/>
        <v>5.571792589159493</v>
      </c>
      <c r="AP188" s="387">
        <f>+'EB2019'!AF34*Conversions!$B$2</f>
        <v>0</v>
      </c>
      <c r="AQ188" s="387">
        <f>+'EB2019'!AN34*Conversions!$B$2</f>
        <v>0</v>
      </c>
      <c r="AR188" s="387">
        <f>+'EB2019'!C34*Conversions!$B$2</f>
        <v>0</v>
      </c>
      <c r="AS188" s="387">
        <f>+'EB2019'!L34*Conversions!$B$2</f>
        <v>0.10498159905494697</v>
      </c>
      <c r="AT188" s="387">
        <f>+'EB2019'!AA34*Conversions!$B$2</f>
        <v>0.38069816774531456</v>
      </c>
      <c r="AU188" s="387">
        <f>+'EB2019'!AE34*Conversions!$B$2</f>
        <v>5.0861128223592313</v>
      </c>
      <c r="AV188" s="387">
        <f>+'EB2019'!AO34*Conversions!$B$2</f>
        <v>0.99220497807572949</v>
      </c>
      <c r="AW188" s="459">
        <f t="shared" si="42"/>
        <v>5.8944676464462384</v>
      </c>
      <c r="AX188" s="387">
        <f>+'EB2018'!AF34*Conversions!$B$2</f>
        <v>0</v>
      </c>
      <c r="AY188" s="387">
        <f>+'EB2018'!AN34*Conversions!$B$2</f>
        <v>0</v>
      </c>
      <c r="AZ188" s="387">
        <f>+'EB2018'!C34*Conversions!$B$2</f>
        <v>0</v>
      </c>
      <c r="BA188" s="387">
        <f>+'EB2018'!L34*Conversions!$B$2</f>
        <v>0.13452982010490974</v>
      </c>
      <c r="BB188" s="387">
        <f>+'EB2018'!AA34*Conversions!$B$2</f>
        <v>0.40446809919531779</v>
      </c>
      <c r="BC188" s="387">
        <f>+'EB2018'!AE34*Conversions!$B$2</f>
        <v>5.3554697271460112</v>
      </c>
      <c r="BD188" s="387">
        <f>+'EB2018'!AO34*Conversions!$B$2</f>
        <v>1.0350610691871953</v>
      </c>
    </row>
    <row r="189" spans="2:58">
      <c r="B189" s="404" t="s">
        <v>370</v>
      </c>
      <c r="C189" s="405" t="s">
        <v>419</v>
      </c>
      <c r="D189" s="413">
        <f t="shared" ref="D189:I189" si="57">+IFERROR(D157/SUM($D157:$I157),0)</f>
        <v>0</v>
      </c>
      <c r="E189" s="413">
        <f t="shared" si="57"/>
        <v>0</v>
      </c>
      <c r="F189" s="413">
        <f t="shared" si="57"/>
        <v>0.44902268896696151</v>
      </c>
      <c r="G189" s="413">
        <f t="shared" si="57"/>
        <v>0</v>
      </c>
      <c r="H189" s="413">
        <f t="shared" si="57"/>
        <v>0.55097731103303849</v>
      </c>
      <c r="I189" s="413">
        <f t="shared" si="57"/>
        <v>0</v>
      </c>
      <c r="J189" s="413">
        <f t="shared" ref="J189:O189" si="58">+IFERROR(J157/SUM($J157:$O157),0)</f>
        <v>0</v>
      </c>
      <c r="K189" s="413">
        <f t="shared" si="58"/>
        <v>0</v>
      </c>
      <c r="L189" s="413">
        <f t="shared" si="58"/>
        <v>0</v>
      </c>
      <c r="M189" s="413">
        <f t="shared" si="58"/>
        <v>0</v>
      </c>
      <c r="N189" s="413">
        <f t="shared" si="58"/>
        <v>0</v>
      </c>
      <c r="O189" s="413">
        <f t="shared" si="58"/>
        <v>0</v>
      </c>
      <c r="AF189" s="387">
        <f>SUM(AF180:AF188)</f>
        <v>1.6912149018245652</v>
      </c>
      <c r="AG189" s="387">
        <f t="shared" ref="AG189:AL189" si="59">SUM(AG180:AG188)</f>
        <v>2.3601590954574929</v>
      </c>
      <c r="AH189" s="387">
        <f t="shared" si="59"/>
        <v>8.4817136154167887</v>
      </c>
      <c r="AI189" s="387">
        <f t="shared" si="59"/>
        <v>7.3858096777482309</v>
      </c>
      <c r="AJ189" s="387">
        <f t="shared" si="59"/>
        <v>54.200670924703267</v>
      </c>
      <c r="AK189" s="387">
        <f t="shared" si="59"/>
        <v>6.5413028749788538</v>
      </c>
      <c r="AL189" s="387">
        <f t="shared" si="59"/>
        <v>80.660871090129191</v>
      </c>
      <c r="AM189" s="387"/>
      <c r="AN189" s="387"/>
      <c r="AO189" s="387">
        <f t="shared" ref="AO189:AX189" si="60">SUM(AO180:AO188)</f>
        <v>74.096809920409015</v>
      </c>
      <c r="AP189" s="387">
        <f t="shared" si="60"/>
        <v>1.6912622571677662</v>
      </c>
      <c r="AQ189" s="387">
        <f t="shared" si="60"/>
        <v>2.3723125702563985</v>
      </c>
      <c r="AR189" s="387">
        <f t="shared" si="60"/>
        <v>3.3139014117518704</v>
      </c>
      <c r="AS189" s="387">
        <f t="shared" si="60"/>
        <v>15.508153239518323</v>
      </c>
      <c r="AT189" s="387">
        <f t="shared" si="60"/>
        <v>45.102846821572157</v>
      </c>
      <c r="AU189" s="387">
        <f t="shared" si="60"/>
        <v>6.1083336201424956</v>
      </c>
      <c r="AV189" s="387">
        <f t="shared" si="60"/>
        <v>34.09437416546028</v>
      </c>
      <c r="AW189" s="387">
        <f t="shared" si="60"/>
        <v>75.609521497341603</v>
      </c>
      <c r="AX189" s="387">
        <f t="shared" si="60"/>
        <v>1.7037305140559671</v>
      </c>
      <c r="AY189" s="387">
        <f t="shared" ref="AY189:BD189" si="61">SUM(AY180:AY188)</f>
        <v>2.2911400353810554</v>
      </c>
      <c r="AZ189" s="387">
        <f t="shared" si="61"/>
        <v>4.4139350734763054</v>
      </c>
      <c r="BA189" s="387">
        <f t="shared" si="61"/>
        <v>16.518506749805447</v>
      </c>
      <c r="BB189" s="387">
        <f t="shared" si="61"/>
        <v>44.235919188639926</v>
      </c>
      <c r="BC189" s="387">
        <f t="shared" si="61"/>
        <v>6.4462899359828958</v>
      </c>
      <c r="BD189" s="387">
        <f t="shared" si="61"/>
        <v>33.881367482043402</v>
      </c>
    </row>
    <row r="190" spans="2:58">
      <c r="B190" s="404" t="s">
        <v>370</v>
      </c>
      <c r="C190" s="404" t="s">
        <v>424</v>
      </c>
      <c r="D190" s="413">
        <f t="shared" ref="D190:I190" si="62">+IFERROR(D158/SUM($D158:$I158),0)</f>
        <v>0</v>
      </c>
      <c r="E190" s="413">
        <f t="shared" si="62"/>
        <v>0</v>
      </c>
      <c r="F190" s="413">
        <f t="shared" si="62"/>
        <v>0.44902268896696151</v>
      </c>
      <c r="G190" s="413">
        <f t="shared" si="62"/>
        <v>0</v>
      </c>
      <c r="H190" s="413">
        <f t="shared" si="62"/>
        <v>0.55097731103303849</v>
      </c>
      <c r="I190" s="413">
        <f t="shared" si="62"/>
        <v>0</v>
      </c>
      <c r="J190" s="413">
        <f t="shared" ref="J190:O190" si="63">+IFERROR(J158/SUM($J158:$O158),0)</f>
        <v>0</v>
      </c>
      <c r="K190" s="413">
        <f t="shared" si="63"/>
        <v>0</v>
      </c>
      <c r="L190" s="413">
        <f t="shared" si="63"/>
        <v>0</v>
      </c>
      <c r="M190" s="413">
        <f t="shared" si="63"/>
        <v>0</v>
      </c>
      <c r="N190" s="413">
        <f t="shared" si="63"/>
        <v>0</v>
      </c>
      <c r="O190" s="413">
        <f t="shared" si="63"/>
        <v>0</v>
      </c>
      <c r="AF190" s="387">
        <f>+AF189-AF187</f>
        <v>1.6912149018245652</v>
      </c>
      <c r="AG190" s="387">
        <f t="shared" ref="AG190:BD190" si="64">+AG189-AG187</f>
        <v>2.3601590954574929</v>
      </c>
      <c r="AH190" s="387">
        <f t="shared" si="64"/>
        <v>8.4817136154167887</v>
      </c>
      <c r="AI190" s="387">
        <f t="shared" si="64"/>
        <v>7.3858096777482309</v>
      </c>
      <c r="AJ190" s="387">
        <f t="shared" si="64"/>
        <v>49.095516345444501</v>
      </c>
      <c r="AK190" s="387">
        <f t="shared" si="64"/>
        <v>6.5413028749788538</v>
      </c>
      <c r="AL190" s="387">
        <f t="shared" si="64"/>
        <v>75.555716510870425</v>
      </c>
      <c r="AM190" s="387"/>
      <c r="AN190" s="387"/>
      <c r="AO190" s="387">
        <f t="shared" si="64"/>
        <v>67.970124133926419</v>
      </c>
      <c r="AP190" s="387">
        <f t="shared" si="64"/>
        <v>1.6912622571677662</v>
      </c>
      <c r="AQ190" s="387">
        <f t="shared" si="64"/>
        <v>2.3723125702563985</v>
      </c>
      <c r="AR190" s="387">
        <f t="shared" si="64"/>
        <v>3.3139014117518704</v>
      </c>
      <c r="AS190" s="387">
        <f t="shared" si="64"/>
        <v>12.138932988578306</v>
      </c>
      <c r="AT190" s="387">
        <f t="shared" si="64"/>
        <v>42.345381286029586</v>
      </c>
      <c r="AU190" s="387">
        <f t="shared" si="64"/>
        <v>6.1083336201424956</v>
      </c>
      <c r="AV190" s="387">
        <f t="shared" si="64"/>
        <v>23.439361110035826</v>
      </c>
      <c r="AW190" s="387">
        <f t="shared" si="64"/>
        <v>69.085932046533145</v>
      </c>
      <c r="AX190" s="387">
        <f t="shared" si="64"/>
        <v>1.7037305140559671</v>
      </c>
      <c r="AY190" s="387">
        <f t="shared" si="64"/>
        <v>2.2911400353810554</v>
      </c>
      <c r="AZ190" s="387">
        <f t="shared" si="64"/>
        <v>4.4139350734763054</v>
      </c>
      <c r="BA190" s="387">
        <f t="shared" si="64"/>
        <v>12.403524704695391</v>
      </c>
      <c r="BB190" s="387">
        <f t="shared" si="64"/>
        <v>41.827311782941521</v>
      </c>
      <c r="BC190" s="387">
        <f t="shared" si="64"/>
        <v>6.4462899359828958</v>
      </c>
      <c r="BD190" s="387">
        <f t="shared" si="64"/>
        <v>23.018010897472681</v>
      </c>
    </row>
    <row r="191" spans="2:58">
      <c r="B191" s="404" t="s">
        <v>370</v>
      </c>
      <c r="C191" s="405" t="s">
        <v>425</v>
      </c>
      <c r="D191" s="413">
        <f t="shared" ref="D191:I191" si="65">+IFERROR(D159/SUM($D159:$I159),0)</f>
        <v>0</v>
      </c>
      <c r="E191" s="413">
        <f t="shared" si="65"/>
        <v>0</v>
      </c>
      <c r="F191" s="413">
        <f t="shared" si="65"/>
        <v>0.44902268896696151</v>
      </c>
      <c r="G191" s="413">
        <f t="shared" si="65"/>
        <v>0</v>
      </c>
      <c r="H191" s="413">
        <f t="shared" si="65"/>
        <v>0.55097731103303849</v>
      </c>
      <c r="I191" s="413">
        <f t="shared" si="65"/>
        <v>0</v>
      </c>
      <c r="J191" s="413">
        <f t="shared" ref="J191:O191" si="66">+IFERROR(J159/SUM($J159:$O159),0)</f>
        <v>0</v>
      </c>
      <c r="K191" s="413">
        <f t="shared" si="66"/>
        <v>0</v>
      </c>
      <c r="L191" s="413">
        <f t="shared" si="66"/>
        <v>0</v>
      </c>
      <c r="M191" s="413">
        <f t="shared" si="66"/>
        <v>0</v>
      </c>
      <c r="N191" s="413">
        <f t="shared" si="66"/>
        <v>0</v>
      </c>
      <c r="O191" s="413">
        <f t="shared" si="66"/>
        <v>0</v>
      </c>
      <c r="AP191" s="387">
        <f>+AF190-AP190</f>
        <v>-4.7355343200994326E-5</v>
      </c>
      <c r="AQ191" s="387">
        <f t="shared" ref="AQ191:AU191" si="67">+AG190-AQ190</f>
        <v>-1.2153474798905606E-2</v>
      </c>
      <c r="AR191" s="387">
        <f>+AH190-AR190-BE180</f>
        <v>-0.18637269005247603</v>
      </c>
      <c r="AS191" s="387">
        <f>+AI190-AS190+BE180</f>
        <v>0.60106158288731937</v>
      </c>
      <c r="AT191" s="387">
        <f t="shared" si="67"/>
        <v>6.7501350594149159</v>
      </c>
      <c r="AU191" s="387">
        <f t="shared" si="67"/>
        <v>0.43296925483635817</v>
      </c>
    </row>
    <row r="192" spans="2:58">
      <c r="B192" s="407" t="s">
        <v>353</v>
      </c>
      <c r="C192" s="408" t="s">
        <v>421</v>
      </c>
      <c r="D192" s="414">
        <f t="shared" ref="D192:I192" si="68">+IFERROR(D160/SUM($D160:$I160),0)</f>
        <v>0</v>
      </c>
      <c r="E192" s="414">
        <f t="shared" si="68"/>
        <v>0</v>
      </c>
      <c r="F192" s="414">
        <f t="shared" si="68"/>
        <v>0</v>
      </c>
      <c r="G192" s="414">
        <f t="shared" si="68"/>
        <v>6.644394060112262E-3</v>
      </c>
      <c r="H192" s="414">
        <f t="shared" si="68"/>
        <v>0.9933556059398877</v>
      </c>
      <c r="I192" s="414">
        <f t="shared" si="68"/>
        <v>0</v>
      </c>
      <c r="J192" s="414">
        <f t="shared" ref="J192:O192" si="69">+IFERROR(J160/SUM($J160:$O160),0)</f>
        <v>0</v>
      </c>
      <c r="K192" s="414">
        <f t="shared" si="69"/>
        <v>0</v>
      </c>
      <c r="L192" s="414">
        <f t="shared" si="69"/>
        <v>0</v>
      </c>
      <c r="M192" s="414">
        <f t="shared" si="69"/>
        <v>0</v>
      </c>
      <c r="N192" s="414">
        <f t="shared" si="69"/>
        <v>0</v>
      </c>
      <c r="O192" s="414">
        <f t="shared" si="69"/>
        <v>0</v>
      </c>
      <c r="AF192" s="387"/>
      <c r="AG192" s="387"/>
      <c r="AH192" s="387"/>
      <c r="AI192" s="387"/>
      <c r="AJ192" s="387"/>
      <c r="AK192" s="387"/>
    </row>
    <row r="193" spans="2:32">
      <c r="B193" s="407" t="s">
        <v>353</v>
      </c>
      <c r="C193" s="407" t="s">
        <v>422</v>
      </c>
      <c r="D193" s="414">
        <f t="shared" ref="D193:I193" si="70">+IFERROR(D161/SUM($D161:$I161),0)</f>
        <v>0</v>
      </c>
      <c r="E193" s="414">
        <f t="shared" si="70"/>
        <v>0</v>
      </c>
      <c r="F193" s="414">
        <f t="shared" si="70"/>
        <v>0</v>
      </c>
      <c r="G193" s="414">
        <f t="shared" si="70"/>
        <v>0</v>
      </c>
      <c r="H193" s="414">
        <f t="shared" si="70"/>
        <v>1</v>
      </c>
      <c r="I193" s="414">
        <f t="shared" si="70"/>
        <v>0</v>
      </c>
      <c r="J193" s="414">
        <f t="shared" ref="J193:O193" si="71">+IFERROR(J161/SUM($J161:$O161),0)</f>
        <v>0</v>
      </c>
      <c r="K193" s="414">
        <f t="shared" si="71"/>
        <v>0</v>
      </c>
      <c r="L193" s="414">
        <f t="shared" si="71"/>
        <v>2.3701684889221781E-3</v>
      </c>
      <c r="M193" s="414">
        <f t="shared" si="71"/>
        <v>0.13629382587208719</v>
      </c>
      <c r="N193" s="414">
        <f t="shared" si="71"/>
        <v>0.86133600563899071</v>
      </c>
      <c r="O193" s="414">
        <f t="shared" si="71"/>
        <v>0</v>
      </c>
    </row>
    <row r="194" spans="2:32" ht="18.5">
      <c r="B194" s="407" t="s">
        <v>353</v>
      </c>
      <c r="C194" s="407" t="s">
        <v>424</v>
      </c>
      <c r="D194" s="414">
        <f t="shared" ref="D194:I194" si="72">+IFERROR(D162/SUM($D162:$I162),0)</f>
        <v>0</v>
      </c>
      <c r="E194" s="414">
        <f t="shared" si="72"/>
        <v>0</v>
      </c>
      <c r="F194" s="414">
        <f t="shared" si="72"/>
        <v>0</v>
      </c>
      <c r="G194" s="414">
        <f t="shared" si="72"/>
        <v>6.6443940601122638E-3</v>
      </c>
      <c r="H194" s="414">
        <f t="shared" si="72"/>
        <v>0.99335560593988781</v>
      </c>
      <c r="I194" s="414">
        <f t="shared" si="72"/>
        <v>0</v>
      </c>
      <c r="J194" s="414">
        <f t="shared" ref="J194:O194" si="73">+IFERROR(J162/SUM($J162:$O162),0)</f>
        <v>0</v>
      </c>
      <c r="K194" s="414">
        <f t="shared" si="73"/>
        <v>0</v>
      </c>
      <c r="L194" s="414">
        <f t="shared" si="73"/>
        <v>2.3701684889221781E-3</v>
      </c>
      <c r="M194" s="414">
        <f t="shared" si="73"/>
        <v>0.13629382587208722</v>
      </c>
      <c r="N194" s="414">
        <f t="shared" si="73"/>
        <v>0.86133600563899071</v>
      </c>
      <c r="O194" s="414">
        <f t="shared" si="73"/>
        <v>0</v>
      </c>
      <c r="S194" s="475" t="s">
        <v>487</v>
      </c>
    </row>
    <row r="195" spans="2:32" ht="15" thickBot="1">
      <c r="B195" s="403" t="s">
        <v>375</v>
      </c>
      <c r="C195" s="403" t="s">
        <v>422</v>
      </c>
      <c r="D195" s="412">
        <f t="shared" ref="D195:I195" si="74">+IFERROR(D163/SUM($D163:$I163),0)</f>
        <v>0</v>
      </c>
      <c r="E195" s="412">
        <f t="shared" si="74"/>
        <v>0</v>
      </c>
      <c r="F195" s="412">
        <f t="shared" si="74"/>
        <v>0</v>
      </c>
      <c r="G195" s="412">
        <f t="shared" si="74"/>
        <v>0</v>
      </c>
      <c r="H195" s="412">
        <f t="shared" si="74"/>
        <v>1</v>
      </c>
      <c r="I195" s="412">
        <f t="shared" si="74"/>
        <v>0</v>
      </c>
      <c r="J195" s="412">
        <f t="shared" ref="J195:O195" si="75">+IFERROR(J163/SUM($J163:$O163),0)</f>
        <v>0</v>
      </c>
      <c r="K195" s="412">
        <f t="shared" si="75"/>
        <v>0</v>
      </c>
      <c r="L195" s="412">
        <f t="shared" si="75"/>
        <v>0</v>
      </c>
      <c r="M195" s="412">
        <f t="shared" si="75"/>
        <v>0.35358806244458635</v>
      </c>
      <c r="N195" s="412">
        <f t="shared" si="75"/>
        <v>0.6464119375554136</v>
      </c>
      <c r="O195" s="412">
        <f t="shared" si="75"/>
        <v>0</v>
      </c>
      <c r="S195" s="377" t="s">
        <v>407</v>
      </c>
      <c r="T195" s="377" t="s">
        <v>408</v>
      </c>
      <c r="U195" s="377" t="s">
        <v>409</v>
      </c>
      <c r="V195" s="377" t="s">
        <v>410</v>
      </c>
      <c r="W195" s="377" t="s">
        <v>411</v>
      </c>
      <c r="AE195" t="s">
        <v>600</v>
      </c>
      <c r="AF195" t="s">
        <v>599</v>
      </c>
    </row>
    <row r="196" spans="2:32" ht="15" thickTop="1">
      <c r="B196" s="403" t="s">
        <v>375</v>
      </c>
      <c r="C196" s="401" t="s">
        <v>421</v>
      </c>
      <c r="D196" s="412">
        <f t="shared" ref="D196:I196" si="76">+IFERROR(D164/SUM($D164:$I164),0)</f>
        <v>0</v>
      </c>
      <c r="E196" s="412">
        <f t="shared" si="76"/>
        <v>0</v>
      </c>
      <c r="F196" s="412">
        <f t="shared" si="76"/>
        <v>0</v>
      </c>
      <c r="G196" s="412">
        <f t="shared" si="76"/>
        <v>0</v>
      </c>
      <c r="H196" s="412">
        <f t="shared" si="76"/>
        <v>1</v>
      </c>
      <c r="I196" s="412">
        <f t="shared" si="76"/>
        <v>0</v>
      </c>
      <c r="J196" s="412">
        <f t="shared" ref="J196:O196" si="77">+IFERROR(J164/SUM($J164:$O164),0)</f>
        <v>0</v>
      </c>
      <c r="K196" s="412">
        <f t="shared" si="77"/>
        <v>0</v>
      </c>
      <c r="L196" s="412">
        <f t="shared" si="77"/>
        <v>0</v>
      </c>
      <c r="M196" s="412">
        <f t="shared" si="77"/>
        <v>0.35358806244458635</v>
      </c>
      <c r="N196" s="412">
        <f t="shared" si="77"/>
        <v>0.6464119375554136</v>
      </c>
      <c r="O196" s="412">
        <f t="shared" si="77"/>
        <v>0</v>
      </c>
      <c r="R196" s="395" t="s">
        <v>359</v>
      </c>
      <c r="S196" s="35">
        <f>+(SUMIF($B$113:$B$141,$R196,I$113:I$141)+SUMIF($B$113:$B$141,$R196,D$113:D$141))/(SUMIF($B$113:$B$141,$R196,$I$113:$I$141)+SUMIF($B$113:$B$141,$R196,$D$113:$D$141))</f>
        <v>1</v>
      </c>
      <c r="T196" s="35">
        <f t="shared" ref="T196:W196" si="78">+(SUMIF($B$113:$B$141,$R196,J$113:J$141)+SUMIF($B$113:$B$141,$R196,E$113:E$141))/(SUMIF($B$113:$B$141,$R196,$I$113:$I$141)+SUMIF($B$113:$B$141,$R196,$D$113:$D$141))</f>
        <v>0.96935376415722851</v>
      </c>
      <c r="U196" s="35">
        <f t="shared" si="78"/>
        <v>3.0646235842771489E-2</v>
      </c>
      <c r="V196" s="35">
        <f t="shared" si="78"/>
        <v>0</v>
      </c>
      <c r="W196" s="35">
        <f t="shared" si="78"/>
        <v>0</v>
      </c>
      <c r="AD196" s="395" t="s">
        <v>359</v>
      </c>
      <c r="AE196" s="387">
        <f>+S180</f>
        <v>11.559613185131168</v>
      </c>
      <c r="AF196" s="386">
        <f>+SUM(T180:Y180)/S180</f>
        <v>1</v>
      </c>
    </row>
    <row r="197" spans="2:32">
      <c r="B197" s="403" t="s">
        <v>375</v>
      </c>
      <c r="C197" s="403" t="s">
        <v>420</v>
      </c>
      <c r="D197" s="412">
        <f t="shared" ref="D197:I197" si="79">+IFERROR(D165/SUM($D165:$I165),0)</f>
        <v>0</v>
      </c>
      <c r="E197" s="412">
        <f t="shared" si="79"/>
        <v>0</v>
      </c>
      <c r="F197" s="412">
        <f t="shared" si="79"/>
        <v>0</v>
      </c>
      <c r="G197" s="412">
        <f t="shared" si="79"/>
        <v>0</v>
      </c>
      <c r="H197" s="412">
        <f t="shared" si="79"/>
        <v>1</v>
      </c>
      <c r="I197" s="412">
        <f t="shared" si="79"/>
        <v>0</v>
      </c>
      <c r="J197" s="412">
        <f t="shared" ref="J197:O197" si="80">+IFERROR(J165/SUM($J165:$O165),0)</f>
        <v>0</v>
      </c>
      <c r="K197" s="412">
        <f t="shared" si="80"/>
        <v>0</v>
      </c>
      <c r="L197" s="412">
        <f t="shared" si="80"/>
        <v>0</v>
      </c>
      <c r="M197" s="412">
        <f t="shared" si="80"/>
        <v>0.35358806244458635</v>
      </c>
      <c r="N197" s="412">
        <f t="shared" si="80"/>
        <v>0.6464119375554136</v>
      </c>
      <c r="O197" s="412">
        <f t="shared" si="80"/>
        <v>0</v>
      </c>
      <c r="R197" s="398" t="s">
        <v>387</v>
      </c>
      <c r="S197" s="35">
        <f t="shared" ref="S197:S204" si="81">+(SUMIF($B$113:$B$141,$R197,I$113:I$141)+SUMIF($B$113:$B$141,$R197,D$113:D$141))/(SUMIF($B$113:$B$141,$R197,$I$113:$I$141)+SUMIF($B$113:$B$141,$R197,$D$113:$D$141))</f>
        <v>1</v>
      </c>
      <c r="T197" s="35">
        <f t="shared" ref="T197:T204" si="82">+(SUMIF($B$113:$B$141,$R197,J$113:J$141)+SUMIF($B$113:$B$141,$R197,E$113:E$141))/(SUMIF($B$113:$B$141,$R197,$I$113:$I$141)+SUMIF($B$113:$B$141,$R197,$D$113:$D$141))</f>
        <v>0</v>
      </c>
      <c r="U197" s="35">
        <f t="shared" ref="U197:U204" si="83">+(SUMIF($B$113:$B$141,$R197,K$113:K$141)+SUMIF($B$113:$B$141,$R197,F$113:F$141))/(SUMIF($B$113:$B$141,$R197,$I$113:$I$141)+SUMIF($B$113:$B$141,$R197,$D$113:$D$141))</f>
        <v>0.29754119435827564</v>
      </c>
      <c r="V197" s="35">
        <f t="shared" ref="V197:V204" si="84">+(SUMIF($B$113:$B$141,$R197,L$113:L$141)+SUMIF($B$113:$B$141,$R197,G$113:G$141))/(SUMIF($B$113:$B$141,$R197,$I$113:$I$141)+SUMIF($B$113:$B$141,$R197,$D$113:$D$141))</f>
        <v>0.56606520975784935</v>
      </c>
      <c r="W197" s="35">
        <f t="shared" ref="W197:W204" si="85">+(SUMIF($B$113:$B$141,$R197,M$113:M$141)+SUMIF($B$113:$B$141,$R197,H$113:H$141))/(SUMIF($B$113:$B$141,$R197,$I$113:$I$141)+SUMIF($B$113:$B$141,$R197,$D$113:$D$141))</f>
        <v>0.13639359588387517</v>
      </c>
      <c r="AD197" s="398" t="s">
        <v>387</v>
      </c>
      <c r="AE197" s="387">
        <f t="shared" ref="AE197:AE203" si="86">+S181</f>
        <v>7.4226106850918043</v>
      </c>
      <c r="AF197" s="386">
        <f t="shared" ref="AF197:AF203" si="87">+SUM(T181:Y181)/S181</f>
        <v>0.5127627260489166</v>
      </c>
    </row>
    <row r="198" spans="2:32">
      <c r="B198" s="403" t="s">
        <v>375</v>
      </c>
      <c r="C198" s="401" t="s">
        <v>423</v>
      </c>
      <c r="D198" s="412">
        <f t="shared" ref="D198:I198" si="88">+IFERROR(D166/SUM($D166:$I166),0)</f>
        <v>0</v>
      </c>
      <c r="E198" s="412">
        <f t="shared" si="88"/>
        <v>0</v>
      </c>
      <c r="F198" s="412">
        <f t="shared" si="88"/>
        <v>0</v>
      </c>
      <c r="G198" s="412">
        <f t="shared" si="88"/>
        <v>0</v>
      </c>
      <c r="H198" s="412">
        <f t="shared" si="88"/>
        <v>0</v>
      </c>
      <c r="I198" s="412">
        <f t="shared" si="88"/>
        <v>0</v>
      </c>
      <c r="J198" s="412">
        <f t="shared" ref="J198:O198" si="89">+IFERROR(J166/SUM($J166:$O166),0)</f>
        <v>0</v>
      </c>
      <c r="K198" s="412">
        <f t="shared" si="89"/>
        <v>0</v>
      </c>
      <c r="L198" s="412">
        <f t="shared" si="89"/>
        <v>0</v>
      </c>
      <c r="M198" s="412">
        <f t="shared" si="89"/>
        <v>0.35358806244458635</v>
      </c>
      <c r="N198" s="412">
        <f t="shared" si="89"/>
        <v>0.6464119375554136</v>
      </c>
      <c r="O198" s="412">
        <f t="shared" si="89"/>
        <v>0</v>
      </c>
      <c r="R198" s="401" t="s">
        <v>377</v>
      </c>
      <c r="S198" s="35">
        <f t="shared" si="81"/>
        <v>1</v>
      </c>
      <c r="T198" s="35">
        <f t="shared" si="82"/>
        <v>0</v>
      </c>
      <c r="U198" s="35">
        <f t="shared" si="83"/>
        <v>0.17739818536602148</v>
      </c>
      <c r="V198" s="35">
        <f t="shared" si="84"/>
        <v>0.59622477857561662</v>
      </c>
      <c r="W198" s="35">
        <f t="shared" si="85"/>
        <v>0.22637703605836187</v>
      </c>
      <c r="AD198" s="401" t="s">
        <v>377</v>
      </c>
      <c r="AE198" s="387">
        <f t="shared" si="86"/>
        <v>17.859833031145346</v>
      </c>
      <c r="AF198" s="386">
        <f t="shared" si="87"/>
        <v>0.83267870158346724</v>
      </c>
    </row>
    <row r="199" spans="2:32">
      <c r="B199" s="403" t="s">
        <v>375</v>
      </c>
      <c r="C199" s="401" t="s">
        <v>424</v>
      </c>
      <c r="D199" s="412">
        <f t="shared" ref="D199:I199" si="90">+IFERROR(D167/SUM($D167:$I167),0)</f>
        <v>0</v>
      </c>
      <c r="E199" s="412">
        <f t="shared" si="90"/>
        <v>0</v>
      </c>
      <c r="F199" s="412">
        <f t="shared" si="90"/>
        <v>0</v>
      </c>
      <c r="G199" s="412">
        <f t="shared" si="90"/>
        <v>0</v>
      </c>
      <c r="H199" s="412">
        <f t="shared" si="90"/>
        <v>0</v>
      </c>
      <c r="I199" s="412">
        <f t="shared" si="90"/>
        <v>0</v>
      </c>
      <c r="J199" s="412">
        <f t="shared" ref="J199:O199" si="91">+IFERROR(J167/SUM($J167:$O167),0)</f>
        <v>0</v>
      </c>
      <c r="K199" s="412">
        <f t="shared" si="91"/>
        <v>0</v>
      </c>
      <c r="L199" s="412">
        <f t="shared" si="91"/>
        <v>0</v>
      </c>
      <c r="M199" s="412">
        <f t="shared" si="91"/>
        <v>0.35358806244458635</v>
      </c>
      <c r="N199" s="412">
        <f t="shared" si="91"/>
        <v>0.6464119375554136</v>
      </c>
      <c r="O199" s="412">
        <f t="shared" si="91"/>
        <v>0</v>
      </c>
      <c r="R199" s="404" t="s">
        <v>370</v>
      </c>
      <c r="S199" s="35">
        <f t="shared" si="81"/>
        <v>1</v>
      </c>
      <c r="T199" s="35">
        <f t="shared" si="82"/>
        <v>1</v>
      </c>
      <c r="U199" s="35">
        <f t="shared" si="83"/>
        <v>0</v>
      </c>
      <c r="V199" s="35">
        <f t="shared" si="84"/>
        <v>0</v>
      </c>
      <c r="W199" s="35">
        <f t="shared" si="85"/>
        <v>0</v>
      </c>
      <c r="AD199" s="404" t="s">
        <v>370</v>
      </c>
      <c r="AE199" s="387">
        <f t="shared" si="86"/>
        <v>1.4686836114124944</v>
      </c>
      <c r="AF199" s="386">
        <f t="shared" si="87"/>
        <v>1</v>
      </c>
    </row>
    <row r="200" spans="2:32">
      <c r="B200" s="399" t="s">
        <v>388</v>
      </c>
      <c r="C200" s="399" t="s">
        <v>420</v>
      </c>
      <c r="D200" s="411">
        <f t="shared" ref="D200:I200" si="92">+IFERROR(D168/SUM($D168:$I168),0)</f>
        <v>0</v>
      </c>
      <c r="E200" s="411">
        <f t="shared" si="92"/>
        <v>0</v>
      </c>
      <c r="F200" s="411">
        <f t="shared" si="92"/>
        <v>9.7846427044884318E-2</v>
      </c>
      <c r="G200" s="411">
        <f t="shared" si="92"/>
        <v>0</v>
      </c>
      <c r="H200" s="411">
        <f t="shared" si="92"/>
        <v>0.90215357295511567</v>
      </c>
      <c r="I200" s="411">
        <f t="shared" si="92"/>
        <v>0</v>
      </c>
      <c r="J200" s="411">
        <f t="shared" ref="J200:O200" si="93">+IFERROR(J168/SUM($J168:$O168),0)</f>
        <v>0</v>
      </c>
      <c r="K200" s="411">
        <f t="shared" si="93"/>
        <v>0</v>
      </c>
      <c r="L200" s="411">
        <f t="shared" si="93"/>
        <v>0</v>
      </c>
      <c r="M200" s="411">
        <f t="shared" si="93"/>
        <v>0.97892306330198597</v>
      </c>
      <c r="N200" s="411">
        <f t="shared" si="93"/>
        <v>0</v>
      </c>
      <c r="O200" s="411">
        <f t="shared" si="93"/>
        <v>2.1076936698014078E-2</v>
      </c>
      <c r="R200" s="407" t="s">
        <v>353</v>
      </c>
      <c r="S200" s="35">
        <f t="shared" si="81"/>
        <v>1</v>
      </c>
      <c r="T200" s="35">
        <f t="shared" si="82"/>
        <v>0.25515792554766992</v>
      </c>
      <c r="U200" s="35">
        <f t="shared" si="83"/>
        <v>0.74484207445233008</v>
      </c>
      <c r="V200" s="35">
        <f t="shared" si="84"/>
        <v>0</v>
      </c>
      <c r="W200" s="35">
        <f t="shared" si="85"/>
        <v>0</v>
      </c>
      <c r="AD200" s="407" t="s">
        <v>353</v>
      </c>
      <c r="AE200" s="387">
        <f t="shared" si="86"/>
        <v>24.370288605107877</v>
      </c>
      <c r="AF200" s="386">
        <f t="shared" si="87"/>
        <v>0.90145071324025572</v>
      </c>
    </row>
    <row r="201" spans="2:32">
      <c r="B201" s="399" t="s">
        <v>388</v>
      </c>
      <c r="C201" s="399" t="s">
        <v>422</v>
      </c>
      <c r="D201" s="411">
        <f t="shared" ref="D201:I201" si="94">+IFERROR(D169/SUM($D169:$I169),0)</f>
        <v>0</v>
      </c>
      <c r="E201" s="411">
        <f t="shared" si="94"/>
        <v>0</v>
      </c>
      <c r="F201" s="411">
        <f t="shared" si="94"/>
        <v>9.7846427044884318E-2</v>
      </c>
      <c r="G201" s="411">
        <f t="shared" si="94"/>
        <v>0</v>
      </c>
      <c r="H201" s="411">
        <f t="shared" si="94"/>
        <v>0.90215357295511567</v>
      </c>
      <c r="I201" s="411">
        <f t="shared" si="94"/>
        <v>0</v>
      </c>
      <c r="J201" s="411">
        <f t="shared" ref="J201:O201" si="95">+IFERROR(J169/SUM($J169:$O169),0)</f>
        <v>0</v>
      </c>
      <c r="K201" s="411">
        <f t="shared" si="95"/>
        <v>0</v>
      </c>
      <c r="L201" s="411">
        <f t="shared" si="95"/>
        <v>0</v>
      </c>
      <c r="M201" s="411">
        <f t="shared" si="95"/>
        <v>0.97892306330198597</v>
      </c>
      <c r="N201" s="411">
        <f t="shared" si="95"/>
        <v>0</v>
      </c>
      <c r="O201" s="411">
        <f t="shared" si="95"/>
        <v>2.1076936698014075E-2</v>
      </c>
      <c r="R201" s="403" t="s">
        <v>375</v>
      </c>
      <c r="S201" s="35">
        <f t="shared" si="81"/>
        <v>1</v>
      </c>
      <c r="T201" s="35">
        <f>+(SUMIF($B$113:$B$141,$R201,J$113:J$141)+SUMIF($B$113:$B$141,$R201,E$113:E$141))/(SUMIF($B$113:$B$141,$R201,$I$113:$I$141)+SUMIF($B$113:$B$141,$R201,$D$113:$D$141))</f>
        <v>3.476557936648858E-2</v>
      </c>
      <c r="U201" s="35">
        <f t="shared" si="83"/>
        <v>0</v>
      </c>
      <c r="V201" s="35">
        <f t="shared" si="84"/>
        <v>0.70864455216963829</v>
      </c>
      <c r="W201" s="35">
        <f t="shared" si="85"/>
        <v>0.25658986846387333</v>
      </c>
      <c r="AD201" s="403" t="s">
        <v>375</v>
      </c>
      <c r="AE201" s="387">
        <f t="shared" si="86"/>
        <v>4.7024052033252115</v>
      </c>
      <c r="AF201" s="386">
        <f t="shared" si="87"/>
        <v>0.33543854446790861</v>
      </c>
    </row>
    <row r="202" spans="2:32">
      <c r="B202" s="399" t="s">
        <v>388</v>
      </c>
      <c r="C202" s="398" t="s">
        <v>425</v>
      </c>
      <c r="D202" s="411">
        <f t="shared" ref="D202:I202" si="96">+IFERROR(D170/SUM($D170:$I170),0)</f>
        <v>0</v>
      </c>
      <c r="E202" s="411">
        <f t="shared" si="96"/>
        <v>0</v>
      </c>
      <c r="F202" s="411">
        <f t="shared" si="96"/>
        <v>0</v>
      </c>
      <c r="G202" s="411">
        <f t="shared" si="96"/>
        <v>0</v>
      </c>
      <c r="H202" s="411">
        <f t="shared" si="96"/>
        <v>1</v>
      </c>
      <c r="I202" s="411">
        <f t="shared" si="96"/>
        <v>0</v>
      </c>
      <c r="J202" s="411">
        <f t="shared" ref="J202:O202" si="97">+IFERROR(J170/SUM($J170:$O170),0)</f>
        <v>0</v>
      </c>
      <c r="K202" s="411">
        <f t="shared" si="97"/>
        <v>0</v>
      </c>
      <c r="L202" s="411">
        <f t="shared" si="97"/>
        <v>0</v>
      </c>
      <c r="M202" s="411">
        <f t="shared" si="97"/>
        <v>0.97892306330198597</v>
      </c>
      <c r="N202" s="411">
        <f t="shared" si="97"/>
        <v>0</v>
      </c>
      <c r="O202" s="411">
        <f t="shared" si="97"/>
        <v>2.1076936698014071E-2</v>
      </c>
      <c r="R202" s="399" t="s">
        <v>388</v>
      </c>
      <c r="S202" s="35">
        <f t="shared" si="81"/>
        <v>1</v>
      </c>
      <c r="T202" s="35">
        <f t="shared" si="82"/>
        <v>0.16901133467336288</v>
      </c>
      <c r="U202" s="35">
        <f t="shared" si="83"/>
        <v>0.42945529889866185</v>
      </c>
      <c r="V202" s="35">
        <f t="shared" si="84"/>
        <v>0.40153336642797527</v>
      </c>
      <c r="W202" s="35">
        <f t="shared" si="85"/>
        <v>0</v>
      </c>
      <c r="AD202" s="399" t="s">
        <v>388</v>
      </c>
      <c r="AE202" s="387">
        <f t="shared" si="86"/>
        <v>2.6849622897399903</v>
      </c>
      <c r="AF202" s="386">
        <f t="shared" si="87"/>
        <v>0.17982076458847637</v>
      </c>
    </row>
    <row r="203" spans="2:32">
      <c r="B203" s="461" t="s">
        <v>369</v>
      </c>
      <c r="C203" s="461" t="s">
        <v>421</v>
      </c>
      <c r="D203" s="472">
        <f t="shared" ref="D203:I203" si="98">+IFERROR(D171/SUM($D171:$I171),0)</f>
        <v>0</v>
      </c>
      <c r="E203" s="472">
        <f t="shared" si="98"/>
        <v>0</v>
      </c>
      <c r="F203" s="472">
        <f t="shared" si="98"/>
        <v>0</v>
      </c>
      <c r="G203" s="472">
        <f t="shared" si="98"/>
        <v>0</v>
      </c>
      <c r="H203" s="472">
        <f t="shared" si="98"/>
        <v>1</v>
      </c>
      <c r="I203" s="472">
        <f t="shared" si="98"/>
        <v>0</v>
      </c>
      <c r="J203" s="472">
        <f t="shared" ref="J203:O203" si="99">+IFERROR(J171/SUM($J171:$O171),0)</f>
        <v>0</v>
      </c>
      <c r="K203" s="472">
        <f t="shared" si="99"/>
        <v>0</v>
      </c>
      <c r="L203" s="472">
        <f t="shared" si="99"/>
        <v>0</v>
      </c>
      <c r="M203" s="472">
        <f t="shared" si="99"/>
        <v>0</v>
      </c>
      <c r="N203" s="472">
        <f t="shared" si="99"/>
        <v>0</v>
      </c>
      <c r="O203" s="472">
        <f t="shared" si="99"/>
        <v>0</v>
      </c>
      <c r="R203" s="461" t="s">
        <v>369</v>
      </c>
      <c r="S203" s="35">
        <f t="shared" si="81"/>
        <v>1</v>
      </c>
      <c r="T203" s="35">
        <f t="shared" si="82"/>
        <v>0</v>
      </c>
      <c r="U203" s="35">
        <f t="shared" si="83"/>
        <v>1</v>
      </c>
      <c r="V203" s="35">
        <f t="shared" si="84"/>
        <v>0</v>
      </c>
      <c r="W203" s="35">
        <f t="shared" si="85"/>
        <v>0</v>
      </c>
      <c r="AD203" s="404" t="s">
        <v>372</v>
      </c>
      <c r="AE203" s="387">
        <f t="shared" si="86"/>
        <v>5.1051545792587634</v>
      </c>
      <c r="AF203" s="386">
        <f t="shared" si="87"/>
        <v>1</v>
      </c>
    </row>
    <row r="204" spans="2:32">
      <c r="B204" s="461" t="s">
        <v>369</v>
      </c>
      <c r="C204" s="466" t="s">
        <v>422</v>
      </c>
      <c r="D204" s="472">
        <f t="shared" ref="D204:I204" si="100">+IFERROR(D172/SUM($D172:$I172),0)</f>
        <v>0</v>
      </c>
      <c r="E204" s="472">
        <f t="shared" si="100"/>
        <v>0</v>
      </c>
      <c r="F204" s="472">
        <f t="shared" si="100"/>
        <v>0</v>
      </c>
      <c r="G204" s="472">
        <f t="shared" si="100"/>
        <v>0</v>
      </c>
      <c r="H204" s="472">
        <f t="shared" si="100"/>
        <v>1</v>
      </c>
      <c r="I204" s="472">
        <f t="shared" si="100"/>
        <v>0</v>
      </c>
      <c r="J204" s="472">
        <f t="shared" ref="J204:O204" si="101">+IFERROR(J172/SUM($J172:$O172),0)</f>
        <v>0</v>
      </c>
      <c r="K204" s="472">
        <f t="shared" si="101"/>
        <v>0</v>
      </c>
      <c r="L204" s="472">
        <f t="shared" si="101"/>
        <v>0</v>
      </c>
      <c r="M204" s="472">
        <f t="shared" si="101"/>
        <v>0</v>
      </c>
      <c r="N204" s="472">
        <f t="shared" si="101"/>
        <v>0</v>
      </c>
      <c r="O204" s="472">
        <f t="shared" si="101"/>
        <v>0</v>
      </c>
      <c r="R204" s="404" t="s">
        <v>372</v>
      </c>
      <c r="S204" s="35">
        <f t="shared" si="81"/>
        <v>1</v>
      </c>
      <c r="T204" s="35">
        <f t="shared" si="82"/>
        <v>0</v>
      </c>
      <c r="U204" s="35">
        <f t="shared" si="83"/>
        <v>0</v>
      </c>
      <c r="V204" s="35">
        <f t="shared" si="84"/>
        <v>1</v>
      </c>
      <c r="W204" s="35">
        <f t="shared" si="85"/>
        <v>0</v>
      </c>
      <c r="AD204" t="s">
        <v>598</v>
      </c>
      <c r="AE204" s="387">
        <f>+AV190</f>
        <v>23.439361110035826</v>
      </c>
    </row>
    <row r="205" spans="2:32">
      <c r="B205" s="461" t="s">
        <v>369</v>
      </c>
      <c r="C205" s="466" t="s">
        <v>424</v>
      </c>
      <c r="D205" s="472">
        <f t="shared" ref="D205:I205" si="102">+IFERROR(D173/SUM($D173:$I173),0)</f>
        <v>0</v>
      </c>
      <c r="E205" s="472">
        <f t="shared" si="102"/>
        <v>0</v>
      </c>
      <c r="F205" s="472">
        <f t="shared" si="102"/>
        <v>0</v>
      </c>
      <c r="G205" s="472">
        <f t="shared" si="102"/>
        <v>0</v>
      </c>
      <c r="H205" s="472">
        <f t="shared" si="102"/>
        <v>1</v>
      </c>
      <c r="I205" s="472">
        <f t="shared" si="102"/>
        <v>0</v>
      </c>
      <c r="J205" s="472">
        <f t="shared" ref="J205:O205" si="103">+IFERROR(J173/SUM($J173:$O173),0)</f>
        <v>0</v>
      </c>
      <c r="K205" s="472">
        <f t="shared" si="103"/>
        <v>0</v>
      </c>
      <c r="L205" s="472">
        <f t="shared" si="103"/>
        <v>0</v>
      </c>
      <c r="M205" s="472">
        <f t="shared" si="103"/>
        <v>0</v>
      </c>
      <c r="N205" s="472">
        <f t="shared" si="103"/>
        <v>0</v>
      </c>
      <c r="O205" s="472">
        <f t="shared" si="103"/>
        <v>0</v>
      </c>
    </row>
    <row r="206" spans="2:32" ht="18.5">
      <c r="B206" s="404" t="s">
        <v>372</v>
      </c>
      <c r="C206" s="404" t="s">
        <v>420</v>
      </c>
      <c r="D206" s="413">
        <f t="shared" ref="D206:I206" si="104">+IFERROR(D174/SUM($D174:$I174),0)</f>
        <v>0</v>
      </c>
      <c r="E206" s="413">
        <f t="shared" si="104"/>
        <v>0</v>
      </c>
      <c r="F206" s="413">
        <f t="shared" si="104"/>
        <v>0</v>
      </c>
      <c r="G206" s="413">
        <f t="shared" si="104"/>
        <v>0</v>
      </c>
      <c r="H206" s="413">
        <f t="shared" si="104"/>
        <v>0</v>
      </c>
      <c r="I206" s="413">
        <f t="shared" si="104"/>
        <v>1</v>
      </c>
      <c r="J206" s="413">
        <f t="shared" ref="J206:O206" si="105">+IFERROR(J174/SUM($J174:$O174),0)</f>
        <v>0</v>
      </c>
      <c r="K206" s="413">
        <f t="shared" si="105"/>
        <v>0</v>
      </c>
      <c r="L206" s="413">
        <f t="shared" si="105"/>
        <v>0</v>
      </c>
      <c r="M206" s="413">
        <f t="shared" si="105"/>
        <v>4.4177787966962097E-2</v>
      </c>
      <c r="N206" s="413">
        <f t="shared" si="105"/>
        <v>1.3014909383417062E-2</v>
      </c>
      <c r="O206" s="413">
        <f t="shared" si="105"/>
        <v>0.94280730264962076</v>
      </c>
      <c r="S206" s="475" t="s">
        <v>487</v>
      </c>
    </row>
    <row r="207" spans="2:32" ht="15" thickBot="1">
      <c r="B207" s="404" t="s">
        <v>372</v>
      </c>
      <c r="C207" s="404" t="s">
        <v>422</v>
      </c>
      <c r="D207" s="413">
        <f t="shared" ref="D207:I207" si="106">+IFERROR(D175/SUM($D175:$I175),0)</f>
        <v>0</v>
      </c>
      <c r="E207" s="413">
        <f t="shared" si="106"/>
        <v>0</v>
      </c>
      <c r="F207" s="413">
        <f t="shared" si="106"/>
        <v>0</v>
      </c>
      <c r="G207" s="413">
        <f t="shared" si="106"/>
        <v>0</v>
      </c>
      <c r="H207" s="413">
        <f t="shared" si="106"/>
        <v>0</v>
      </c>
      <c r="I207" s="413">
        <f t="shared" si="106"/>
        <v>1</v>
      </c>
      <c r="J207" s="413">
        <f t="shared" ref="J207:O207" si="107">+IFERROR(J175/SUM($J175:$O175),0)</f>
        <v>0</v>
      </c>
      <c r="K207" s="413">
        <f t="shared" si="107"/>
        <v>0</v>
      </c>
      <c r="L207" s="413">
        <f t="shared" si="107"/>
        <v>0</v>
      </c>
      <c r="M207" s="413">
        <f t="shared" si="107"/>
        <v>4.4177787966962097E-2</v>
      </c>
      <c r="N207" s="413">
        <f t="shared" si="107"/>
        <v>1.301490938341706E-2</v>
      </c>
      <c r="O207" s="413">
        <f t="shared" si="107"/>
        <v>0.94280730264962076</v>
      </c>
      <c r="S207" s="377" t="s">
        <v>408</v>
      </c>
      <c r="T207" s="377" t="s">
        <v>408</v>
      </c>
      <c r="U207" s="377" t="s">
        <v>409</v>
      </c>
      <c r="V207" s="377" t="s">
        <v>409</v>
      </c>
      <c r="W207" s="377" t="s">
        <v>410</v>
      </c>
      <c r="X207" s="377" t="s">
        <v>410</v>
      </c>
      <c r="Y207" s="377" t="s">
        <v>411</v>
      </c>
      <c r="Z207" s="377" t="s">
        <v>411</v>
      </c>
    </row>
    <row r="208" spans="2:32" ht="15.5" thickTop="1" thickBot="1"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S208" s="377" t="s">
        <v>354</v>
      </c>
      <c r="T208" t="s">
        <v>458</v>
      </c>
      <c r="U208" s="377" t="s">
        <v>354</v>
      </c>
      <c r="V208" t="s">
        <v>458</v>
      </c>
      <c r="W208" s="377" t="s">
        <v>354</v>
      </c>
      <c r="X208" t="s">
        <v>458</v>
      </c>
      <c r="Y208" s="377" t="s">
        <v>354</v>
      </c>
      <c r="Z208" t="s">
        <v>458</v>
      </c>
    </row>
    <row r="209" spans="18:26" ht="15" thickTop="1">
      <c r="R209" s="395" t="s">
        <v>359</v>
      </c>
      <c r="S209" s="386">
        <f>IFERROR(SUMIF($B$113:$B$141,$R209,E$113:E$141)/(SUMIF($B$113:$B$141,$R209,E$113:E$141)+SUMIF($B$113:$B$141,$R209,J$113:J$141)),0)</f>
        <v>1</v>
      </c>
      <c r="T209" s="386">
        <f>1-S209</f>
        <v>0</v>
      </c>
      <c r="U209" s="386">
        <f>IFERROR(SUMIF($B$113:$B$141,$R209,F$113:F$141)/(SUMIF($B$113:$B$141,$R209,F$113:F$141)+SUMIF($B$113:$B$141,$R209,K$113:K$141)),0)</f>
        <v>1</v>
      </c>
      <c r="V209" s="386">
        <f>1-U209</f>
        <v>0</v>
      </c>
      <c r="W209" s="386">
        <f>IFERROR(SUMIF($B$113:$B$141,$R209,G$113:G$141)/(SUMIF($B$113:$B$141,$R209,G$113:G$141)+SUMIF($B$113:$B$141,$R209,L$113:L$141)),0)</f>
        <v>0</v>
      </c>
      <c r="X209" s="386">
        <f>1-W209</f>
        <v>1</v>
      </c>
      <c r="Y209" s="386">
        <f>IFERROR(SUMIF($B$113:$B$141,$R209,H$113:H$141)/(SUMIF($B$113:$B$141,$R209,H$113:H$141)+SUMIF($B$113:$B$141,$R209,M$113:M$141)),0)</f>
        <v>0</v>
      </c>
      <c r="Z209" s="386">
        <f>1-Y209</f>
        <v>1</v>
      </c>
    </row>
    <row r="210" spans="18:26">
      <c r="R210" s="398" t="s">
        <v>387</v>
      </c>
      <c r="S210" s="386">
        <f t="shared" ref="S210:S217" si="108">IFERROR(SUMIF($B$113:$B$141,$R210,E$113:E$141)/(SUMIF($B$113:$B$141,$R210,E$113:E$141)+SUMIF($B$113:$B$141,$R210,J$113:J$141)),0)</f>
        <v>0</v>
      </c>
      <c r="T210" s="386">
        <f t="shared" ref="T210:T217" si="109">1-S210</f>
        <v>1</v>
      </c>
      <c r="U210" s="386">
        <f t="shared" ref="U210:U217" si="110">IFERROR(SUMIF($B$113:$B$141,$R210,F$113:F$141)/(SUMIF($B$113:$B$141,$R210,F$113:F$141)+SUMIF($B$113:$B$141,$R210,K$113:K$141)),0)</f>
        <v>0.65100424566674098</v>
      </c>
      <c r="V210" s="386">
        <f t="shared" ref="V210:V217" si="111">1-U210</f>
        <v>0.34899575433325902</v>
      </c>
      <c r="W210" s="386">
        <f t="shared" ref="W210:W217" si="112">IFERROR(SUMIF($B$113:$B$141,$R210,G$113:G$141)/(SUMIF($B$113:$B$141,$R210,G$113:G$141)+SUMIF($B$113:$B$141,$R210,L$113:L$141)),0)</f>
        <v>0.39432617238338241</v>
      </c>
      <c r="X210" s="386">
        <f t="shared" ref="X210:X217" si="113">1-W210</f>
        <v>0.60567382761661759</v>
      </c>
      <c r="Y210" s="386">
        <f t="shared" ref="Y210:Y217" si="114">IFERROR(SUMIF($B$113:$B$141,$R210,H$113:H$141)/(SUMIF($B$113:$B$141,$R210,H$113:H$141)+SUMIF($B$113:$B$141,$R210,M$113:M$141)),0)</f>
        <v>0.40353177057737533</v>
      </c>
      <c r="Z210" s="386">
        <f t="shared" ref="Z210:Z217" si="115">1-Y210</f>
        <v>0.59646822942262467</v>
      </c>
    </row>
    <row r="211" spans="18:26">
      <c r="R211" s="401" t="s">
        <v>377</v>
      </c>
      <c r="S211" s="386">
        <f t="shared" si="108"/>
        <v>0</v>
      </c>
      <c r="T211" s="386">
        <f t="shared" si="109"/>
        <v>1</v>
      </c>
      <c r="U211" s="386">
        <f t="shared" si="110"/>
        <v>0.80385676770214443</v>
      </c>
      <c r="V211" s="386">
        <f t="shared" si="111"/>
        <v>0.19614323229785557</v>
      </c>
      <c r="W211" s="386">
        <f t="shared" si="112"/>
        <v>0.82783164838932355</v>
      </c>
      <c r="X211" s="386">
        <f t="shared" si="113"/>
        <v>0.17216835161067645</v>
      </c>
      <c r="Y211" s="386">
        <f t="shared" si="114"/>
        <v>0.76492060838224751</v>
      </c>
      <c r="Z211" s="386">
        <f t="shared" si="115"/>
        <v>0.23507939161775249</v>
      </c>
    </row>
    <row r="212" spans="18:26">
      <c r="R212" s="404" t="s">
        <v>370</v>
      </c>
      <c r="S212" s="386">
        <f t="shared" si="108"/>
        <v>1</v>
      </c>
      <c r="T212" s="386">
        <f t="shared" si="109"/>
        <v>0</v>
      </c>
      <c r="U212" s="386">
        <f t="shared" si="110"/>
        <v>0</v>
      </c>
      <c r="V212" s="386">
        <f t="shared" si="111"/>
        <v>1</v>
      </c>
      <c r="W212" s="386">
        <f t="shared" si="112"/>
        <v>0</v>
      </c>
      <c r="X212" s="386">
        <f t="shared" si="113"/>
        <v>1</v>
      </c>
      <c r="Y212" s="386">
        <f t="shared" si="114"/>
        <v>0</v>
      </c>
      <c r="Z212" s="386">
        <f t="shared" si="115"/>
        <v>1</v>
      </c>
    </row>
    <row r="213" spans="18:26">
      <c r="R213" s="407" t="s">
        <v>353</v>
      </c>
      <c r="S213" s="386">
        <f t="shared" si="108"/>
        <v>0.70956837011113805</v>
      </c>
      <c r="T213" s="386">
        <f t="shared" si="109"/>
        <v>0.29043162988886195</v>
      </c>
      <c r="U213" s="386">
        <f t="shared" si="110"/>
        <v>0.92820959285917448</v>
      </c>
      <c r="V213" s="386">
        <f t="shared" si="111"/>
        <v>7.1790407140825518E-2</v>
      </c>
      <c r="W213" s="386">
        <f t="shared" si="112"/>
        <v>0</v>
      </c>
      <c r="X213" s="386">
        <f t="shared" si="113"/>
        <v>1</v>
      </c>
      <c r="Y213" s="386">
        <f t="shared" si="114"/>
        <v>0</v>
      </c>
      <c r="Z213" s="386">
        <f t="shared" si="115"/>
        <v>1</v>
      </c>
    </row>
    <row r="214" spans="18:26">
      <c r="R214" s="403" t="s">
        <v>375</v>
      </c>
      <c r="S214" s="386">
        <f t="shared" si="108"/>
        <v>0</v>
      </c>
      <c r="T214" s="386">
        <f t="shared" si="109"/>
        <v>1</v>
      </c>
      <c r="U214" s="386">
        <f t="shared" si="110"/>
        <v>0</v>
      </c>
      <c r="V214" s="386">
        <f t="shared" si="111"/>
        <v>1</v>
      </c>
      <c r="W214" s="386">
        <f t="shared" si="112"/>
        <v>0.31871113068130286</v>
      </c>
      <c r="X214" s="386">
        <f t="shared" si="113"/>
        <v>0.68128886931869714</v>
      </c>
      <c r="Y214" s="386">
        <f t="shared" si="114"/>
        <v>0.29608518426463049</v>
      </c>
      <c r="Z214" s="386">
        <f t="shared" si="115"/>
        <v>0.70391481573536951</v>
      </c>
    </row>
    <row r="215" spans="18:26">
      <c r="R215" s="399" t="s">
        <v>388</v>
      </c>
      <c r="S215" s="386">
        <f t="shared" si="108"/>
        <v>9.0804841486354038E-2</v>
      </c>
      <c r="T215" s="386">
        <f t="shared" si="109"/>
        <v>0.90919515851364596</v>
      </c>
      <c r="U215" s="386">
        <f t="shared" si="110"/>
        <v>0.128622383478744</v>
      </c>
      <c r="V215" s="386">
        <f t="shared" si="111"/>
        <v>0.871377616521256</v>
      </c>
      <c r="W215" s="386">
        <f t="shared" si="112"/>
        <v>0.27513312098226583</v>
      </c>
      <c r="X215" s="386">
        <f t="shared" si="113"/>
        <v>0.72486687901773417</v>
      </c>
      <c r="Y215" s="386">
        <f t="shared" si="114"/>
        <v>0</v>
      </c>
      <c r="Z215" s="386">
        <f t="shared" si="115"/>
        <v>1</v>
      </c>
    </row>
    <row r="216" spans="18:26">
      <c r="R216" s="461" t="s">
        <v>369</v>
      </c>
      <c r="S216" s="386">
        <f t="shared" si="108"/>
        <v>0</v>
      </c>
      <c r="T216" s="386">
        <f t="shared" si="109"/>
        <v>1</v>
      </c>
      <c r="U216" s="386">
        <f t="shared" si="110"/>
        <v>1</v>
      </c>
      <c r="V216" s="386">
        <f t="shared" si="111"/>
        <v>0</v>
      </c>
      <c r="W216" s="386">
        <f t="shared" si="112"/>
        <v>0</v>
      </c>
      <c r="X216" s="386">
        <f t="shared" si="113"/>
        <v>1</v>
      </c>
      <c r="Y216" s="386">
        <f t="shared" si="114"/>
        <v>0</v>
      </c>
      <c r="Z216" s="386">
        <f t="shared" si="115"/>
        <v>1</v>
      </c>
    </row>
    <row r="217" spans="18:26">
      <c r="R217" s="404" t="s">
        <v>372</v>
      </c>
      <c r="S217" s="386">
        <f t="shared" si="108"/>
        <v>0</v>
      </c>
      <c r="T217" s="386">
        <f t="shared" si="109"/>
        <v>1</v>
      </c>
      <c r="U217" s="386">
        <f t="shared" si="110"/>
        <v>0</v>
      </c>
      <c r="V217" s="386">
        <f t="shared" si="111"/>
        <v>1</v>
      </c>
      <c r="W217" s="386">
        <f t="shared" si="112"/>
        <v>0.62624512326538739</v>
      </c>
      <c r="X217" s="386">
        <f t="shared" si="113"/>
        <v>0.37375487673461261</v>
      </c>
      <c r="Y217" s="386">
        <f t="shared" si="114"/>
        <v>0</v>
      </c>
      <c r="Z217" s="386">
        <f t="shared" si="115"/>
        <v>1</v>
      </c>
    </row>
  </sheetData>
  <mergeCells count="3">
    <mergeCell ref="T110:AE110"/>
    <mergeCell ref="AO178:AV178"/>
    <mergeCell ref="AW178:BD178"/>
  </mergeCells>
  <conditionalFormatting sqref="D147:O175">
    <cfRule type="cellIs" dxfId="1" priority="4" operator="greaterThan">
      <formula>0</formula>
    </cfRule>
  </conditionalFormatting>
  <conditionalFormatting sqref="D179:O208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3"/>
  <sheetViews>
    <sheetView workbookViewId="0">
      <selection activeCell="I28" sqref="I28"/>
    </sheetView>
  </sheetViews>
  <sheetFormatPr defaultColWidth="9.1796875" defaultRowHeight="14.5"/>
  <cols>
    <col min="1" max="1" width="9.1796875" style="37"/>
    <col min="2" max="2" width="10.26953125" style="37" bestFit="1" customWidth="1"/>
    <col min="3" max="16384" width="9.1796875" style="37"/>
  </cols>
  <sheetData>
    <row r="1" spans="1:3">
      <c r="A1" s="36" t="s">
        <v>228</v>
      </c>
    </row>
    <row r="2" spans="1:3">
      <c r="A2" s="37" t="s">
        <v>229</v>
      </c>
      <c r="B2" s="37">
        <v>4.1868000000000002E-2</v>
      </c>
      <c r="C2" s="37" t="s">
        <v>166</v>
      </c>
    </row>
    <row r="3" spans="1:3">
      <c r="A3" s="37" t="s">
        <v>427</v>
      </c>
      <c r="B3" s="37">
        <f>3.6/10^6</f>
        <v>3.6000000000000003E-6</v>
      </c>
      <c r="C3" s="37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5" zoomScaleNormal="65" zoomScaleSheetLayoutView="13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AA11" sqref="AA11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4" t="s">
        <v>259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  <c r="AS1" s="8"/>
    </row>
    <row r="2" spans="1:45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815.92434898628403</v>
      </c>
      <c r="I2" s="91">
        <v>688.22034898628408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2751.9191872187112</v>
      </c>
      <c r="AB2" s="96">
        <f>SUM(AC2:AM2)</f>
        <v>1334.658297317769</v>
      </c>
      <c r="AC2" s="97">
        <v>59.691708987970003</v>
      </c>
      <c r="AD2" s="93">
        <v>743.01992281532614</v>
      </c>
      <c r="AE2" s="93">
        <v>248.90859762015592</v>
      </c>
      <c r="AF2" s="93">
        <v>139.99992739520798</v>
      </c>
      <c r="AG2" s="93">
        <v>33.531818868055431</v>
      </c>
      <c r="AH2" s="93">
        <v>16.813132576534866</v>
      </c>
      <c r="AI2" s="93">
        <v>31.064467987392003</v>
      </c>
      <c r="AJ2" s="93">
        <v>2.6691993220799999</v>
      </c>
      <c r="AK2" s="91">
        <v>1.8899880806415161</v>
      </c>
      <c r="AL2" s="91">
        <v>13.54608560366562</v>
      </c>
      <c r="AM2" s="89">
        <v>43.523448060739646</v>
      </c>
      <c r="AN2" s="98">
        <v>145.43710297949829</v>
      </c>
      <c r="AO2" s="98"/>
      <c r="AP2" s="96"/>
      <c r="AQ2" s="99">
        <f>C2+H2+L2+AA2+AB2+AN2+AO2+AP2</f>
        <v>5047.9389365022625</v>
      </c>
    </row>
    <row r="3" spans="1:45" ht="12.75" customHeight="1">
      <c r="A3" s="100" t="s">
        <v>94</v>
      </c>
      <c r="B3" s="101"/>
      <c r="C3" s="102">
        <f>SUM(D3:G3)</f>
        <v>903.49466255082825</v>
      </c>
      <c r="D3" s="103">
        <v>829.57460107090037</v>
      </c>
      <c r="E3" s="104">
        <v>61.722867734674637</v>
      </c>
      <c r="F3" s="105"/>
      <c r="G3" s="105">
        <v>12.197193745253209</v>
      </c>
      <c r="H3" s="106">
        <f>SUM(I3:K3)</f>
        <v>0</v>
      </c>
      <c r="I3" s="107"/>
      <c r="J3" s="108"/>
      <c r="K3" s="109"/>
      <c r="L3" s="106">
        <f>SUM(M3:Z3)</f>
        <v>9138.5577999094057</v>
      </c>
      <c r="M3" s="107">
        <v>3053.4742963851995</v>
      </c>
      <c r="N3" s="107">
        <v>16.633377499200002</v>
      </c>
      <c r="O3" s="109">
        <v>0</v>
      </c>
      <c r="P3" s="109">
        <v>564.2364083333332</v>
      </c>
      <c r="Q3" s="109">
        <v>369.14638715136005</v>
      </c>
      <c r="R3" s="109">
        <v>1542.2444022448799</v>
      </c>
      <c r="S3" s="109">
        <v>82.827948630790956</v>
      </c>
      <c r="T3" s="109">
        <v>157.5463640726893</v>
      </c>
      <c r="U3" s="109">
        <v>2932.6955801163149</v>
      </c>
      <c r="V3" s="109">
        <v>166.37647928144222</v>
      </c>
      <c r="W3" s="105">
        <v>7.5616539426795564</v>
      </c>
      <c r="X3" s="105">
        <v>200.83222211696253</v>
      </c>
      <c r="Y3" s="105">
        <v>1.2281470084248403</v>
      </c>
      <c r="Z3" s="109">
        <v>43.754533126130625</v>
      </c>
      <c r="AA3" s="106">
        <v>1728.338063506957</v>
      </c>
      <c r="AB3" s="110">
        <f>SUM(AC3:AM3)</f>
        <v>151.93355907200862</v>
      </c>
      <c r="AC3" s="111"/>
      <c r="AD3" s="109"/>
      <c r="AE3" s="109">
        <v>24.282116302936618</v>
      </c>
      <c r="AF3" s="109"/>
      <c r="AG3" s="109"/>
      <c r="AH3" s="109"/>
      <c r="AI3" s="109">
        <v>104.81441230492801</v>
      </c>
      <c r="AJ3" s="109">
        <v>22.837030464144</v>
      </c>
      <c r="AK3" s="107"/>
      <c r="AL3" s="107"/>
      <c r="AM3" s="105"/>
      <c r="AN3" s="112"/>
      <c r="AO3" s="112">
        <v>139.45061680000001</v>
      </c>
      <c r="AP3" s="110"/>
      <c r="AQ3" s="113">
        <f t="shared" ref="AQ3:AQ20" si="0">C3+H3+L3+AA3+AB3+AN3+AO3+AP3</f>
        <v>12061.7747018392</v>
      </c>
    </row>
    <row r="4" spans="1:45" ht="12.75" customHeight="1">
      <c r="A4" s="100" t="s">
        <v>95</v>
      </c>
      <c r="B4" s="101"/>
      <c r="C4" s="102">
        <f>SUM(D4:G4)</f>
        <v>15.186580890896002</v>
      </c>
      <c r="D4" s="103">
        <v>0</v>
      </c>
      <c r="E4" s="114">
        <v>14.097722162000002</v>
      </c>
      <c r="F4" s="105"/>
      <c r="G4" s="105">
        <v>1.0888587288959999</v>
      </c>
      <c r="H4" s="106">
        <f>SUM(I4:K4)</f>
        <v>7.0330680000000001</v>
      </c>
      <c r="I4" s="107"/>
      <c r="J4" s="108"/>
      <c r="K4" s="109">
        <v>7.0330680000000001</v>
      </c>
      <c r="L4" s="106">
        <f>SUM(M4:Z4)</f>
        <v>1717.0624747879344</v>
      </c>
      <c r="M4" s="107">
        <v>0</v>
      </c>
      <c r="N4" s="107">
        <v>0</v>
      </c>
      <c r="O4" s="109"/>
      <c r="P4" s="109">
        <v>364.52221864444448</v>
      </c>
      <c r="Q4" s="109">
        <v>21.672508399360005</v>
      </c>
      <c r="R4" s="109">
        <v>156.29379915984001</v>
      </c>
      <c r="S4" s="109">
        <v>986.60611760112999</v>
      </c>
      <c r="T4" s="109">
        <v>35.289733288720633</v>
      </c>
      <c r="U4" s="109">
        <v>102.14625414775992</v>
      </c>
      <c r="V4" s="109">
        <v>2.9088437938490893E-3</v>
      </c>
      <c r="W4" s="105">
        <v>36.297317128453038</v>
      </c>
      <c r="X4" s="105">
        <v>5.4694689952000006</v>
      </c>
      <c r="Y4" s="105">
        <v>1.8500297569930473E-2</v>
      </c>
      <c r="Z4" s="109">
        <v>8.7436482816626366</v>
      </c>
      <c r="AA4" s="106">
        <v>0</v>
      </c>
      <c r="AB4" s="110">
        <f>SUM(AC4:AM4)</f>
        <v>9.4476585178560004</v>
      </c>
      <c r="AC4" s="111"/>
      <c r="AD4" s="109"/>
      <c r="AE4" s="109">
        <v>0.41264639999999991</v>
      </c>
      <c r="AF4" s="109"/>
      <c r="AG4" s="109"/>
      <c r="AH4" s="109"/>
      <c r="AI4" s="109">
        <v>9.0350121178560006</v>
      </c>
      <c r="AJ4" s="109">
        <v>0</v>
      </c>
      <c r="AK4" s="107"/>
      <c r="AL4" s="107"/>
      <c r="AM4" s="105"/>
      <c r="AN4" s="112"/>
      <c r="AO4" s="112">
        <v>141.83539077999998</v>
      </c>
      <c r="AP4" s="110"/>
      <c r="AQ4" s="113">
        <f t="shared" si="0"/>
        <v>1890.5651729766864</v>
      </c>
    </row>
    <row r="5" spans="1:45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172.71258946798309</v>
      </c>
      <c r="M5" s="107"/>
      <c r="N5" s="107"/>
      <c r="O5" s="109"/>
      <c r="P5" s="109"/>
      <c r="Q5" s="109"/>
      <c r="R5" s="109"/>
      <c r="S5" s="109">
        <v>15.730078096892656</v>
      </c>
      <c r="T5" s="109"/>
      <c r="U5" s="109">
        <v>156.98251137109042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172.71258946798309</v>
      </c>
    </row>
    <row r="6" spans="1:45" ht="12.75" customHeight="1" thickBot="1">
      <c r="A6" s="115" t="s">
        <v>97</v>
      </c>
      <c r="B6" s="116"/>
      <c r="C6" s="102">
        <f>SUM(D6:G6)</f>
        <v>-101.25634942971131</v>
      </c>
      <c r="D6" s="117">
        <v>-101.869888772661</v>
      </c>
      <c r="E6" s="105">
        <v>-0.8079766727235479</v>
      </c>
      <c r="F6" s="118"/>
      <c r="G6" s="118">
        <v>1.4215160156732278</v>
      </c>
      <c r="H6" s="119">
        <f>SUM(I6:K6)</f>
        <v>-122.93905189963694</v>
      </c>
      <c r="I6" s="120">
        <v>-136.53826589963694</v>
      </c>
      <c r="J6" s="121">
        <v>0</v>
      </c>
      <c r="K6" s="120">
        <v>13.599214000000003</v>
      </c>
      <c r="L6" s="119">
        <f>SUM(M6:Z6)</f>
        <v>151.33981188504902</v>
      </c>
      <c r="M6" s="107">
        <v>38.730964773999993</v>
      </c>
      <c r="N6" s="107">
        <v>-8.8751519999999999</v>
      </c>
      <c r="O6" s="109"/>
      <c r="P6" s="109">
        <v>-9.6980083333333713</v>
      </c>
      <c r="Q6" s="109">
        <v>12.883201938880001</v>
      </c>
      <c r="R6" s="109">
        <v>82.12024884504001</v>
      </c>
      <c r="S6" s="109">
        <v>23.637599999999999</v>
      </c>
      <c r="T6" s="109">
        <v>1.4659197380156652</v>
      </c>
      <c r="U6" s="109">
        <v>8.3874136006762399</v>
      </c>
      <c r="V6" s="109">
        <v>3.2040911090633046</v>
      </c>
      <c r="W6" s="118">
        <v>-0.51646778729281662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4.4601014379600006</v>
      </c>
      <c r="AC6" s="123"/>
      <c r="AD6" s="124"/>
      <c r="AE6" s="124">
        <v>0.26707427819999968</v>
      </c>
      <c r="AF6" s="124"/>
      <c r="AG6" s="124"/>
      <c r="AH6" s="124"/>
      <c r="AI6" s="124">
        <v>1.7828522013120007</v>
      </c>
      <c r="AJ6" s="124">
        <v>2.4101749584479997</v>
      </c>
      <c r="AK6" s="120"/>
      <c r="AL6" s="120"/>
      <c r="AM6" s="118"/>
      <c r="AN6" s="125"/>
      <c r="AO6" s="125"/>
      <c r="AP6" s="122"/>
      <c r="AQ6" s="126">
        <f t="shared" si="0"/>
        <v>-68.395488006339221</v>
      </c>
    </row>
    <row r="7" spans="1:45" s="11" customFormat="1" ht="12.75" customHeight="1">
      <c r="A7" s="127" t="s">
        <v>98</v>
      </c>
      <c r="B7" s="128"/>
      <c r="C7" s="129">
        <f t="shared" ref="C7:AP7" si="1">C2+C3-C4-C5+C6</f>
        <v>787.05173223022086</v>
      </c>
      <c r="D7" s="130">
        <f t="shared" si="1"/>
        <v>727.70471229823943</v>
      </c>
      <c r="E7" s="131">
        <f t="shared" si="1"/>
        <v>46.817168899951085</v>
      </c>
      <c r="F7" s="131">
        <f t="shared" si="1"/>
        <v>0</v>
      </c>
      <c r="G7" s="131">
        <f t="shared" si="1"/>
        <v>12.529851032030438</v>
      </c>
      <c r="H7" s="132">
        <f t="shared" si="1"/>
        <v>685.95222908664709</v>
      </c>
      <c r="I7" s="130">
        <f t="shared" si="1"/>
        <v>551.68208308664714</v>
      </c>
      <c r="J7" s="133">
        <f t="shared" si="1"/>
        <v>127.70399999999999</v>
      </c>
      <c r="K7" s="131">
        <f t="shared" si="1"/>
        <v>6.5661460000000034</v>
      </c>
      <c r="L7" s="132">
        <f t="shared" si="1"/>
        <v>7400.1225475385372</v>
      </c>
      <c r="M7" s="130">
        <f t="shared" si="1"/>
        <v>3092.2052611591994</v>
      </c>
      <c r="N7" s="130">
        <f t="shared" si="1"/>
        <v>7.7582254992000017</v>
      </c>
      <c r="O7" s="131">
        <f t="shared" si="1"/>
        <v>0</v>
      </c>
      <c r="P7" s="131">
        <f t="shared" si="1"/>
        <v>190.01618135555535</v>
      </c>
      <c r="Q7" s="131">
        <f t="shared" si="1"/>
        <v>360.35708069088003</v>
      </c>
      <c r="R7" s="131">
        <f t="shared" si="1"/>
        <v>1468.0708519300797</v>
      </c>
      <c r="S7" s="131">
        <f t="shared" si="1"/>
        <v>-895.87064706723163</v>
      </c>
      <c r="T7" s="131">
        <f t="shared" si="1"/>
        <v>123.72255052198433</v>
      </c>
      <c r="U7" s="131">
        <f t="shared" si="1"/>
        <v>2681.9542281981408</v>
      </c>
      <c r="V7" s="131">
        <f t="shared" si="1"/>
        <v>169.57766154671168</v>
      </c>
      <c r="W7" s="131">
        <f t="shared" si="1"/>
        <v>-29.252130973066301</v>
      </c>
      <c r="X7" s="131">
        <f t="shared" si="1"/>
        <v>195.36275312176252</v>
      </c>
      <c r="Y7" s="131">
        <f t="shared" si="1"/>
        <v>1.2096467108549098</v>
      </c>
      <c r="Z7" s="131">
        <f t="shared" si="1"/>
        <v>35.010884844467988</v>
      </c>
      <c r="AA7" s="132">
        <f t="shared" si="1"/>
        <v>4480.2572507256682</v>
      </c>
      <c r="AB7" s="132">
        <f t="shared" si="1"/>
        <v>1481.6042993098815</v>
      </c>
      <c r="AC7" s="130">
        <f t="shared" si="1"/>
        <v>59.691708987970003</v>
      </c>
      <c r="AD7" s="131">
        <f t="shared" si="1"/>
        <v>743.01992281532614</v>
      </c>
      <c r="AE7" s="131">
        <f t="shared" si="1"/>
        <v>273.04514180129252</v>
      </c>
      <c r="AF7" s="131">
        <f t="shared" si="1"/>
        <v>139.99992739520798</v>
      </c>
      <c r="AG7" s="131">
        <f t="shared" si="1"/>
        <v>33.531818868055431</v>
      </c>
      <c r="AH7" s="131">
        <f t="shared" si="1"/>
        <v>16.813132576534866</v>
      </c>
      <c r="AI7" s="131">
        <f t="shared" si="1"/>
        <v>128.62672037577602</v>
      </c>
      <c r="AJ7" s="131">
        <f t="shared" si="1"/>
        <v>27.916404744672001</v>
      </c>
      <c r="AK7" s="134">
        <f t="shared" si="1"/>
        <v>1.8899880806415161</v>
      </c>
      <c r="AL7" s="134">
        <f t="shared" si="1"/>
        <v>13.54608560366562</v>
      </c>
      <c r="AM7" s="130">
        <f t="shared" si="1"/>
        <v>43.523448060739646</v>
      </c>
      <c r="AN7" s="132">
        <f t="shared" si="1"/>
        <v>145.43710297949829</v>
      </c>
      <c r="AO7" s="132">
        <f t="shared" si="1"/>
        <v>-2.3847739799999772</v>
      </c>
      <c r="AP7" s="135">
        <f t="shared" si="1"/>
        <v>0</v>
      </c>
      <c r="AQ7" s="136">
        <f t="shared" si="0"/>
        <v>14978.040387890453</v>
      </c>
      <c r="AR7" s="7"/>
      <c r="AS7" s="10"/>
    </row>
    <row r="8" spans="1:45" s="11" customFormat="1" ht="12.75" customHeight="1" thickBot="1">
      <c r="A8" s="137" t="s">
        <v>99</v>
      </c>
      <c r="B8" s="138"/>
      <c r="C8" s="139">
        <f t="shared" ref="C8:AP8" si="2">C7-C27</f>
        <v>787.05173223022086</v>
      </c>
      <c r="D8" s="140">
        <f t="shared" si="2"/>
        <v>727.70471229823943</v>
      </c>
      <c r="E8" s="141">
        <f t="shared" si="2"/>
        <v>46.817168899951085</v>
      </c>
      <c r="F8" s="142">
        <f t="shared" si="2"/>
        <v>0</v>
      </c>
      <c r="G8" s="142">
        <f t="shared" si="2"/>
        <v>12.529851032030438</v>
      </c>
      <c r="H8" s="143">
        <f t="shared" si="2"/>
        <v>685.95222908664709</v>
      </c>
      <c r="I8" s="140">
        <f t="shared" si="2"/>
        <v>551.68208308664714</v>
      </c>
      <c r="J8" s="144">
        <f t="shared" si="2"/>
        <v>127.70399999999999</v>
      </c>
      <c r="K8" s="141">
        <f t="shared" si="2"/>
        <v>6.5661460000000034</v>
      </c>
      <c r="L8" s="143">
        <f t="shared" si="2"/>
        <v>7168.5392628614518</v>
      </c>
      <c r="M8" s="140">
        <f t="shared" si="2"/>
        <v>3092.2052611591994</v>
      </c>
      <c r="N8" s="140">
        <f t="shared" si="2"/>
        <v>7.7582254992000017</v>
      </c>
      <c r="O8" s="141">
        <f t="shared" si="2"/>
        <v>0</v>
      </c>
      <c r="P8" s="141">
        <f t="shared" si="2"/>
        <v>190.01618135555535</v>
      </c>
      <c r="Q8" s="141">
        <f t="shared" si="2"/>
        <v>360.35708069088003</v>
      </c>
      <c r="R8" s="141">
        <f t="shared" si="2"/>
        <v>1468.0708519300797</v>
      </c>
      <c r="S8" s="141">
        <f t="shared" si="2"/>
        <v>-895.87064706723163</v>
      </c>
      <c r="T8" s="141">
        <f t="shared" si="2"/>
        <v>123.72255052198433</v>
      </c>
      <c r="U8" s="141">
        <f t="shared" si="2"/>
        <v>2681.9542281981408</v>
      </c>
      <c r="V8" s="141">
        <f t="shared" si="2"/>
        <v>169.57766154671168</v>
      </c>
      <c r="W8" s="142">
        <f t="shared" si="2"/>
        <v>-29.252130973066301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4480.2572507256682</v>
      </c>
      <c r="AB8" s="145">
        <f t="shared" si="2"/>
        <v>1481.6042993098815</v>
      </c>
      <c r="AC8" s="140">
        <f t="shared" si="2"/>
        <v>59.691708987970003</v>
      </c>
      <c r="AD8" s="141">
        <f t="shared" si="2"/>
        <v>743.01992281532614</v>
      </c>
      <c r="AE8" s="141">
        <f t="shared" si="2"/>
        <v>273.04514180129252</v>
      </c>
      <c r="AF8" s="141">
        <f t="shared" si="2"/>
        <v>139.99992739520798</v>
      </c>
      <c r="AG8" s="141">
        <f t="shared" si="2"/>
        <v>33.531818868055431</v>
      </c>
      <c r="AH8" s="141">
        <f t="shared" si="2"/>
        <v>16.813132576534866</v>
      </c>
      <c r="AI8" s="141">
        <f t="shared" si="2"/>
        <v>128.62672037577602</v>
      </c>
      <c r="AJ8" s="141">
        <f t="shared" si="2"/>
        <v>27.916404744672001</v>
      </c>
      <c r="AK8" s="146">
        <f t="shared" si="2"/>
        <v>1.8899880806415161</v>
      </c>
      <c r="AL8" s="146">
        <f t="shared" si="2"/>
        <v>13.54608560366562</v>
      </c>
      <c r="AM8" s="140">
        <f t="shared" si="2"/>
        <v>43.523448060739646</v>
      </c>
      <c r="AN8" s="143">
        <f t="shared" si="2"/>
        <v>145.43710297949829</v>
      </c>
      <c r="AO8" s="143">
        <f t="shared" si="2"/>
        <v>-2.3847739799999772</v>
      </c>
      <c r="AP8" s="140">
        <f t="shared" si="2"/>
        <v>0</v>
      </c>
      <c r="AQ8" s="147">
        <f t="shared" si="0"/>
        <v>14746.457103213368</v>
      </c>
      <c r="AR8" s="7"/>
      <c r="AS8" s="10"/>
    </row>
    <row r="9" spans="1:45" s="11" customFormat="1" ht="12.75" customHeight="1">
      <c r="A9" s="127" t="s">
        <v>100</v>
      </c>
      <c r="B9" s="128"/>
      <c r="C9" s="129">
        <f t="shared" ref="C9:AP9" si="3">SUM(C10:C14)</f>
        <v>489.13419536754503</v>
      </c>
      <c r="D9" s="134">
        <f t="shared" si="3"/>
        <v>489.13419536754503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541.02658367795425</v>
      </c>
      <c r="I9" s="134">
        <f t="shared" si="3"/>
        <v>541.02658367795425</v>
      </c>
      <c r="J9" s="133">
        <f t="shared" si="3"/>
        <v>0</v>
      </c>
      <c r="K9" s="131">
        <f t="shared" si="3"/>
        <v>0</v>
      </c>
      <c r="L9" s="132">
        <f t="shared" si="3"/>
        <v>3165.7216476484605</v>
      </c>
      <c r="M9" s="131">
        <f t="shared" si="3"/>
        <v>3092.2052611591994</v>
      </c>
      <c r="N9" s="131">
        <f t="shared" ref="N9" si="4">SUM(N10:N14)</f>
        <v>38.786602361842682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25.868327226603597</v>
      </c>
      <c r="T9" s="131">
        <f t="shared" si="3"/>
        <v>0.63499472294399995</v>
      </c>
      <c r="U9" s="131">
        <f t="shared" si="3"/>
        <v>8.2264621778709284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2501.2994242635782</v>
      </c>
      <c r="AB9" s="130">
        <f t="shared" si="3"/>
        <v>215.90352917717644</v>
      </c>
      <c r="AC9" s="149">
        <f t="shared" si="3"/>
        <v>0</v>
      </c>
      <c r="AD9" s="131">
        <f t="shared" si="3"/>
        <v>0</v>
      </c>
      <c r="AE9" s="131">
        <f t="shared" si="3"/>
        <v>76.028615684916531</v>
      </c>
      <c r="AF9" s="131">
        <f t="shared" ref="AF9" si="5">SUM(AF10:AF14)</f>
        <v>99.30702317107577</v>
      </c>
      <c r="AG9" s="131">
        <f t="shared" si="3"/>
        <v>33.531818868055431</v>
      </c>
      <c r="AH9" s="131">
        <f t="shared" si="3"/>
        <v>7.0360714531287174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90.714163374524205</v>
      </c>
      <c r="AO9" s="132">
        <f t="shared" si="3"/>
        <v>54.38453208</v>
      </c>
      <c r="AP9" s="130">
        <f t="shared" si="3"/>
        <v>0</v>
      </c>
      <c r="AQ9" s="150">
        <f t="shared" si="0"/>
        <v>7058.184075589239</v>
      </c>
      <c r="AR9" s="7"/>
      <c r="AS9" s="10"/>
    </row>
    <row r="10" spans="1:45" ht="12.75" customHeight="1">
      <c r="A10" s="151" t="s">
        <v>322</v>
      </c>
      <c r="B10" s="152"/>
      <c r="C10" s="153">
        <f>SUM(D10:G10)</f>
        <v>489.13419536754503</v>
      </c>
      <c r="D10" s="154">
        <v>489.13419536754503</v>
      </c>
      <c r="E10" s="155"/>
      <c r="F10" s="156"/>
      <c r="G10" s="156"/>
      <c r="H10" s="157">
        <f>SUM(I10:K10)</f>
        <v>467.10845991760607</v>
      </c>
      <c r="I10" s="154">
        <v>467.10845991760607</v>
      </c>
      <c r="J10" s="158">
        <v>0</v>
      </c>
      <c r="K10" s="155"/>
      <c r="L10" s="157">
        <f>SUM(M10:Z10)</f>
        <v>34.094789404474525</v>
      </c>
      <c r="M10" s="155"/>
      <c r="N10" s="155"/>
      <c r="O10" s="155"/>
      <c r="P10" s="155"/>
      <c r="Q10" s="155"/>
      <c r="R10" s="155"/>
      <c r="S10" s="155">
        <v>25.868327226603597</v>
      </c>
      <c r="T10" s="155"/>
      <c r="U10" s="155">
        <v>8.2264621778709284</v>
      </c>
      <c r="V10" s="155"/>
      <c r="W10" s="156"/>
      <c r="X10" s="156"/>
      <c r="Y10" s="156"/>
      <c r="Z10" s="155"/>
      <c r="AA10" s="157">
        <v>2187.6033883210698</v>
      </c>
      <c r="AB10" s="159">
        <f>SUM(AC10:AM10)</f>
        <v>205.30590173319058</v>
      </c>
      <c r="AC10" s="160"/>
      <c r="AD10" s="155"/>
      <c r="AE10" s="155">
        <v>72.467059694059387</v>
      </c>
      <c r="AF10" s="155">
        <v>99.30702317107577</v>
      </c>
      <c r="AG10" s="155">
        <v>33.531818868055431</v>
      </c>
      <c r="AH10" s="155"/>
      <c r="AI10" s="155"/>
      <c r="AJ10" s="155"/>
      <c r="AK10" s="154"/>
      <c r="AL10" s="154"/>
      <c r="AM10" s="156"/>
      <c r="AN10" s="161">
        <v>90.714163374524205</v>
      </c>
      <c r="AO10" s="157"/>
      <c r="AP10" s="159"/>
      <c r="AQ10" s="162">
        <f t="shared" si="0"/>
        <v>3473.9608981184101</v>
      </c>
    </row>
    <row r="11" spans="1:45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5.8425469182429177</v>
      </c>
      <c r="I11" s="107">
        <v>5.8425469182429177</v>
      </c>
      <c r="J11" s="108"/>
      <c r="K11" s="109"/>
      <c r="L11" s="106">
        <f>SUM(M11:Z11)</f>
        <v>0.63499472294399995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0.63499472294399995</v>
      </c>
      <c r="U11" s="109">
        <v>0</v>
      </c>
      <c r="V11" s="109"/>
      <c r="W11" s="105"/>
      <c r="X11" s="105"/>
      <c r="Y11" s="105"/>
      <c r="Z11" s="109"/>
      <c r="AA11" s="106">
        <v>272.96145103491432</v>
      </c>
      <c r="AB11" s="110">
        <f>SUM(AC11:AM11)</f>
        <v>10.597627443985861</v>
      </c>
      <c r="AC11" s="111"/>
      <c r="AD11" s="109"/>
      <c r="AE11" s="109">
        <v>3.5615559908571428</v>
      </c>
      <c r="AF11" s="109"/>
      <c r="AG11" s="109"/>
      <c r="AH11" s="109">
        <v>7.0360714531287174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290.03662012008709</v>
      </c>
    </row>
    <row r="12" spans="1:45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42.942060079999997</v>
      </c>
      <c r="AP12" s="110"/>
      <c r="AQ12" s="113">
        <f t="shared" si="0"/>
        <v>42.942060079999997</v>
      </c>
    </row>
    <row r="13" spans="1:45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68.075576842105264</v>
      </c>
      <c r="I13" s="107">
        <v>68.075576842105264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68.075576842105264</v>
      </c>
    </row>
    <row r="14" spans="1:45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3130.991863521042</v>
      </c>
      <c r="M14" s="168">
        <v>3092.2052611591994</v>
      </c>
      <c r="N14" s="168">
        <v>38.786602361842682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40.734584907594211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11.442471999999999</v>
      </c>
      <c r="AP14" s="172"/>
      <c r="AQ14" s="175">
        <f t="shared" si="0"/>
        <v>3183.1689204286363</v>
      </c>
    </row>
    <row r="15" spans="1:45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64.671797999999995</v>
      </c>
      <c r="I15" s="179">
        <f t="shared" si="8"/>
        <v>0</v>
      </c>
      <c r="J15" s="183">
        <f t="shared" si="8"/>
        <v>0</v>
      </c>
      <c r="K15" s="180">
        <f t="shared" si="8"/>
        <v>64.671797999999995</v>
      </c>
      <c r="L15" s="182">
        <f t="shared" si="8"/>
        <v>3166.7858692089685</v>
      </c>
      <c r="M15" s="180">
        <f t="shared" si="8"/>
        <v>0</v>
      </c>
      <c r="N15" s="180">
        <f t="shared" si="8"/>
        <v>0</v>
      </c>
      <c r="O15" s="180">
        <f t="shared" si="8"/>
        <v>90.017983923640699</v>
      </c>
      <c r="P15" s="180">
        <f t="shared" si="8"/>
        <v>640.53679657777786</v>
      </c>
      <c r="Q15" s="180">
        <f t="shared" si="8"/>
        <v>226.77459106847999</v>
      </c>
      <c r="R15" s="180">
        <f t="shared" si="8"/>
        <v>0</v>
      </c>
      <c r="S15" s="180">
        <f t="shared" si="8"/>
        <v>960.95017928079096</v>
      </c>
      <c r="T15" s="180">
        <f t="shared" si="8"/>
        <v>64.797462901984332</v>
      </c>
      <c r="U15" s="180">
        <f t="shared" si="8"/>
        <v>1146.9502117491124</v>
      </c>
      <c r="V15" s="180">
        <f t="shared" si="8"/>
        <v>0</v>
      </c>
      <c r="W15" s="181">
        <f t="shared" si="8"/>
        <v>36.758643707182323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1873.361490524092</v>
      </c>
      <c r="AP15" s="184">
        <f t="shared" si="8"/>
        <v>0</v>
      </c>
      <c r="AQ15" s="187">
        <f t="shared" si="0"/>
        <v>5104.8191577330599</v>
      </c>
      <c r="AR15" s="7"/>
      <c r="AS15" s="10"/>
    </row>
    <row r="16" spans="1:45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1667.7865923774164</v>
      </c>
      <c r="AP16" s="159"/>
      <c r="AQ16" s="188">
        <f>C16+H16+L16+AA16+AO16+AP16</f>
        <v>1667.7865923774164</v>
      </c>
    </row>
    <row r="17" spans="1:45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185.14395873624346</v>
      </c>
      <c r="AP17" s="110"/>
      <c r="AQ17" s="113">
        <f>C17+H17+L17+AA17+AO17+AP17</f>
        <v>185.14395873624346</v>
      </c>
    </row>
    <row r="18" spans="1:45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20.430939410432</v>
      </c>
      <c r="AP18" s="110"/>
      <c r="AQ18" s="113">
        <f t="shared" si="0"/>
        <v>20.430939410432</v>
      </c>
    </row>
    <row r="19" spans="1:45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64.671797999999995</v>
      </c>
      <c r="I19" s="107"/>
      <c r="J19" s="109"/>
      <c r="K19" s="109">
        <v>64.671797999999995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64.671797999999995</v>
      </c>
    </row>
    <row r="20" spans="1:45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3166.7858692089685</v>
      </c>
      <c r="M20" s="168"/>
      <c r="N20" s="168"/>
      <c r="O20" s="168">
        <v>90.017983923640699</v>
      </c>
      <c r="P20" s="168">
        <v>640.53679657777786</v>
      </c>
      <c r="Q20" s="168">
        <v>226.77459106847999</v>
      </c>
      <c r="R20" s="168">
        <v>0</v>
      </c>
      <c r="S20" s="168">
        <v>960.95017928079096</v>
      </c>
      <c r="T20" s="168">
        <v>64.797462901984332</v>
      </c>
      <c r="U20" s="168">
        <v>1146.9502117491124</v>
      </c>
      <c r="V20" s="168"/>
      <c r="W20" s="169">
        <v>36.758643707182323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3166.7858692089685</v>
      </c>
    </row>
    <row r="21" spans="1:45" ht="12.75" customHeight="1">
      <c r="A21" s="190" t="s">
        <v>102</v>
      </c>
      <c r="B21" s="191"/>
      <c r="C21" s="192">
        <f>SUM(C22:C24)</f>
        <v>22.240061570656763</v>
      </c>
      <c r="D21" s="193">
        <f>SUM(D22:D24)</f>
        <v>-17.141361188350004</v>
      </c>
      <c r="E21" s="194">
        <f>SUM(E22:E24)</f>
        <v>39.381422759006767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-24.684016341344112</v>
      </c>
      <c r="M21" s="194">
        <f t="shared" ref="M21:AQ21" si="9">SUM(M22:M24)</f>
        <v>0</v>
      </c>
      <c r="N21" s="194">
        <f t="shared" si="9"/>
        <v>30.880435114089789</v>
      </c>
      <c r="O21" s="194">
        <f t="shared" si="9"/>
        <v>0</v>
      </c>
      <c r="P21" s="194">
        <f t="shared" si="9"/>
        <v>-31.331710700000009</v>
      </c>
      <c r="Q21" s="194">
        <f t="shared" si="9"/>
        <v>361.91080481920005</v>
      </c>
      <c r="R21" s="194">
        <f t="shared" si="9"/>
        <v>-361.12225342559998</v>
      </c>
      <c r="S21" s="194">
        <f t="shared" si="9"/>
        <v>-0.17168420677966101</v>
      </c>
      <c r="T21" s="194">
        <f t="shared" si="9"/>
        <v>0</v>
      </c>
      <c r="U21" s="194">
        <f t="shared" si="9"/>
        <v>-2.6095463715975598</v>
      </c>
      <c r="V21" s="194">
        <f t="shared" si="9"/>
        <v>-22.240061570656767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-804.60161988393759</v>
      </c>
      <c r="AC21" s="198">
        <f t="shared" si="9"/>
        <v>-59.691708987970003</v>
      </c>
      <c r="AD21" s="194">
        <f t="shared" si="9"/>
        <v>-743.01992281532614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-1.8899880806415161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804.60161988393759</v>
      </c>
      <c r="AP21" s="197">
        <f t="shared" si="9"/>
        <v>0</v>
      </c>
      <c r="AQ21" s="201">
        <f t="shared" si="9"/>
        <v>-2.4439547706873483</v>
      </c>
    </row>
    <row r="22" spans="1:45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-804.60161988393759</v>
      </c>
      <c r="AC22" s="160">
        <f>-AC2</f>
        <v>-59.691708987970003</v>
      </c>
      <c r="AD22" s="155">
        <f>-AD2</f>
        <v>-743.01992281532614</v>
      </c>
      <c r="AE22" s="155"/>
      <c r="AF22" s="155"/>
      <c r="AG22" s="163"/>
      <c r="AH22" s="163"/>
      <c r="AI22" s="163"/>
      <c r="AJ22" s="163"/>
      <c r="AK22" s="154">
        <v>-1.8899880806415161</v>
      </c>
      <c r="AL22" s="163"/>
      <c r="AM22" s="156"/>
      <c r="AN22" s="161"/>
      <c r="AO22" s="157">
        <f>-(C22+H22+L22+AA22+AB22)</f>
        <v>804.60161988393759</v>
      </c>
      <c r="AP22" s="159"/>
      <c r="AQ22" s="188">
        <f>C22+H22+L22+AA22+AB22+AN22+AO22+AP22</f>
        <v>0</v>
      </c>
    </row>
    <row r="23" spans="1:45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5" ht="12.75" customHeight="1" thickBot="1">
      <c r="A24" s="115" t="s">
        <v>334</v>
      </c>
      <c r="B24" s="116"/>
      <c r="C24" s="216">
        <f>SUM(D24:G24)</f>
        <v>22.240061570656763</v>
      </c>
      <c r="D24" s="217">
        <v>-17.141361188350004</v>
      </c>
      <c r="E24" s="124">
        <f>-D24-V24</f>
        <v>39.381422759006767</v>
      </c>
      <c r="F24" s="118"/>
      <c r="G24" s="118"/>
      <c r="H24" s="119"/>
      <c r="I24" s="218"/>
      <c r="J24" s="124"/>
      <c r="K24" s="124"/>
      <c r="L24" s="119">
        <f>SUM(N24:Z24)</f>
        <v>-24.684016341344112</v>
      </c>
      <c r="M24" s="124"/>
      <c r="N24" s="124">
        <v>30.880435114089789</v>
      </c>
      <c r="O24" s="124"/>
      <c r="P24" s="124">
        <v>-31.331710700000009</v>
      </c>
      <c r="Q24" s="124">
        <v>361.91080481920005</v>
      </c>
      <c r="R24" s="124">
        <v>-361.12225342559998</v>
      </c>
      <c r="S24" s="124">
        <v>-0.17168420677966101</v>
      </c>
      <c r="T24" s="124"/>
      <c r="U24" s="124">
        <v>-2.6095463715975598</v>
      </c>
      <c r="V24" s="118">
        <v>-22.240061570656767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-2.4439547706873483</v>
      </c>
    </row>
    <row r="25" spans="1:45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10.28324833984202</v>
      </c>
      <c r="I25" s="209">
        <v>10.28324833984202</v>
      </c>
      <c r="J25" s="219"/>
      <c r="K25" s="211"/>
      <c r="L25" s="182">
        <f>SUM(O25:Z25)</f>
        <v>98.284657617035819</v>
      </c>
      <c r="M25" s="211"/>
      <c r="N25" s="211"/>
      <c r="O25" s="211">
        <v>95.274692021714102</v>
      </c>
      <c r="P25" s="211"/>
      <c r="Q25" s="211"/>
      <c r="R25" s="211"/>
      <c r="S25" s="211">
        <v>0</v>
      </c>
      <c r="T25" s="211">
        <v>4.1693256233877908E-3</v>
      </c>
      <c r="U25" s="211">
        <v>3.0057962696983291</v>
      </c>
      <c r="V25" s="211"/>
      <c r="W25" s="209"/>
      <c r="X25" s="209"/>
      <c r="Y25" s="209"/>
      <c r="Z25" s="211"/>
      <c r="AA25" s="182">
        <v>57.528599543766255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259.46681438260055</v>
      </c>
      <c r="AP25" s="184"/>
      <c r="AQ25" s="215">
        <f>C25+H25+L25+AA25+AB25+AN25+AO25+AP25</f>
        <v>425.56331988324462</v>
      </c>
    </row>
    <row r="26" spans="1:45" s="11" customFormat="1" ht="12.75" customHeight="1" thickBot="1">
      <c r="A26" s="220" t="s">
        <v>104</v>
      </c>
      <c r="B26" s="221"/>
      <c r="C26" s="222">
        <f t="shared" ref="C26:AP26" si="10">C7-C9+C15+C21-C25</f>
        <v>320.15759843333262</v>
      </c>
      <c r="D26" s="223">
        <f t="shared" si="10"/>
        <v>221.42915574234439</v>
      </c>
      <c r="E26" s="224">
        <f t="shared" si="10"/>
        <v>86.198591658957852</v>
      </c>
      <c r="F26" s="224">
        <f t="shared" si="10"/>
        <v>0</v>
      </c>
      <c r="G26" s="224">
        <f t="shared" si="10"/>
        <v>12.529851032030438</v>
      </c>
      <c r="H26" s="225">
        <f t="shared" si="10"/>
        <v>199.31419506885081</v>
      </c>
      <c r="I26" s="223">
        <f t="shared" si="10"/>
        <v>0.37225106885087023</v>
      </c>
      <c r="J26" s="226">
        <f t="shared" si="10"/>
        <v>127.70399999999999</v>
      </c>
      <c r="K26" s="224">
        <f t="shared" si="10"/>
        <v>71.237943999999999</v>
      </c>
      <c r="L26" s="225">
        <f t="shared" si="10"/>
        <v>7278.2180951406654</v>
      </c>
      <c r="M26" s="224">
        <f t="shared" si="10"/>
        <v>0</v>
      </c>
      <c r="N26" s="224">
        <f t="shared" si="10"/>
        <v>-0.14794174855289199</v>
      </c>
      <c r="O26" s="224">
        <f t="shared" si="10"/>
        <v>-5.2567080980734033</v>
      </c>
      <c r="P26" s="224">
        <f t="shared" si="10"/>
        <v>799.22126723333315</v>
      </c>
      <c r="Q26" s="224">
        <f t="shared" si="10"/>
        <v>949.04247657856001</v>
      </c>
      <c r="R26" s="224">
        <f t="shared" si="10"/>
        <v>1106.9485985044798</v>
      </c>
      <c r="S26" s="224">
        <f t="shared" si="10"/>
        <v>39.03952078017609</v>
      </c>
      <c r="T26" s="224">
        <f t="shared" si="10"/>
        <v>187.88084937540125</v>
      </c>
      <c r="U26" s="224">
        <f t="shared" si="10"/>
        <v>3815.0626351280866</v>
      </c>
      <c r="V26" s="224">
        <f t="shared" si="10"/>
        <v>147.33759997605492</v>
      </c>
      <c r="W26" s="224">
        <f t="shared" si="10"/>
        <v>7.506512734116022</v>
      </c>
      <c r="X26" s="224">
        <f t="shared" si="10"/>
        <v>195.36275312176252</v>
      </c>
      <c r="Y26" s="224">
        <f t="shared" si="10"/>
        <v>1.2096467108549098</v>
      </c>
      <c r="Z26" s="224">
        <f t="shared" si="10"/>
        <v>35.010884844467988</v>
      </c>
      <c r="AA26" s="225">
        <f t="shared" si="10"/>
        <v>1921.4292269183238</v>
      </c>
      <c r="AB26" s="227">
        <f t="shared" si="10"/>
        <v>461.09915024876761</v>
      </c>
      <c r="AC26" s="149">
        <f t="shared" si="10"/>
        <v>0</v>
      </c>
      <c r="AD26" s="131">
        <f t="shared" si="10"/>
        <v>0</v>
      </c>
      <c r="AE26" s="131">
        <f t="shared" si="10"/>
        <v>197.01652611637599</v>
      </c>
      <c r="AF26" s="131">
        <f t="shared" si="10"/>
        <v>40.692904224132207</v>
      </c>
      <c r="AG26" s="131">
        <f t="shared" si="10"/>
        <v>0</v>
      </c>
      <c r="AH26" s="131">
        <f t="shared" si="10"/>
        <v>9.7770611234061491</v>
      </c>
      <c r="AI26" s="131">
        <f t="shared" si="10"/>
        <v>128.62672037577602</v>
      </c>
      <c r="AJ26" s="131">
        <f t="shared" si="10"/>
        <v>27.916404744672001</v>
      </c>
      <c r="AK26" s="134">
        <f t="shared" si="10"/>
        <v>0</v>
      </c>
      <c r="AL26" s="134">
        <f t="shared" si="10"/>
        <v>13.54608560366562</v>
      </c>
      <c r="AM26" s="228">
        <f t="shared" si="10"/>
        <v>43.523448060739646</v>
      </c>
      <c r="AN26" s="225">
        <f t="shared" si="10"/>
        <v>54.722939604974087</v>
      </c>
      <c r="AO26" s="225">
        <f t="shared" si="10"/>
        <v>2361.7269899654289</v>
      </c>
      <c r="AP26" s="227">
        <f t="shared" si="10"/>
        <v>0</v>
      </c>
      <c r="AQ26" s="229">
        <f>C26+H26+L26+AA26+AB26+AN26+AO26+AP26</f>
        <v>12596.668195380342</v>
      </c>
      <c r="AR26" s="7"/>
      <c r="AS26" s="10"/>
    </row>
    <row r="27" spans="1:45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231.58328467708543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195.36275312176252</v>
      </c>
      <c r="Y27" s="148">
        <f t="shared" si="12"/>
        <v>1.2096467108549098</v>
      </c>
      <c r="Z27" s="131">
        <f t="shared" si="12"/>
        <v>35.010884844467988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231.58328467708543</v>
      </c>
      <c r="AR27" s="7"/>
      <c r="AS27" s="10"/>
    </row>
    <row r="28" spans="1:45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231.58328467708543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195.36275312176252</v>
      </c>
      <c r="Y28" s="195">
        <f>Y26</f>
        <v>1.2096467108549098</v>
      </c>
      <c r="Z28" s="194">
        <f>Z26</f>
        <v>35.010884844467988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 t="shared" ref="AQ28:AQ72" si="13">C28+H28+L28+AA28+AB28+AN28+AO28+AP28</f>
        <v>231.58328467708543</v>
      </c>
    </row>
    <row r="29" spans="1:45" s="11" customFormat="1" ht="12.75" customHeight="1" thickBot="1">
      <c r="A29" s="127" t="s">
        <v>107</v>
      </c>
      <c r="B29" s="128"/>
      <c r="C29" s="129">
        <f t="shared" ref="C29:AQ29" si="14">C30+C45+C56+C58+C65+C70+C71</f>
        <v>322.73713313616526</v>
      </c>
      <c r="D29" s="134">
        <f t="shared" si="14"/>
        <v>221.25198906014759</v>
      </c>
      <c r="E29" s="131">
        <f t="shared" si="14"/>
        <v>89.647280058277374</v>
      </c>
      <c r="F29" s="148">
        <f t="shared" si="14"/>
        <v>0</v>
      </c>
      <c r="G29" s="148">
        <f t="shared" si="14"/>
        <v>11.837385289740231</v>
      </c>
      <c r="H29" s="132">
        <f t="shared" si="14"/>
        <v>197.36847005356</v>
      </c>
      <c r="I29" s="134">
        <f t="shared" si="14"/>
        <v>0.82966372355999995</v>
      </c>
      <c r="J29" s="235">
        <f t="shared" si="14"/>
        <v>127.70399999999999</v>
      </c>
      <c r="K29" s="134">
        <f t="shared" si="14"/>
        <v>68.834806329999992</v>
      </c>
      <c r="L29" s="132">
        <f t="shared" si="14"/>
        <v>7044.2916862331467</v>
      </c>
      <c r="M29" s="131">
        <f t="shared" si="14"/>
        <v>0</v>
      </c>
      <c r="N29" s="131">
        <f t="shared" si="14"/>
        <v>0</v>
      </c>
      <c r="O29" s="131">
        <f t="shared" si="14"/>
        <v>0</v>
      </c>
      <c r="P29" s="131">
        <f t="shared" si="14"/>
        <v>824.24502392197087</v>
      </c>
      <c r="Q29" s="131">
        <f t="shared" si="14"/>
        <v>934.32541284991999</v>
      </c>
      <c r="R29" s="131">
        <f t="shared" si="14"/>
        <v>1102.8442060797599</v>
      </c>
      <c r="S29" s="131">
        <f t="shared" si="14"/>
        <v>31.039400915077643</v>
      </c>
      <c r="T29" s="131">
        <f t="shared" si="14"/>
        <v>181.32381570558746</v>
      </c>
      <c r="U29" s="131">
        <f t="shared" si="14"/>
        <v>3824.001555864289</v>
      </c>
      <c r="V29" s="131">
        <f t="shared" si="14"/>
        <v>146.51227089654276</v>
      </c>
      <c r="W29" s="148">
        <f t="shared" si="14"/>
        <v>0</v>
      </c>
      <c r="X29" s="148">
        <f t="shared" si="14"/>
        <v>0</v>
      </c>
      <c r="Y29" s="148">
        <f t="shared" si="14"/>
        <v>0</v>
      </c>
      <c r="Z29" s="134">
        <f t="shared" si="14"/>
        <v>0</v>
      </c>
      <c r="AA29" s="225">
        <f t="shared" si="14"/>
        <v>1961.7039372255224</v>
      </c>
      <c r="AB29" s="130">
        <f t="shared" si="14"/>
        <v>463.5152964293224</v>
      </c>
      <c r="AC29" s="149">
        <f t="shared" si="14"/>
        <v>0</v>
      </c>
      <c r="AD29" s="131">
        <f t="shared" si="14"/>
        <v>0</v>
      </c>
      <c r="AE29" s="131">
        <f t="shared" si="14"/>
        <v>201.73619537368276</v>
      </c>
      <c r="AF29" s="131">
        <f t="shared" si="14"/>
        <v>40.692904224132199</v>
      </c>
      <c r="AG29" s="131">
        <f t="shared" si="14"/>
        <v>0</v>
      </c>
      <c r="AH29" s="131">
        <f t="shared" si="14"/>
        <v>9.7770611234061491</v>
      </c>
      <c r="AI29" s="131">
        <f t="shared" si="14"/>
        <v>126.96834918892804</v>
      </c>
      <c r="AJ29" s="131">
        <f t="shared" si="14"/>
        <v>27.271252854767994</v>
      </c>
      <c r="AK29" s="130">
        <f t="shared" si="14"/>
        <v>0</v>
      </c>
      <c r="AL29" s="130">
        <f t="shared" si="14"/>
        <v>13.546085603665619</v>
      </c>
      <c r="AM29" s="130">
        <f t="shared" si="14"/>
        <v>43.523448060739653</v>
      </c>
      <c r="AN29" s="130">
        <f t="shared" si="14"/>
        <v>54.722939604974094</v>
      </c>
      <c r="AO29" s="132">
        <f t="shared" si="14"/>
        <v>2397.4208343089181</v>
      </c>
      <c r="AP29" s="130">
        <f t="shared" si="14"/>
        <v>0</v>
      </c>
      <c r="AQ29" s="229">
        <f t="shared" si="14"/>
        <v>12441.760296991612</v>
      </c>
      <c r="AR29" s="7"/>
      <c r="AS29" s="10"/>
    </row>
    <row r="30" spans="1:45" s="11" customFormat="1" ht="12.75" customHeight="1">
      <c r="A30" s="236" t="s">
        <v>108</v>
      </c>
      <c r="B30" s="237"/>
      <c r="C30" s="238">
        <f>SUM(C31:C44)</f>
        <v>105.42502802800003</v>
      </c>
      <c r="D30" s="239">
        <v>105.4245493</v>
      </c>
      <c r="E30" s="239">
        <v>0</v>
      </c>
      <c r="F30" s="240"/>
      <c r="G30" s="240"/>
      <c r="H30" s="241">
        <f>SUM(H31:H44)</f>
        <v>0.82966372355999995</v>
      </c>
      <c r="I30" s="242">
        <f t="shared" ref="I30:K30" si="15">SUM(I31:I44)</f>
        <v>0.82966372355999995</v>
      </c>
      <c r="J30" s="239">
        <f t="shared" si="15"/>
        <v>0</v>
      </c>
      <c r="K30" s="239">
        <f t="shared" si="15"/>
        <v>0</v>
      </c>
      <c r="L30" s="241">
        <f>SUM(L31:L44)</f>
        <v>333.21700779482637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5.8273117756492638</v>
      </c>
      <c r="R30" s="239">
        <f>SUM(R31:R44)</f>
        <v>0</v>
      </c>
      <c r="S30" s="239">
        <v>30.396553446461994</v>
      </c>
      <c r="T30" s="239">
        <v>55.10581048870722</v>
      </c>
      <c r="U30" s="239">
        <v>100.77893291075623</v>
      </c>
      <c r="V30" s="239">
        <v>141.10839917325163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1006.4294471460221</v>
      </c>
      <c r="AB30" s="243">
        <f t="shared" ref="AB30:AN30" si="16">SUM(AB31:AB44)</f>
        <v>198.81521058080656</v>
      </c>
      <c r="AC30" s="244">
        <f t="shared" si="16"/>
        <v>0</v>
      </c>
      <c r="AD30" s="239">
        <f t="shared" si="16"/>
        <v>0</v>
      </c>
      <c r="AE30" s="239">
        <f t="shared" si="16"/>
        <v>153.96698996806381</v>
      </c>
      <c r="AF30" s="239">
        <f t="shared" si="16"/>
        <v>40.692904224132199</v>
      </c>
      <c r="AG30" s="239">
        <f t="shared" si="16"/>
        <v>0</v>
      </c>
      <c r="AH30" s="239">
        <f t="shared" si="16"/>
        <v>4.1553163886105651</v>
      </c>
      <c r="AI30" s="239">
        <f t="shared" si="16"/>
        <v>0</v>
      </c>
      <c r="AJ30" s="239">
        <f t="shared" si="16"/>
        <v>0</v>
      </c>
      <c r="AK30" s="239">
        <f t="shared" si="16"/>
        <v>0</v>
      </c>
      <c r="AL30" s="239">
        <f t="shared" si="16"/>
        <v>0</v>
      </c>
      <c r="AM30" s="245">
        <f t="shared" si="16"/>
        <v>0</v>
      </c>
      <c r="AN30" s="242">
        <f t="shared" si="16"/>
        <v>54.722939604974094</v>
      </c>
      <c r="AO30" s="241">
        <v>562.37095164267794</v>
      </c>
      <c r="AP30" s="243">
        <f>SUM(AP31:AP44)</f>
        <v>0</v>
      </c>
      <c r="AQ30" s="150">
        <f t="shared" ref="AQ30" si="17">C30+H30+L30+AA30+AB30+AN30+AO30+AP30</f>
        <v>2261.8102485208669</v>
      </c>
      <c r="AR30" s="7"/>
      <c r="AS30" s="15"/>
    </row>
    <row r="31" spans="1:45" ht="12.75" customHeight="1">
      <c r="A31" s="246" t="s">
        <v>109</v>
      </c>
      <c r="B31" s="247" t="s">
        <v>110</v>
      </c>
      <c r="C31" s="248">
        <f t="shared" ref="C31:C43" si="18">SUM(D31:G31)</f>
        <v>0</v>
      </c>
      <c r="D31" s="160">
        <v>0</v>
      </c>
      <c r="E31" s="249"/>
      <c r="F31" s="249"/>
      <c r="G31" s="250"/>
      <c r="H31" s="251">
        <f t="shared" ref="H31:H43" si="19">SUM(I31:K31)</f>
        <v>0</v>
      </c>
      <c r="I31" s="252"/>
      <c r="J31" s="253"/>
      <c r="K31" s="163"/>
      <c r="L31" s="251">
        <f t="shared" ref="L31:L43" si="20">SUM(M31:Z31)</f>
        <v>15.076944231866809</v>
      </c>
      <c r="M31" s="163"/>
      <c r="N31" s="163"/>
      <c r="O31" s="163"/>
      <c r="P31" s="254"/>
      <c r="Q31" s="205">
        <v>0.252</v>
      </c>
      <c r="R31" s="249"/>
      <c r="S31" s="205">
        <v>0</v>
      </c>
      <c r="T31" s="205">
        <v>9.0944231866809708E-2</v>
      </c>
      <c r="U31" s="205">
        <v>14.734</v>
      </c>
      <c r="V31" s="205">
        <v>0</v>
      </c>
      <c r="W31" s="249"/>
      <c r="X31" s="252"/>
      <c r="Y31" s="254"/>
      <c r="Z31" s="163"/>
      <c r="AA31" s="161">
        <v>11.321518316813064</v>
      </c>
      <c r="AB31" s="255">
        <f t="shared" ref="AB31:AB43" si="21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18.942945216847264</v>
      </c>
      <c r="AP31" s="255"/>
      <c r="AQ31" s="162">
        <f t="shared" si="13"/>
        <v>45.341407765527137</v>
      </c>
    </row>
    <row r="32" spans="1:45" ht="12.75" customHeight="1">
      <c r="A32" s="257" t="s">
        <v>111</v>
      </c>
      <c r="B32" s="258" t="s">
        <v>112</v>
      </c>
      <c r="C32" s="102">
        <f t="shared" si="18"/>
        <v>18.505815952000003</v>
      </c>
      <c r="D32" s="111">
        <v>18.505815952000003</v>
      </c>
      <c r="E32" s="259"/>
      <c r="F32" s="259"/>
      <c r="G32" s="260"/>
      <c r="H32" s="106">
        <f t="shared" si="19"/>
        <v>0.82966372355999995</v>
      </c>
      <c r="I32" s="107">
        <v>0.82966372355999995</v>
      </c>
      <c r="J32" s="108"/>
      <c r="K32" s="109"/>
      <c r="L32" s="106">
        <f t="shared" si="20"/>
        <v>65.081234617624631</v>
      </c>
      <c r="M32" s="109"/>
      <c r="N32" s="109"/>
      <c r="O32" s="109"/>
      <c r="P32" s="254"/>
      <c r="Q32" s="259">
        <v>1.514</v>
      </c>
      <c r="R32" s="259"/>
      <c r="S32" s="259">
        <v>22.968462416696998</v>
      </c>
      <c r="T32" s="259">
        <v>29.49577220092764</v>
      </c>
      <c r="U32" s="259">
        <v>11.103</v>
      </c>
      <c r="V32" s="259">
        <v>0</v>
      </c>
      <c r="W32" s="259"/>
      <c r="X32" s="107"/>
      <c r="Y32" s="105"/>
      <c r="Z32" s="109"/>
      <c r="AA32" s="112">
        <v>272.71139495674981</v>
      </c>
      <c r="AB32" s="110">
        <f t="shared" si="21"/>
        <v>27.983335383690566</v>
      </c>
      <c r="AC32" s="111"/>
      <c r="AD32" s="109"/>
      <c r="AE32" s="109">
        <v>23.828018995080001</v>
      </c>
      <c r="AF32" s="109"/>
      <c r="AG32" s="163"/>
      <c r="AH32" s="163">
        <v>4.1553163886105651</v>
      </c>
      <c r="AI32" s="163"/>
      <c r="AJ32" s="163"/>
      <c r="AK32" s="107"/>
      <c r="AL32" s="105"/>
      <c r="AM32" s="109"/>
      <c r="AN32" s="112"/>
      <c r="AO32" s="112">
        <v>95.275088867672153</v>
      </c>
      <c r="AP32" s="110"/>
      <c r="AQ32" s="113">
        <f t="shared" si="13"/>
        <v>480.38653350129721</v>
      </c>
    </row>
    <row r="33" spans="1:45" ht="12.75" customHeight="1">
      <c r="A33" s="257" t="s">
        <v>113</v>
      </c>
      <c r="B33" s="261" t="s">
        <v>114</v>
      </c>
      <c r="C33" s="102">
        <f t="shared" si="18"/>
        <v>0</v>
      </c>
      <c r="D33" s="111">
        <v>0</v>
      </c>
      <c r="E33" s="259"/>
      <c r="F33" s="259"/>
      <c r="G33" s="260"/>
      <c r="H33" s="106">
        <f t="shared" si="19"/>
        <v>0</v>
      </c>
      <c r="I33" s="107"/>
      <c r="J33" s="108"/>
      <c r="K33" s="109"/>
      <c r="L33" s="106">
        <f t="shared" si="20"/>
        <v>4.2587599630269795</v>
      </c>
      <c r="M33" s="109"/>
      <c r="N33" s="109"/>
      <c r="O33" s="109"/>
      <c r="P33" s="254"/>
      <c r="Q33" s="259">
        <v>7.6999999999999999E-2</v>
      </c>
      <c r="R33" s="259"/>
      <c r="S33" s="259">
        <v>0</v>
      </c>
      <c r="T33" s="259">
        <v>3.9077599630269795</v>
      </c>
      <c r="U33" s="259">
        <v>0.27400000000000002</v>
      </c>
      <c r="V33" s="259">
        <v>0</v>
      </c>
      <c r="W33" s="259"/>
      <c r="X33" s="107"/>
      <c r="Y33" s="105"/>
      <c r="Z33" s="109"/>
      <c r="AA33" s="112">
        <v>3.3044502133205622</v>
      </c>
      <c r="AB33" s="110">
        <f t="shared" si="21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2.6521774464642336</v>
      </c>
      <c r="AP33" s="110"/>
      <c r="AQ33" s="113">
        <f t="shared" si="13"/>
        <v>10.215387622811775</v>
      </c>
    </row>
    <row r="34" spans="1:45" ht="12.75" customHeight="1">
      <c r="A34" s="257" t="s">
        <v>115</v>
      </c>
      <c r="B34" s="261" t="s">
        <v>116</v>
      </c>
      <c r="C34" s="102">
        <f t="shared" si="18"/>
        <v>0</v>
      </c>
      <c r="D34" s="111">
        <v>0</v>
      </c>
      <c r="E34" s="259"/>
      <c r="F34" s="259"/>
      <c r="G34" s="260"/>
      <c r="H34" s="106">
        <f t="shared" si="19"/>
        <v>0</v>
      </c>
      <c r="I34" s="107"/>
      <c r="J34" s="108"/>
      <c r="K34" s="109"/>
      <c r="L34" s="106">
        <f t="shared" si="20"/>
        <v>3.2131895506092896</v>
      </c>
      <c r="M34" s="109"/>
      <c r="N34" s="109"/>
      <c r="O34" s="109"/>
      <c r="P34" s="254"/>
      <c r="Q34" s="259">
        <v>0.17699999999999999</v>
      </c>
      <c r="R34" s="259"/>
      <c r="S34" s="259">
        <v>0</v>
      </c>
      <c r="T34" s="259">
        <v>0.60818955060928981</v>
      </c>
      <c r="U34" s="259">
        <v>2.4279999999999999</v>
      </c>
      <c r="V34" s="259">
        <v>0</v>
      </c>
      <c r="W34" s="259"/>
      <c r="X34" s="107"/>
      <c r="Y34" s="105"/>
      <c r="Z34" s="109"/>
      <c r="AA34" s="112">
        <v>9.6605545809524642</v>
      </c>
      <c r="AB34" s="110">
        <f t="shared" si="21"/>
        <v>127.91319688416</v>
      </c>
      <c r="AC34" s="111"/>
      <c r="AD34" s="109"/>
      <c r="AE34" s="109">
        <v>127.91319688416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24.722008913423029</v>
      </c>
      <c r="AP34" s="110"/>
      <c r="AQ34" s="113">
        <f t="shared" si="13"/>
        <v>165.50894992914479</v>
      </c>
    </row>
    <row r="35" spans="1:45" ht="12.75" customHeight="1">
      <c r="A35" s="257" t="s">
        <v>117</v>
      </c>
      <c r="B35" s="261" t="s">
        <v>118</v>
      </c>
      <c r="C35" s="102">
        <f t="shared" si="18"/>
        <v>0</v>
      </c>
      <c r="D35" s="111">
        <v>0</v>
      </c>
      <c r="E35" s="259"/>
      <c r="F35" s="259"/>
      <c r="G35" s="260"/>
      <c r="H35" s="106">
        <f t="shared" si="19"/>
        <v>0</v>
      </c>
      <c r="I35" s="107"/>
      <c r="J35" s="108"/>
      <c r="K35" s="109"/>
      <c r="L35" s="106">
        <f t="shared" si="20"/>
        <v>1.6055046049530732</v>
      </c>
      <c r="M35" s="109"/>
      <c r="N35" s="109"/>
      <c r="O35" s="109"/>
      <c r="P35" s="254"/>
      <c r="Q35" s="259">
        <v>9.6000000000000002E-2</v>
      </c>
      <c r="R35" s="259"/>
      <c r="S35" s="259">
        <v>0</v>
      </c>
      <c r="T35" s="259">
        <v>0.62950460495307337</v>
      </c>
      <c r="U35" s="259">
        <v>0.88</v>
      </c>
      <c r="V35" s="259">
        <v>0</v>
      </c>
      <c r="W35" s="259"/>
      <c r="X35" s="107"/>
      <c r="Y35" s="105"/>
      <c r="Z35" s="109"/>
      <c r="AA35" s="112">
        <v>14.125994102315383</v>
      </c>
      <c r="AB35" s="110">
        <f t="shared" si="21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10.336268211589791</v>
      </c>
      <c r="AP35" s="110"/>
      <c r="AQ35" s="113">
        <f t="shared" si="13"/>
        <v>26.067766918858247</v>
      </c>
    </row>
    <row r="36" spans="1:45" ht="12.75" customHeight="1">
      <c r="A36" s="257" t="s">
        <v>119</v>
      </c>
      <c r="B36" s="261" t="s">
        <v>120</v>
      </c>
      <c r="C36" s="102">
        <f t="shared" si="18"/>
        <v>0</v>
      </c>
      <c r="D36" s="256">
        <v>0</v>
      </c>
      <c r="E36" s="259"/>
      <c r="F36" s="259"/>
      <c r="G36" s="260"/>
      <c r="H36" s="106">
        <f t="shared" si="19"/>
        <v>0</v>
      </c>
      <c r="I36" s="107"/>
      <c r="J36" s="108"/>
      <c r="K36" s="109"/>
      <c r="L36" s="106">
        <f t="shared" si="20"/>
        <v>21.418897222529047</v>
      </c>
      <c r="M36" s="109"/>
      <c r="N36" s="109"/>
      <c r="O36" s="109"/>
      <c r="P36" s="254"/>
      <c r="Q36" s="249">
        <v>0.30599999999999994</v>
      </c>
      <c r="R36" s="259"/>
      <c r="S36" s="249">
        <v>2.7458233928999998</v>
      </c>
      <c r="T36" s="249">
        <v>3.9702841224354111</v>
      </c>
      <c r="U36" s="249">
        <v>4.5789999999999997</v>
      </c>
      <c r="V36" s="249">
        <v>9.8177897071936346</v>
      </c>
      <c r="W36" s="259"/>
      <c r="X36" s="107"/>
      <c r="Y36" s="105"/>
      <c r="Z36" s="109"/>
      <c r="AA36" s="262">
        <v>129.58450822372785</v>
      </c>
      <c r="AB36" s="110">
        <f t="shared" si="21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76.140196178045755</v>
      </c>
      <c r="AP36" s="110"/>
      <c r="AQ36" s="113">
        <f t="shared" si="13"/>
        <v>227.14360162430265</v>
      </c>
    </row>
    <row r="37" spans="1:45" ht="12.75" customHeight="1">
      <c r="A37" s="257" t="s">
        <v>121</v>
      </c>
      <c r="B37" s="261" t="s">
        <v>122</v>
      </c>
      <c r="C37" s="102">
        <f t="shared" si="18"/>
        <v>0</v>
      </c>
      <c r="D37" s="111">
        <v>0</v>
      </c>
      <c r="E37" s="259"/>
      <c r="F37" s="259"/>
      <c r="G37" s="260"/>
      <c r="H37" s="106">
        <f t="shared" si="19"/>
        <v>0</v>
      </c>
      <c r="I37" s="107"/>
      <c r="J37" s="108"/>
      <c r="K37" s="109"/>
      <c r="L37" s="106">
        <f t="shared" si="20"/>
        <v>4.1927665829180274</v>
      </c>
      <c r="M37" s="109"/>
      <c r="N37" s="109"/>
      <c r="O37" s="109"/>
      <c r="P37" s="254"/>
      <c r="Q37" s="259">
        <v>0.53500000000000003</v>
      </c>
      <c r="R37" s="259"/>
      <c r="S37" s="259">
        <v>0</v>
      </c>
      <c r="T37" s="259">
        <v>2.1897665829180273</v>
      </c>
      <c r="U37" s="259">
        <v>1.468</v>
      </c>
      <c r="V37" s="259">
        <v>0</v>
      </c>
      <c r="W37" s="259"/>
      <c r="X37" s="107"/>
      <c r="Y37" s="105"/>
      <c r="Z37" s="109"/>
      <c r="AA37" s="112">
        <v>17.456036015436883</v>
      </c>
      <c r="AB37" s="110">
        <f t="shared" si="21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25.06049692993675</v>
      </c>
      <c r="AP37" s="110"/>
      <c r="AQ37" s="113">
        <f t="shared" si="13"/>
        <v>46.709299528291666</v>
      </c>
    </row>
    <row r="38" spans="1:45" ht="12.75" customHeight="1">
      <c r="A38" s="257" t="s">
        <v>123</v>
      </c>
      <c r="B38" s="261" t="s">
        <v>124</v>
      </c>
      <c r="C38" s="102">
        <f t="shared" si="18"/>
        <v>86.919212076000022</v>
      </c>
      <c r="D38" s="111">
        <v>86.919212076000022</v>
      </c>
      <c r="E38" s="259"/>
      <c r="F38" s="259"/>
      <c r="G38" s="260"/>
      <c r="H38" s="106">
        <f t="shared" si="19"/>
        <v>0</v>
      </c>
      <c r="I38" s="107"/>
      <c r="J38" s="108"/>
      <c r="K38" s="109"/>
      <c r="L38" s="106">
        <f t="shared" si="20"/>
        <v>160.32357118657256</v>
      </c>
      <c r="M38" s="109"/>
      <c r="N38" s="109"/>
      <c r="O38" s="109"/>
      <c r="P38" s="254"/>
      <c r="Q38" s="259">
        <v>1.1439999999999999</v>
      </c>
      <c r="R38" s="259"/>
      <c r="S38" s="259">
        <v>0</v>
      </c>
      <c r="T38" s="259">
        <v>2.6359617205145627</v>
      </c>
      <c r="U38" s="259">
        <v>25.253</v>
      </c>
      <c r="V38" s="259">
        <v>131.29060946605799</v>
      </c>
      <c r="W38" s="259"/>
      <c r="X38" s="107"/>
      <c r="Y38" s="105"/>
      <c r="Z38" s="109"/>
      <c r="AA38" s="112">
        <v>46.760404850906049</v>
      </c>
      <c r="AB38" s="110">
        <f t="shared" si="21"/>
        <v>42.918678312955997</v>
      </c>
      <c r="AC38" s="111"/>
      <c r="AD38" s="109"/>
      <c r="AE38" s="109">
        <v>2.2257740888237998</v>
      </c>
      <c r="AF38" s="109">
        <v>40.692904224132199</v>
      </c>
      <c r="AG38" s="163"/>
      <c r="AH38" s="163"/>
      <c r="AI38" s="163"/>
      <c r="AJ38" s="163"/>
      <c r="AK38" s="107"/>
      <c r="AL38" s="105"/>
      <c r="AM38" s="109"/>
      <c r="AN38" s="112">
        <v>54.722939604974094</v>
      </c>
      <c r="AO38" s="112">
        <v>73.686158058321269</v>
      </c>
      <c r="AP38" s="110"/>
      <c r="AQ38" s="113">
        <f t="shared" si="13"/>
        <v>465.33096408973</v>
      </c>
      <c r="AR38" s="58"/>
    </row>
    <row r="39" spans="1:45" ht="12.75" customHeight="1">
      <c r="A39" s="257" t="s">
        <v>125</v>
      </c>
      <c r="B39" s="261" t="s">
        <v>126</v>
      </c>
      <c r="C39" s="102">
        <f t="shared" si="18"/>
        <v>0</v>
      </c>
      <c r="D39" s="111">
        <v>0</v>
      </c>
      <c r="E39" s="259"/>
      <c r="F39" s="259"/>
      <c r="G39" s="260"/>
      <c r="H39" s="106">
        <f t="shared" si="19"/>
        <v>0</v>
      </c>
      <c r="I39" s="107"/>
      <c r="J39" s="108"/>
      <c r="K39" s="109"/>
      <c r="L39" s="106">
        <f t="shared" si="20"/>
        <v>5.6776554397216028</v>
      </c>
      <c r="M39" s="109"/>
      <c r="N39" s="109"/>
      <c r="O39" s="109"/>
      <c r="P39" s="254"/>
      <c r="Q39" s="259">
        <v>0.33800000000000002</v>
      </c>
      <c r="R39" s="259"/>
      <c r="S39" s="259">
        <v>1.0397614907400001</v>
      </c>
      <c r="T39" s="259">
        <v>1.5488939489816029</v>
      </c>
      <c r="U39" s="259">
        <v>2.7509999999999999</v>
      </c>
      <c r="V39" s="259">
        <v>0</v>
      </c>
      <c r="W39" s="259"/>
      <c r="X39" s="107"/>
      <c r="Y39" s="105"/>
      <c r="Z39" s="109"/>
      <c r="AA39" s="112">
        <v>411.95146425902993</v>
      </c>
      <c r="AB39" s="110">
        <f t="shared" si="21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67.595437712394457</v>
      </c>
      <c r="AP39" s="110"/>
      <c r="AQ39" s="113">
        <f t="shared" si="13"/>
        <v>485.22455741114601</v>
      </c>
    </row>
    <row r="40" spans="1:45" ht="12.75" customHeight="1">
      <c r="A40" s="257" t="s">
        <v>127</v>
      </c>
      <c r="B40" s="261" t="s">
        <v>128</v>
      </c>
      <c r="C40" s="102">
        <f t="shared" si="18"/>
        <v>0</v>
      </c>
      <c r="D40" s="111">
        <v>0</v>
      </c>
      <c r="E40" s="259"/>
      <c r="F40" s="259"/>
      <c r="G40" s="260"/>
      <c r="H40" s="106">
        <f t="shared" si="19"/>
        <v>0</v>
      </c>
      <c r="I40" s="107"/>
      <c r="J40" s="108"/>
      <c r="K40" s="109"/>
      <c r="L40" s="106">
        <f t="shared" si="20"/>
        <v>4.0583976227701353</v>
      </c>
      <c r="M40" s="109"/>
      <c r="N40" s="109"/>
      <c r="O40" s="109"/>
      <c r="P40" s="254"/>
      <c r="Q40" s="259">
        <v>0.14399999999999999</v>
      </c>
      <c r="R40" s="259"/>
      <c r="S40" s="259">
        <v>0</v>
      </c>
      <c r="T40" s="259">
        <v>2.2053976227701355</v>
      </c>
      <c r="U40" s="259">
        <v>1.7090000000000001</v>
      </c>
      <c r="V40" s="259">
        <v>0</v>
      </c>
      <c r="W40" s="259"/>
      <c r="X40" s="107"/>
      <c r="Y40" s="105"/>
      <c r="Z40" s="109"/>
      <c r="AA40" s="112">
        <v>14.088542834314019</v>
      </c>
      <c r="AB40" s="110">
        <f t="shared" si="21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17.033790245657055</v>
      </c>
      <c r="AP40" s="110"/>
      <c r="AQ40" s="113">
        <f t="shared" si="13"/>
        <v>35.180730702741215</v>
      </c>
    </row>
    <row r="41" spans="1:45" ht="12.75" customHeight="1">
      <c r="A41" s="257" t="s">
        <v>129</v>
      </c>
      <c r="B41" s="261" t="s">
        <v>130</v>
      </c>
      <c r="C41" s="102">
        <f t="shared" si="18"/>
        <v>0</v>
      </c>
      <c r="D41" s="256">
        <v>0</v>
      </c>
      <c r="E41" s="259"/>
      <c r="F41" s="259"/>
      <c r="G41" s="260"/>
      <c r="H41" s="106">
        <f t="shared" si="19"/>
        <v>0</v>
      </c>
      <c r="I41" s="107"/>
      <c r="J41" s="108"/>
      <c r="K41" s="109"/>
      <c r="L41" s="106">
        <f t="shared" si="20"/>
        <v>2.3538976736397665</v>
      </c>
      <c r="M41" s="109"/>
      <c r="N41" s="109"/>
      <c r="O41" s="109"/>
      <c r="P41" s="254"/>
      <c r="Q41" s="249">
        <v>0.184</v>
      </c>
      <c r="R41" s="259"/>
      <c r="S41" s="249">
        <v>0</v>
      </c>
      <c r="T41" s="249">
        <v>1.4408976736397665</v>
      </c>
      <c r="U41" s="249">
        <v>0.72899999999999998</v>
      </c>
      <c r="V41" s="249">
        <v>0</v>
      </c>
      <c r="W41" s="259"/>
      <c r="X41" s="107"/>
      <c r="Y41" s="105"/>
      <c r="Z41" s="109"/>
      <c r="AA41" s="262">
        <v>20.514556235548469</v>
      </c>
      <c r="AB41" s="110">
        <f t="shared" si="21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88.215343376908805</v>
      </c>
      <c r="AP41" s="110"/>
      <c r="AQ41" s="113">
        <f t="shared" si="13"/>
        <v>111.08379728609704</v>
      </c>
    </row>
    <row r="42" spans="1:45" ht="12.75" customHeight="1">
      <c r="A42" s="257" t="s">
        <v>131</v>
      </c>
      <c r="B42" s="261" t="s">
        <v>132</v>
      </c>
      <c r="C42" s="102">
        <f t="shared" si="18"/>
        <v>0</v>
      </c>
      <c r="D42" s="111">
        <v>0</v>
      </c>
      <c r="E42" s="259"/>
      <c r="F42" s="259"/>
      <c r="G42" s="260"/>
      <c r="H42" s="106">
        <f t="shared" si="19"/>
        <v>0</v>
      </c>
      <c r="I42" s="107"/>
      <c r="J42" s="108"/>
      <c r="K42" s="109"/>
      <c r="L42" s="106">
        <f t="shared" si="20"/>
        <v>1.2106523548972861</v>
      </c>
      <c r="M42" s="109"/>
      <c r="N42" s="109"/>
      <c r="O42" s="109"/>
      <c r="P42" s="254"/>
      <c r="Q42" s="259">
        <v>6.6000000000000003E-2</v>
      </c>
      <c r="R42" s="259"/>
      <c r="S42" s="259">
        <v>0</v>
      </c>
      <c r="T42" s="259">
        <v>0.92365235489728603</v>
      </c>
      <c r="U42" s="259">
        <v>0.221</v>
      </c>
      <c r="V42" s="259">
        <v>0</v>
      </c>
      <c r="W42" s="259"/>
      <c r="X42" s="107"/>
      <c r="Y42" s="105"/>
      <c r="Z42" s="109"/>
      <c r="AA42" s="112">
        <v>0.86574847863158677</v>
      </c>
      <c r="AB42" s="110">
        <f t="shared" si="21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2.5758112476166248</v>
      </c>
      <c r="AP42" s="110"/>
      <c r="AQ42" s="113">
        <f t="shared" si="13"/>
        <v>4.6522120811454979</v>
      </c>
    </row>
    <row r="43" spans="1:45" ht="12.75" customHeight="1">
      <c r="A43" s="257" t="s">
        <v>133</v>
      </c>
      <c r="B43" s="261" t="s">
        <v>134</v>
      </c>
      <c r="C43" s="102">
        <f t="shared" si="18"/>
        <v>0</v>
      </c>
      <c r="D43" s="111">
        <v>0</v>
      </c>
      <c r="E43" s="259"/>
      <c r="F43" s="259"/>
      <c r="G43" s="260"/>
      <c r="H43" s="106">
        <f t="shared" si="19"/>
        <v>0</v>
      </c>
      <c r="I43" s="107"/>
      <c r="J43" s="108"/>
      <c r="K43" s="109">
        <v>0</v>
      </c>
      <c r="L43" s="106">
        <f t="shared" si="20"/>
        <v>12.040386855324506</v>
      </c>
      <c r="M43" s="109"/>
      <c r="N43" s="109"/>
      <c r="O43" s="109"/>
      <c r="P43" s="105"/>
      <c r="Q43" s="259">
        <v>0.29299999999999998</v>
      </c>
      <c r="R43" s="259"/>
      <c r="S43" s="259">
        <v>3.6425061461249997</v>
      </c>
      <c r="T43" s="259">
        <v>4.9848807091995067</v>
      </c>
      <c r="U43" s="259">
        <v>3.12</v>
      </c>
      <c r="V43" s="259">
        <v>0</v>
      </c>
      <c r="W43" s="259"/>
      <c r="X43" s="107"/>
      <c r="Y43" s="105"/>
      <c r="Z43" s="109"/>
      <c r="AA43" s="112">
        <v>49.987455777023783</v>
      </c>
      <c r="AB43" s="110">
        <f t="shared" si="21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50.192200180420599</v>
      </c>
      <c r="AP43" s="110"/>
      <c r="AQ43" s="113">
        <f t="shared" si="13"/>
        <v>112.2200428127689</v>
      </c>
    </row>
    <row r="44" spans="1:45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32.705149888372631</v>
      </c>
      <c r="M44" s="168"/>
      <c r="N44" s="168"/>
      <c r="O44" s="168"/>
      <c r="P44" s="169"/>
      <c r="Q44" s="265">
        <v>0.70131177564926306</v>
      </c>
      <c r="R44" s="265"/>
      <c r="S44" s="265">
        <v>0</v>
      </c>
      <c r="T44" s="265">
        <v>0.47390520196714231</v>
      </c>
      <c r="U44" s="265">
        <v>31.529932910756227</v>
      </c>
      <c r="V44" s="265">
        <v>0</v>
      </c>
      <c r="W44" s="265"/>
      <c r="X44" s="167"/>
      <c r="Y44" s="169"/>
      <c r="Z44" s="168"/>
      <c r="AA44" s="174">
        <v>4.0968183012521333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9.9430290573801638</v>
      </c>
      <c r="AP44" s="172"/>
      <c r="AQ44" s="175">
        <f>C44+H44+L44+AA44+AB44+AN44+AO44+AP44</f>
        <v>46.744997247004932</v>
      </c>
    </row>
    <row r="45" spans="1:45" s="11" customFormat="1" ht="12.75" customHeight="1">
      <c r="A45" s="176" t="s">
        <v>135</v>
      </c>
      <c r="B45" s="177"/>
      <c r="C45" s="267">
        <f t="shared" ref="C45:AP45" si="22">SUM(C46:C55)</f>
        <v>0</v>
      </c>
      <c r="D45" s="268">
        <f t="shared" si="22"/>
        <v>0</v>
      </c>
      <c r="E45" s="268">
        <f t="shared" si="22"/>
        <v>0</v>
      </c>
      <c r="F45" s="269">
        <f t="shared" si="22"/>
        <v>0</v>
      </c>
      <c r="G45" s="269">
        <f t="shared" si="22"/>
        <v>0</v>
      </c>
      <c r="H45" s="270">
        <f t="shared" si="22"/>
        <v>0</v>
      </c>
      <c r="I45" s="271">
        <f t="shared" si="22"/>
        <v>0</v>
      </c>
      <c r="J45" s="272">
        <f t="shared" si="22"/>
        <v>0</v>
      </c>
      <c r="K45" s="268">
        <f t="shared" si="22"/>
        <v>0</v>
      </c>
      <c r="L45" s="270">
        <f t="shared" si="22"/>
        <v>5012.6665578559823</v>
      </c>
      <c r="M45" s="268">
        <f t="shared" si="22"/>
        <v>0</v>
      </c>
      <c r="N45" s="268">
        <f t="shared" ref="N45" si="23">SUM(N46:N55)</f>
        <v>0</v>
      </c>
      <c r="O45" s="268">
        <f t="shared" si="22"/>
        <v>0</v>
      </c>
      <c r="P45" s="268">
        <f t="shared" si="22"/>
        <v>824.24502392197087</v>
      </c>
      <c r="Q45" s="268">
        <f t="shared" si="22"/>
        <v>0</v>
      </c>
      <c r="R45" s="268">
        <f t="shared" si="22"/>
        <v>1102.8442060797599</v>
      </c>
      <c r="S45" s="268">
        <f t="shared" si="22"/>
        <v>0</v>
      </c>
      <c r="T45" s="268">
        <f t="shared" si="22"/>
        <v>1.8520724281984335</v>
      </c>
      <c r="U45" s="268">
        <f>SUM(U46:U55)</f>
        <v>3083.7252554260544</v>
      </c>
      <c r="V45" s="268">
        <f t="shared" si="22"/>
        <v>0</v>
      </c>
      <c r="W45" s="269">
        <f t="shared" si="22"/>
        <v>0</v>
      </c>
      <c r="X45" s="269">
        <f t="shared" si="22"/>
        <v>0</v>
      </c>
      <c r="Y45" s="269">
        <f t="shared" si="22"/>
        <v>0</v>
      </c>
      <c r="Z45" s="268">
        <f t="shared" si="22"/>
        <v>0</v>
      </c>
      <c r="AA45" s="270">
        <f t="shared" si="22"/>
        <v>22.560835415583806</v>
      </c>
      <c r="AB45" s="273">
        <f t="shared" si="22"/>
        <v>154.23960204369604</v>
      </c>
      <c r="AC45" s="274">
        <f t="shared" si="22"/>
        <v>0</v>
      </c>
      <c r="AD45" s="268">
        <f t="shared" si="22"/>
        <v>0</v>
      </c>
      <c r="AE45" s="268">
        <f t="shared" si="22"/>
        <v>0</v>
      </c>
      <c r="AF45" s="268">
        <f t="shared" ref="AF45" si="24">SUM(AF46:AF55)</f>
        <v>0</v>
      </c>
      <c r="AG45" s="268">
        <f t="shared" si="22"/>
        <v>0</v>
      </c>
      <c r="AH45" s="268">
        <f t="shared" si="22"/>
        <v>0</v>
      </c>
      <c r="AI45" s="268">
        <f t="shared" si="22"/>
        <v>126.96834918892804</v>
      </c>
      <c r="AJ45" s="268">
        <f t="shared" ref="AJ45" si="25">SUM(AJ46:AJ55)</f>
        <v>27.271252854767994</v>
      </c>
      <c r="AK45" s="271">
        <f t="shared" si="22"/>
        <v>0</v>
      </c>
      <c r="AL45" s="269">
        <f t="shared" ref="AL45" si="26">SUM(AL46:AL55)</f>
        <v>0</v>
      </c>
      <c r="AM45" s="268">
        <f t="shared" si="22"/>
        <v>0</v>
      </c>
      <c r="AN45" s="270">
        <f t="shared" si="22"/>
        <v>0</v>
      </c>
      <c r="AO45" s="270">
        <f t="shared" si="22"/>
        <v>5.3733816232262495</v>
      </c>
      <c r="AP45" s="273">
        <f t="shared" si="22"/>
        <v>0</v>
      </c>
      <c r="AQ45" s="275">
        <f t="shared" si="13"/>
        <v>5194.8403769384886</v>
      </c>
      <c r="AR45" s="7"/>
      <c r="AS45" s="10"/>
    </row>
    <row r="46" spans="1:45" ht="12.75" customHeight="1">
      <c r="A46" s="276" t="s">
        <v>136</v>
      </c>
      <c r="B46" s="152"/>
      <c r="C46" s="153">
        <f t="shared" ref="C46:C64" si="27">SUM(D46:G46)</f>
        <v>0</v>
      </c>
      <c r="D46" s="277"/>
      <c r="E46" s="204"/>
      <c r="F46" s="156"/>
      <c r="G46" s="156"/>
      <c r="H46" s="157">
        <f t="shared" ref="H46:H64" si="28">SUM(I46:K46)</f>
        <v>0</v>
      </c>
      <c r="I46" s="154"/>
      <c r="J46" s="158"/>
      <c r="K46" s="155"/>
      <c r="L46" s="157">
        <f t="shared" ref="L46:L64" si="29">SUM(M46:Z46)</f>
        <v>703.5908900281911</v>
      </c>
      <c r="M46" s="155"/>
      <c r="N46" s="155"/>
      <c r="O46" s="155"/>
      <c r="P46" s="155"/>
      <c r="Q46" s="155"/>
      <c r="R46" s="155"/>
      <c r="S46" s="155"/>
      <c r="T46" s="155"/>
      <c r="U46" s="155">
        <v>703.5908900281911</v>
      </c>
      <c r="V46" s="155"/>
      <c r="W46" s="156"/>
      <c r="X46" s="156"/>
      <c r="Y46" s="156"/>
      <c r="Z46" s="155"/>
      <c r="AA46" s="161">
        <v>2.9723185667999998E-2</v>
      </c>
      <c r="AB46" s="159">
        <f t="shared" ref="AB46:AB64" si="30">SUM(AC46:AM46)</f>
        <v>30.162309971808927</v>
      </c>
      <c r="AC46" s="160"/>
      <c r="AD46" s="155"/>
      <c r="AE46" s="155"/>
      <c r="AF46" s="155"/>
      <c r="AG46" s="155"/>
      <c r="AH46" s="155"/>
      <c r="AI46" s="155">
        <v>30.162309971808927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3"/>
        <v>733.78292318566798</v>
      </c>
    </row>
    <row r="47" spans="1:45" ht="12.75" customHeight="1">
      <c r="A47" s="246" t="s">
        <v>137</v>
      </c>
      <c r="B47" s="278"/>
      <c r="C47" s="102">
        <f t="shared" si="27"/>
        <v>0</v>
      </c>
      <c r="D47" s="279"/>
      <c r="E47" s="280"/>
      <c r="F47" s="254"/>
      <c r="G47" s="254"/>
      <c r="H47" s="106">
        <f t="shared" si="28"/>
        <v>0</v>
      </c>
      <c r="I47" s="252"/>
      <c r="J47" s="253"/>
      <c r="K47" s="163"/>
      <c r="L47" s="251">
        <f t="shared" si="29"/>
        <v>329.18377939153407</v>
      </c>
      <c r="M47" s="163"/>
      <c r="N47" s="163"/>
      <c r="O47" s="163"/>
      <c r="P47" s="163"/>
      <c r="Q47" s="163"/>
      <c r="R47" s="163"/>
      <c r="S47" s="163"/>
      <c r="T47" s="163"/>
      <c r="U47" s="163">
        <v>329.18377939153407</v>
      </c>
      <c r="V47" s="163"/>
      <c r="W47" s="254"/>
      <c r="X47" s="254"/>
      <c r="Y47" s="254"/>
      <c r="Z47" s="163"/>
      <c r="AA47" s="262"/>
      <c r="AB47" s="255">
        <f t="shared" si="30"/>
        <v>14.111813174984674</v>
      </c>
      <c r="AC47" s="256"/>
      <c r="AD47" s="163"/>
      <c r="AE47" s="163"/>
      <c r="AF47" s="163"/>
      <c r="AG47" s="163"/>
      <c r="AH47" s="163"/>
      <c r="AI47" s="163">
        <v>14.111813174984674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3"/>
        <v>343.29559256651874</v>
      </c>
    </row>
    <row r="48" spans="1:45" ht="12.75" customHeight="1">
      <c r="A48" s="257" t="s">
        <v>138</v>
      </c>
      <c r="B48" s="101"/>
      <c r="C48" s="102">
        <f t="shared" si="27"/>
        <v>0</v>
      </c>
      <c r="D48" s="103"/>
      <c r="E48" s="114"/>
      <c r="F48" s="105"/>
      <c r="G48" s="105"/>
      <c r="H48" s="106">
        <f t="shared" si="28"/>
        <v>0</v>
      </c>
      <c r="I48" s="107"/>
      <c r="J48" s="108"/>
      <c r="K48" s="109"/>
      <c r="L48" s="106">
        <f t="shared" si="29"/>
        <v>1988.8117004276846</v>
      </c>
      <c r="M48" s="109"/>
      <c r="N48" s="109"/>
      <c r="O48" s="109"/>
      <c r="P48" s="109">
        <v>674.58043053629058</v>
      </c>
      <c r="Q48" s="109"/>
      <c r="R48" s="109"/>
      <c r="S48" s="109"/>
      <c r="T48" s="109">
        <v>1.8520724281984335</v>
      </c>
      <c r="U48" s="109">
        <v>1312.3791974631956</v>
      </c>
      <c r="V48" s="109"/>
      <c r="W48" s="105"/>
      <c r="X48" s="105"/>
      <c r="Y48" s="105"/>
      <c r="Z48" s="109"/>
      <c r="AA48" s="112"/>
      <c r="AB48" s="110">
        <f t="shared" si="30"/>
        <v>78.598025526444061</v>
      </c>
      <c r="AC48" s="111"/>
      <c r="AD48" s="109"/>
      <c r="AE48" s="109"/>
      <c r="AF48" s="109"/>
      <c r="AG48" s="109"/>
      <c r="AH48" s="109"/>
      <c r="AI48" s="109">
        <v>56.260518314631256</v>
      </c>
      <c r="AJ48" s="109">
        <v>22.33750721181281</v>
      </c>
      <c r="AK48" s="107"/>
      <c r="AL48" s="105"/>
      <c r="AM48" s="109"/>
      <c r="AN48" s="106"/>
      <c r="AO48" s="112">
        <v>1.0652907432262495</v>
      </c>
      <c r="AP48" s="110"/>
      <c r="AQ48" s="113">
        <f t="shared" si="13"/>
        <v>2068.4750166973549</v>
      </c>
    </row>
    <row r="49" spans="1:45" ht="12.75" customHeight="1">
      <c r="A49" s="257" t="s">
        <v>139</v>
      </c>
      <c r="B49" s="101"/>
      <c r="C49" s="102">
        <f t="shared" si="27"/>
        <v>0</v>
      </c>
      <c r="D49" s="103"/>
      <c r="E49" s="114"/>
      <c r="F49" s="105"/>
      <c r="G49" s="105"/>
      <c r="H49" s="106">
        <f t="shared" si="28"/>
        <v>0</v>
      </c>
      <c r="I49" s="107"/>
      <c r="J49" s="108"/>
      <c r="K49" s="109"/>
      <c r="L49" s="106">
        <f t="shared" si="29"/>
        <v>132.19128758585111</v>
      </c>
      <c r="M49" s="109"/>
      <c r="N49" s="109"/>
      <c r="O49" s="109"/>
      <c r="P49" s="109">
        <v>6.5053363986760129</v>
      </c>
      <c r="Q49" s="109"/>
      <c r="R49" s="109"/>
      <c r="S49" s="109"/>
      <c r="T49" s="109"/>
      <c r="U49" s="109">
        <v>125.68595118717511</v>
      </c>
      <c r="V49" s="109"/>
      <c r="W49" s="105"/>
      <c r="X49" s="105"/>
      <c r="Y49" s="105"/>
      <c r="Z49" s="109"/>
      <c r="AA49" s="112"/>
      <c r="AB49" s="110">
        <f t="shared" si="30"/>
        <v>5.6034563359273175</v>
      </c>
      <c r="AC49" s="111"/>
      <c r="AD49" s="109"/>
      <c r="AE49" s="109"/>
      <c r="AF49" s="109"/>
      <c r="AG49" s="109"/>
      <c r="AH49" s="109"/>
      <c r="AI49" s="109">
        <v>5.3880439223102039</v>
      </c>
      <c r="AJ49" s="109">
        <v>0.21541241361711327</v>
      </c>
      <c r="AK49" s="107"/>
      <c r="AL49" s="105"/>
      <c r="AM49" s="109"/>
      <c r="AN49" s="106"/>
      <c r="AO49" s="112"/>
      <c r="AP49" s="110"/>
      <c r="AQ49" s="113">
        <f t="shared" si="13"/>
        <v>137.79474392177843</v>
      </c>
    </row>
    <row r="50" spans="1:45" ht="12.75" customHeight="1">
      <c r="A50" s="257" t="s">
        <v>140</v>
      </c>
      <c r="B50" s="101"/>
      <c r="C50" s="102">
        <f t="shared" si="27"/>
        <v>0</v>
      </c>
      <c r="D50" s="103"/>
      <c r="E50" s="114"/>
      <c r="F50" s="105"/>
      <c r="G50" s="105"/>
      <c r="H50" s="106">
        <f t="shared" si="28"/>
        <v>0</v>
      </c>
      <c r="I50" s="107"/>
      <c r="J50" s="108"/>
      <c r="K50" s="109"/>
      <c r="L50" s="106">
        <f t="shared" si="29"/>
        <v>38.043221783939138</v>
      </c>
      <c r="M50" s="109"/>
      <c r="N50" s="109"/>
      <c r="O50" s="109"/>
      <c r="P50" s="109"/>
      <c r="Q50" s="109"/>
      <c r="R50" s="281"/>
      <c r="S50" s="109"/>
      <c r="T50" s="109"/>
      <c r="U50" s="109">
        <v>38.043221783939138</v>
      </c>
      <c r="V50" s="109"/>
      <c r="W50" s="105"/>
      <c r="X50" s="105"/>
      <c r="Y50" s="105"/>
      <c r="Z50" s="109"/>
      <c r="AA50" s="112"/>
      <c r="AB50" s="110">
        <f t="shared" si="30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4.30809088</v>
      </c>
      <c r="AP50" s="110"/>
      <c r="AQ50" s="113">
        <f t="shared" si="13"/>
        <v>42.35131266393914</v>
      </c>
    </row>
    <row r="51" spans="1:45" ht="12.75" customHeight="1">
      <c r="A51" s="257" t="s">
        <v>141</v>
      </c>
      <c r="B51" s="101"/>
      <c r="C51" s="102">
        <f t="shared" si="27"/>
        <v>0</v>
      </c>
      <c r="D51" s="103"/>
      <c r="E51" s="114"/>
      <c r="F51" s="105"/>
      <c r="G51" s="105"/>
      <c r="H51" s="106">
        <f t="shared" si="28"/>
        <v>0</v>
      </c>
      <c r="I51" s="107"/>
      <c r="J51" s="108"/>
      <c r="K51" s="109"/>
      <c r="L51" s="106">
        <f t="shared" si="29"/>
        <v>5.5768892778871395</v>
      </c>
      <c r="M51" s="109"/>
      <c r="N51" s="109"/>
      <c r="O51" s="109"/>
      <c r="P51" s="109">
        <v>0.66818888888888883</v>
      </c>
      <c r="Q51" s="109"/>
      <c r="R51" s="109">
        <v>4.908700388998251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30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3"/>
        <v>5.5768892778871395</v>
      </c>
    </row>
    <row r="52" spans="1:45" ht="12.75" customHeight="1">
      <c r="A52" s="257" t="s">
        <v>142</v>
      </c>
      <c r="B52" s="261"/>
      <c r="C52" s="282">
        <f t="shared" si="27"/>
        <v>0</v>
      </c>
      <c r="D52" s="281"/>
      <c r="E52" s="281"/>
      <c r="F52" s="283"/>
      <c r="G52" s="283"/>
      <c r="H52" s="284">
        <f t="shared" si="28"/>
        <v>0</v>
      </c>
      <c r="I52" s="285"/>
      <c r="J52" s="286"/>
      <c r="K52" s="281"/>
      <c r="L52" s="284">
        <f t="shared" si="29"/>
        <v>1097.9355056907616</v>
      </c>
      <c r="M52" s="281"/>
      <c r="N52" s="281"/>
      <c r="O52" s="281"/>
      <c r="P52" s="163"/>
      <c r="Q52" s="281"/>
      <c r="R52" s="281">
        <v>1097.9355056907616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30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3"/>
        <v>1097.9355056907616</v>
      </c>
    </row>
    <row r="53" spans="1:45" ht="12.75" customHeight="1">
      <c r="A53" s="257" t="s">
        <v>143</v>
      </c>
      <c r="B53" s="261"/>
      <c r="C53" s="282">
        <f t="shared" si="27"/>
        <v>0</v>
      </c>
      <c r="D53" s="285"/>
      <c r="E53" s="281"/>
      <c r="F53" s="283"/>
      <c r="G53" s="283"/>
      <c r="H53" s="284">
        <f t="shared" si="28"/>
        <v>0</v>
      </c>
      <c r="I53" s="285"/>
      <c r="J53" s="286"/>
      <c r="K53" s="281"/>
      <c r="L53" s="284">
        <f t="shared" si="29"/>
        <v>176.59351048332516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176.59351048332516</v>
      </c>
      <c r="V53" s="281"/>
      <c r="W53" s="283"/>
      <c r="X53" s="283"/>
      <c r="Y53" s="283"/>
      <c r="Z53" s="281"/>
      <c r="AA53" s="262"/>
      <c r="AB53" s="287">
        <f t="shared" si="30"/>
        <v>7.570405299014781</v>
      </c>
      <c r="AC53" s="288"/>
      <c r="AD53" s="281"/>
      <c r="AE53" s="281"/>
      <c r="AF53" s="281"/>
      <c r="AG53" s="281"/>
      <c r="AH53" s="281"/>
      <c r="AI53" s="109">
        <v>7.570405299014781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3"/>
        <v>184.16391578233996</v>
      </c>
    </row>
    <row r="54" spans="1:45" ht="12.75" customHeight="1">
      <c r="A54" s="100" t="s">
        <v>144</v>
      </c>
      <c r="B54" s="101"/>
      <c r="C54" s="282">
        <f t="shared" si="27"/>
        <v>0</v>
      </c>
      <c r="D54" s="285"/>
      <c r="E54" s="281"/>
      <c r="F54" s="283"/>
      <c r="G54" s="283"/>
      <c r="H54" s="284">
        <f t="shared" si="28"/>
        <v>0</v>
      </c>
      <c r="I54" s="285"/>
      <c r="J54" s="286"/>
      <c r="K54" s="281"/>
      <c r="L54" s="284">
        <f t="shared" si="29"/>
        <v>83.913724293678101</v>
      </c>
      <c r="M54" s="281"/>
      <c r="N54" s="281"/>
      <c r="O54" s="281"/>
      <c r="P54" s="281"/>
      <c r="Q54" s="281"/>
      <c r="R54" s="281"/>
      <c r="S54" s="281"/>
      <c r="T54" s="281"/>
      <c r="U54" s="281">
        <v>83.913724293678101</v>
      </c>
      <c r="V54" s="281"/>
      <c r="W54" s="283"/>
      <c r="X54" s="283"/>
      <c r="Y54" s="283"/>
      <c r="Z54" s="281"/>
      <c r="AA54" s="214"/>
      <c r="AB54" s="287">
        <f t="shared" si="30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3"/>
        <v>83.913724293678101</v>
      </c>
    </row>
    <row r="55" spans="1:45" ht="12.75" customHeight="1">
      <c r="A55" s="164" t="s">
        <v>145</v>
      </c>
      <c r="B55" s="165"/>
      <c r="C55" s="166">
        <f t="shared" si="27"/>
        <v>0</v>
      </c>
      <c r="D55" s="290"/>
      <c r="E55" s="291"/>
      <c r="F55" s="169"/>
      <c r="G55" s="169"/>
      <c r="H55" s="170">
        <f t="shared" si="28"/>
        <v>0</v>
      </c>
      <c r="I55" s="167"/>
      <c r="J55" s="171"/>
      <c r="K55" s="168"/>
      <c r="L55" s="170">
        <f t="shared" si="29"/>
        <v>456.8260488931312</v>
      </c>
      <c r="M55" s="168"/>
      <c r="N55" s="168"/>
      <c r="O55" s="168"/>
      <c r="P55" s="168">
        <v>142.49106809811542</v>
      </c>
      <c r="Q55" s="168"/>
      <c r="R55" s="168"/>
      <c r="S55" s="168">
        <v>0</v>
      </c>
      <c r="T55" s="168"/>
      <c r="U55" s="168">
        <v>314.33498079501578</v>
      </c>
      <c r="V55" s="168"/>
      <c r="W55" s="169"/>
      <c r="X55" s="169"/>
      <c r="Y55" s="169"/>
      <c r="Z55" s="168"/>
      <c r="AA55" s="174">
        <v>22.531112229915806</v>
      </c>
      <c r="AB55" s="172">
        <f t="shared" si="30"/>
        <v>18.193591735516275</v>
      </c>
      <c r="AC55" s="173"/>
      <c r="AD55" s="168"/>
      <c r="AE55" s="168"/>
      <c r="AF55" s="168"/>
      <c r="AG55" s="168"/>
      <c r="AH55" s="168"/>
      <c r="AI55" s="168">
        <v>13.475258506178202</v>
      </c>
      <c r="AJ55" s="168">
        <v>4.7183332293380724</v>
      </c>
      <c r="AK55" s="167"/>
      <c r="AL55" s="169"/>
      <c r="AM55" s="168"/>
      <c r="AN55" s="170"/>
      <c r="AO55" s="174"/>
      <c r="AP55" s="172"/>
      <c r="AQ55" s="175">
        <f t="shared" si="13"/>
        <v>497.55075285856333</v>
      </c>
    </row>
    <row r="56" spans="1:45" s="11" customFormat="1" ht="12.75" customHeight="1">
      <c r="A56" s="292" t="s">
        <v>146</v>
      </c>
      <c r="B56" s="293"/>
      <c r="C56" s="294">
        <f t="shared" si="27"/>
        <v>216.79218330365393</v>
      </c>
      <c r="D56" s="295">
        <v>115.30751795563631</v>
      </c>
      <c r="E56" s="104">
        <v>89.647280058277374</v>
      </c>
      <c r="F56" s="296"/>
      <c r="G56" s="296">
        <v>11.837385289740231</v>
      </c>
      <c r="H56" s="297">
        <f t="shared" si="28"/>
        <v>196.53880633</v>
      </c>
      <c r="I56" s="295"/>
      <c r="J56" s="298">
        <v>127.70399999999999</v>
      </c>
      <c r="K56" s="186">
        <v>68.834806329999992</v>
      </c>
      <c r="L56" s="297">
        <f t="shared" si="29"/>
        <v>1254.8255059886615</v>
      </c>
      <c r="M56" s="186"/>
      <c r="N56" s="186"/>
      <c r="O56" s="186"/>
      <c r="P56" s="186">
        <v>0</v>
      </c>
      <c r="Q56" s="186">
        <v>865.67110107427072</v>
      </c>
      <c r="R56" s="186"/>
      <c r="S56" s="186">
        <v>0</v>
      </c>
      <c r="T56" s="186">
        <v>53.841522983216713</v>
      </c>
      <c r="U56" s="186">
        <v>329.909010207883</v>
      </c>
      <c r="V56" s="186">
        <v>5.4038717232911377</v>
      </c>
      <c r="W56" s="296"/>
      <c r="X56" s="296"/>
      <c r="Y56" s="296"/>
      <c r="Z56" s="186"/>
      <c r="AA56" s="297">
        <v>604.09375845912712</v>
      </c>
      <c r="AB56" s="299">
        <f t="shared" si="30"/>
        <v>71.026669556951646</v>
      </c>
      <c r="AC56" s="300"/>
      <c r="AD56" s="186"/>
      <c r="AE56" s="186">
        <v>29.776082158378955</v>
      </c>
      <c r="AF56" s="186"/>
      <c r="AG56" s="186"/>
      <c r="AH56" s="186"/>
      <c r="AI56" s="186"/>
      <c r="AJ56" s="186"/>
      <c r="AK56" s="295"/>
      <c r="AL56" s="296">
        <v>13.379590942008413</v>
      </c>
      <c r="AM56" s="186">
        <v>27.870996456564281</v>
      </c>
      <c r="AN56" s="297"/>
      <c r="AO56" s="297">
        <v>702.94473599999992</v>
      </c>
      <c r="AP56" s="299"/>
      <c r="AQ56" s="187">
        <f t="shared" si="13"/>
        <v>3046.2216596383942</v>
      </c>
      <c r="AR56" s="7"/>
      <c r="AS56" s="16"/>
    </row>
    <row r="57" spans="1:45" s="11" customFormat="1" ht="12.75" customHeight="1">
      <c r="A57" s="292" t="s">
        <v>271</v>
      </c>
      <c r="B57" s="293"/>
      <c r="C57" s="294">
        <f>C58+C65</f>
        <v>0.51992180451127823</v>
      </c>
      <c r="D57" s="186">
        <f t="shared" ref="D57:AP57" si="31">D58+D65</f>
        <v>0.51992180451127823</v>
      </c>
      <c r="E57" s="186">
        <f t="shared" si="31"/>
        <v>0</v>
      </c>
      <c r="F57" s="296">
        <f t="shared" si="31"/>
        <v>0</v>
      </c>
      <c r="G57" s="296">
        <f t="shared" si="31"/>
        <v>0</v>
      </c>
      <c r="H57" s="297">
        <f t="shared" si="31"/>
        <v>0</v>
      </c>
      <c r="I57" s="295">
        <f t="shared" si="31"/>
        <v>0</v>
      </c>
      <c r="J57" s="295">
        <f t="shared" si="31"/>
        <v>0</v>
      </c>
      <c r="K57" s="295">
        <f t="shared" si="31"/>
        <v>0</v>
      </c>
      <c r="L57" s="297">
        <f t="shared" si="31"/>
        <v>240.86725727408077</v>
      </c>
      <c r="M57" s="186">
        <f t="shared" si="31"/>
        <v>0</v>
      </c>
      <c r="N57" s="186">
        <f t="shared" si="31"/>
        <v>0</v>
      </c>
      <c r="O57" s="186">
        <f t="shared" si="31"/>
        <v>0</v>
      </c>
      <c r="P57" s="186">
        <f t="shared" si="31"/>
        <v>0</v>
      </c>
      <c r="Q57" s="186">
        <f t="shared" si="31"/>
        <v>62.827000000000005</v>
      </c>
      <c r="R57" s="186">
        <f t="shared" si="31"/>
        <v>0</v>
      </c>
      <c r="S57" s="186">
        <f t="shared" si="31"/>
        <v>0.64284746861564912</v>
      </c>
      <c r="T57" s="186">
        <f t="shared" si="31"/>
        <v>70.524409805465098</v>
      </c>
      <c r="U57" s="186">
        <f t="shared" si="31"/>
        <v>106.87300000000002</v>
      </c>
      <c r="V57" s="186">
        <f t="shared" si="31"/>
        <v>0</v>
      </c>
      <c r="W57" s="296">
        <f t="shared" si="31"/>
        <v>0</v>
      </c>
      <c r="X57" s="296">
        <f t="shared" si="31"/>
        <v>0</v>
      </c>
      <c r="Y57" s="296">
        <f t="shared" si="31"/>
        <v>0</v>
      </c>
      <c r="Z57" s="295">
        <f t="shared" si="31"/>
        <v>0</v>
      </c>
      <c r="AA57" s="297">
        <f t="shared" si="31"/>
        <v>328.6198962047896</v>
      </c>
      <c r="AB57" s="299">
        <f t="shared" si="31"/>
        <v>39.433814247868156</v>
      </c>
      <c r="AC57" s="300">
        <f t="shared" si="31"/>
        <v>0</v>
      </c>
      <c r="AD57" s="186">
        <f t="shared" si="31"/>
        <v>0</v>
      </c>
      <c r="AE57" s="186">
        <f t="shared" si="31"/>
        <v>17.99312324724</v>
      </c>
      <c r="AF57" s="186">
        <f t="shared" si="31"/>
        <v>0</v>
      </c>
      <c r="AG57" s="186">
        <f t="shared" si="31"/>
        <v>0</v>
      </c>
      <c r="AH57" s="186">
        <f t="shared" si="31"/>
        <v>5.621744734795584</v>
      </c>
      <c r="AI57" s="186">
        <f t="shared" si="31"/>
        <v>0</v>
      </c>
      <c r="AJ57" s="186">
        <f t="shared" si="31"/>
        <v>0</v>
      </c>
      <c r="AK57" s="186">
        <f t="shared" si="31"/>
        <v>0</v>
      </c>
      <c r="AL57" s="186">
        <f t="shared" si="31"/>
        <v>0.16649466165720572</v>
      </c>
      <c r="AM57" s="295">
        <f t="shared" si="31"/>
        <v>15.65245160417537</v>
      </c>
      <c r="AN57" s="297">
        <f t="shared" si="31"/>
        <v>0</v>
      </c>
      <c r="AO57" s="297">
        <f t="shared" si="31"/>
        <v>1078.743765043014</v>
      </c>
      <c r="AP57" s="299">
        <f t="shared" si="31"/>
        <v>0</v>
      </c>
      <c r="AQ57" s="301">
        <f t="shared" si="13"/>
        <v>1688.184654574264</v>
      </c>
      <c r="AR57" s="7"/>
      <c r="AS57" s="16"/>
    </row>
    <row r="58" spans="1:45" ht="12.75" customHeight="1">
      <c r="A58" s="292" t="s">
        <v>272</v>
      </c>
      <c r="B58" s="293"/>
      <c r="C58" s="294">
        <f t="shared" si="27"/>
        <v>0.5149225563909775</v>
      </c>
      <c r="D58" s="300">
        <v>0.5149225563909775</v>
      </c>
      <c r="E58" s="299">
        <v>0</v>
      </c>
      <c r="F58" s="299">
        <f>SUM(F59:F64)</f>
        <v>0</v>
      </c>
      <c r="G58" s="302">
        <v>0</v>
      </c>
      <c r="H58" s="297">
        <f t="shared" si="28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9"/>
        <v>109.16310972047087</v>
      </c>
      <c r="M58" s="186">
        <f t="shared" ref="M58:AN58" si="32">SUM(M59:M64)</f>
        <v>0</v>
      </c>
      <c r="N58" s="296">
        <f t="shared" si="32"/>
        <v>0</v>
      </c>
      <c r="O58" s="296">
        <f t="shared" si="32"/>
        <v>0</v>
      </c>
      <c r="P58" s="299">
        <f t="shared" si="32"/>
        <v>0</v>
      </c>
      <c r="Q58" s="299">
        <v>15.841000000000001</v>
      </c>
      <c r="R58" s="299">
        <f t="shared" si="32"/>
        <v>0</v>
      </c>
      <c r="S58" s="299">
        <v>0</v>
      </c>
      <c r="T58" s="299">
        <v>41.074109720470858</v>
      </c>
      <c r="U58" s="299">
        <v>52.248000000000012</v>
      </c>
      <c r="V58" s="299">
        <f t="shared" si="32"/>
        <v>0</v>
      </c>
      <c r="W58" s="299">
        <f t="shared" si="32"/>
        <v>0</v>
      </c>
      <c r="X58" s="299">
        <f t="shared" si="32"/>
        <v>0</v>
      </c>
      <c r="Y58" s="296">
        <f t="shared" si="32"/>
        <v>0</v>
      </c>
      <c r="Z58" s="295">
        <f t="shared" si="32"/>
        <v>0</v>
      </c>
      <c r="AA58" s="297">
        <v>206.51565457653467</v>
      </c>
      <c r="AB58" s="299">
        <f t="shared" si="30"/>
        <v>20.523795887314584</v>
      </c>
      <c r="AC58" s="300">
        <f t="shared" si="32"/>
        <v>0</v>
      </c>
      <c r="AD58" s="186">
        <f t="shared" si="32"/>
        <v>0</v>
      </c>
      <c r="AE58" s="186">
        <f t="shared" si="32"/>
        <v>3.9004188670820072</v>
      </c>
      <c r="AF58" s="186"/>
      <c r="AG58" s="186">
        <f t="shared" si="32"/>
        <v>0</v>
      </c>
      <c r="AH58" s="186">
        <f t="shared" si="32"/>
        <v>0.80443075440000011</v>
      </c>
      <c r="AI58" s="186">
        <f t="shared" si="32"/>
        <v>0</v>
      </c>
      <c r="AJ58" s="186">
        <f t="shared" si="32"/>
        <v>0</v>
      </c>
      <c r="AK58" s="186"/>
      <c r="AL58" s="186">
        <v>0.16649466165720572</v>
      </c>
      <c r="AM58" s="296">
        <v>15.65245160417537</v>
      </c>
      <c r="AN58" s="297">
        <f t="shared" si="32"/>
        <v>0</v>
      </c>
      <c r="AO58" s="297">
        <v>828.90452168344279</v>
      </c>
      <c r="AP58" s="299">
        <f t="shared" ref="AP58" si="33">SUM(AP59:AP64)</f>
        <v>0</v>
      </c>
      <c r="AQ58" s="301">
        <f t="shared" si="13"/>
        <v>1165.6220044241538</v>
      </c>
      <c r="AS58" s="17"/>
    </row>
    <row r="59" spans="1:45" ht="12.75" customHeight="1">
      <c r="A59" s="100" t="s">
        <v>273</v>
      </c>
      <c r="B59" s="304" t="s">
        <v>274</v>
      </c>
      <c r="C59" s="153">
        <f t="shared" si="27"/>
        <v>3.9993984962406011E-3</v>
      </c>
      <c r="D59" s="111">
        <v>3.9993984962406011E-3</v>
      </c>
      <c r="E59" s="159"/>
      <c r="F59" s="159"/>
      <c r="G59" s="202"/>
      <c r="H59" s="157">
        <f t="shared" si="28"/>
        <v>0</v>
      </c>
      <c r="I59" s="277"/>
      <c r="J59" s="305"/>
      <c r="K59" s="277"/>
      <c r="L59" s="157">
        <f t="shared" si="29"/>
        <v>29.110393287676398</v>
      </c>
      <c r="M59" s="204"/>
      <c r="N59" s="306"/>
      <c r="O59" s="306"/>
      <c r="P59" s="159"/>
      <c r="Q59" s="259">
        <v>6.548</v>
      </c>
      <c r="R59" s="159"/>
      <c r="S59" s="259">
        <v>0</v>
      </c>
      <c r="T59" s="259">
        <v>11.487393287676401</v>
      </c>
      <c r="U59" s="259">
        <v>11.074999999999999</v>
      </c>
      <c r="V59" s="259">
        <v>0</v>
      </c>
      <c r="W59" s="159"/>
      <c r="X59" s="159"/>
      <c r="Y59" s="306"/>
      <c r="Z59" s="277"/>
      <c r="AA59" s="112">
        <v>52.670839129321678</v>
      </c>
      <c r="AB59" s="159">
        <f t="shared" si="30"/>
        <v>1.2953271877604666</v>
      </c>
      <c r="AC59" s="307"/>
      <c r="AD59" s="204"/>
      <c r="AE59" s="155">
        <v>1.2953271877604666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225.7085564993871</v>
      </c>
      <c r="AP59" s="159"/>
      <c r="AQ59" s="188">
        <f t="shared" si="13"/>
        <v>308.78911550264189</v>
      </c>
      <c r="AS59" s="17"/>
    </row>
    <row r="60" spans="1:45" ht="12.75" customHeight="1">
      <c r="A60" s="100" t="s">
        <v>275</v>
      </c>
      <c r="B60" s="304" t="s">
        <v>276</v>
      </c>
      <c r="C60" s="102">
        <f t="shared" si="27"/>
        <v>8.9986466165413535E-3</v>
      </c>
      <c r="D60" s="111">
        <v>8.9986466165413535E-3</v>
      </c>
      <c r="E60" s="110"/>
      <c r="F60" s="110"/>
      <c r="G60" s="308"/>
      <c r="H60" s="106">
        <f t="shared" si="28"/>
        <v>0</v>
      </c>
      <c r="I60" s="103"/>
      <c r="J60" s="309"/>
      <c r="K60" s="103"/>
      <c r="L60" s="106">
        <f t="shared" si="29"/>
        <v>24.503931093823979</v>
      </c>
      <c r="M60" s="114"/>
      <c r="N60" s="104"/>
      <c r="O60" s="104"/>
      <c r="P60" s="110"/>
      <c r="Q60" s="259">
        <v>1.2709999999999999</v>
      </c>
      <c r="R60" s="110"/>
      <c r="S60" s="259">
        <v>0</v>
      </c>
      <c r="T60" s="259">
        <v>1.9979310938239756</v>
      </c>
      <c r="U60" s="259">
        <v>21.235000000000003</v>
      </c>
      <c r="V60" s="259">
        <v>0</v>
      </c>
      <c r="W60" s="110"/>
      <c r="X60" s="110"/>
      <c r="Y60" s="104"/>
      <c r="Z60" s="103"/>
      <c r="AA60" s="112">
        <v>23.743479725066276</v>
      </c>
      <c r="AB60" s="110">
        <f t="shared" si="30"/>
        <v>1.138556689715082E-2</v>
      </c>
      <c r="AC60" s="310"/>
      <c r="AD60" s="114"/>
      <c r="AE60" s="109">
        <v>1.138556689715082E-2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81.932675558202874</v>
      </c>
      <c r="AP60" s="110"/>
      <c r="AQ60" s="113">
        <f t="shared" si="13"/>
        <v>130.20047059060681</v>
      </c>
      <c r="AS60" s="17"/>
    </row>
    <row r="61" spans="1:45" ht="12.75" customHeight="1">
      <c r="A61" s="100" t="s">
        <v>277</v>
      </c>
      <c r="B61" s="304" t="s">
        <v>278</v>
      </c>
      <c r="C61" s="102">
        <f t="shared" si="27"/>
        <v>0.42993533834586467</v>
      </c>
      <c r="D61" s="111">
        <v>0.42993533834586467</v>
      </c>
      <c r="E61" s="110"/>
      <c r="F61" s="110"/>
      <c r="G61" s="308"/>
      <c r="H61" s="106">
        <f t="shared" si="28"/>
        <v>0</v>
      </c>
      <c r="I61" s="103"/>
      <c r="J61" s="309"/>
      <c r="K61" s="103"/>
      <c r="L61" s="106">
        <f t="shared" si="29"/>
        <v>27.815960601382685</v>
      </c>
      <c r="M61" s="114"/>
      <c r="N61" s="104"/>
      <c r="O61" s="104"/>
      <c r="P61" s="110"/>
      <c r="Q61" s="259">
        <v>3.399</v>
      </c>
      <c r="R61" s="110"/>
      <c r="S61" s="259">
        <v>0</v>
      </c>
      <c r="T61" s="259">
        <v>19.454960601382684</v>
      </c>
      <c r="U61" s="259">
        <v>4.9619999999999997</v>
      </c>
      <c r="V61" s="259">
        <v>0</v>
      </c>
      <c r="W61" s="110"/>
      <c r="X61" s="110"/>
      <c r="Y61" s="104"/>
      <c r="Z61" s="103"/>
      <c r="AA61" s="112">
        <v>30.235657033103141</v>
      </c>
      <c r="AB61" s="110">
        <f t="shared" si="30"/>
        <v>0.86179983283049288</v>
      </c>
      <c r="AC61" s="310"/>
      <c r="AD61" s="114"/>
      <c r="AE61" s="109">
        <v>0.86179983283049288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126.36748353090987</v>
      </c>
      <c r="AP61" s="110"/>
      <c r="AQ61" s="113">
        <f t="shared" si="13"/>
        <v>185.71083633657204</v>
      </c>
      <c r="AS61" s="17"/>
    </row>
    <row r="62" spans="1:45" ht="12.75" customHeight="1">
      <c r="A62" s="100" t="s">
        <v>279</v>
      </c>
      <c r="B62" s="304" t="s">
        <v>280</v>
      </c>
      <c r="C62" s="102">
        <f t="shared" si="27"/>
        <v>6.9989473684210534E-3</v>
      </c>
      <c r="D62" s="111">
        <v>6.9989473684210534E-3</v>
      </c>
      <c r="E62" s="110"/>
      <c r="F62" s="110"/>
      <c r="G62" s="308"/>
      <c r="H62" s="106">
        <f t="shared" si="28"/>
        <v>0</v>
      </c>
      <c r="I62" s="103"/>
      <c r="J62" s="309"/>
      <c r="K62" s="103"/>
      <c r="L62" s="106">
        <f t="shared" si="29"/>
        <v>2.6967648223282072</v>
      </c>
      <c r="M62" s="114"/>
      <c r="N62" s="104"/>
      <c r="O62" s="104"/>
      <c r="P62" s="110"/>
      <c r="Q62" s="259">
        <v>0.36299999999999999</v>
      </c>
      <c r="R62" s="110"/>
      <c r="S62" s="259">
        <v>0</v>
      </c>
      <c r="T62" s="259">
        <v>0.71476482232820748</v>
      </c>
      <c r="U62" s="259">
        <v>1.619</v>
      </c>
      <c r="V62" s="259">
        <v>0</v>
      </c>
      <c r="W62" s="110"/>
      <c r="X62" s="110"/>
      <c r="Y62" s="104"/>
      <c r="Z62" s="103"/>
      <c r="AA62" s="112">
        <v>12.942534033472208</v>
      </c>
      <c r="AB62" s="110">
        <f t="shared" si="30"/>
        <v>4.6418080426845656E-2</v>
      </c>
      <c r="AC62" s="310"/>
      <c r="AD62" s="114"/>
      <c r="AE62" s="109">
        <v>4.6418080426845656E-2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234.42875082725587</v>
      </c>
      <c r="AP62" s="110"/>
      <c r="AQ62" s="113">
        <f t="shared" si="13"/>
        <v>250.12146671085156</v>
      </c>
      <c r="AS62" s="17"/>
    </row>
    <row r="63" spans="1:45" ht="12.75" customHeight="1">
      <c r="A63" s="100" t="s">
        <v>281</v>
      </c>
      <c r="B63" s="304" t="s">
        <v>282</v>
      </c>
      <c r="C63" s="102">
        <f t="shared" si="27"/>
        <v>5.799127819548873E-2</v>
      </c>
      <c r="D63" s="288">
        <v>5.799127819548873E-2</v>
      </c>
      <c r="E63" s="110"/>
      <c r="F63" s="110"/>
      <c r="G63" s="308"/>
      <c r="H63" s="106">
        <f t="shared" si="28"/>
        <v>0</v>
      </c>
      <c r="I63" s="103"/>
      <c r="J63" s="309"/>
      <c r="K63" s="103"/>
      <c r="L63" s="106">
        <f t="shared" si="29"/>
        <v>3.8680994311273493</v>
      </c>
      <c r="M63" s="114"/>
      <c r="N63" s="104"/>
      <c r="O63" s="104"/>
      <c r="P63" s="110"/>
      <c r="Q63" s="311">
        <v>0.68400000000000005</v>
      </c>
      <c r="R63" s="110"/>
      <c r="S63" s="311">
        <v>0</v>
      </c>
      <c r="T63" s="311">
        <v>0.16909943112734929</v>
      </c>
      <c r="U63" s="311">
        <v>3.0150000000000001</v>
      </c>
      <c r="V63" s="311">
        <v>0</v>
      </c>
      <c r="W63" s="110"/>
      <c r="X63" s="110"/>
      <c r="Y63" s="104"/>
      <c r="Z63" s="103"/>
      <c r="AA63" s="312">
        <v>11.636733155824563</v>
      </c>
      <c r="AB63" s="110">
        <f t="shared" si="30"/>
        <v>0.34769769678222129</v>
      </c>
      <c r="AC63" s="310"/>
      <c r="AD63" s="114"/>
      <c r="AE63" s="109">
        <v>0.34769769678222129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42.659809837330151</v>
      </c>
      <c r="AP63" s="110"/>
      <c r="AQ63" s="113">
        <f t="shared" si="13"/>
        <v>58.570331399259771</v>
      </c>
      <c r="AS63" s="17"/>
    </row>
    <row r="64" spans="1:45" ht="12.75" customHeight="1">
      <c r="A64" s="164" t="s">
        <v>283</v>
      </c>
      <c r="B64" s="313"/>
      <c r="C64" s="166">
        <f t="shared" si="27"/>
        <v>6.9989473684210534E-3</v>
      </c>
      <c r="D64" s="288">
        <v>6.9989473684210534E-3</v>
      </c>
      <c r="E64" s="172"/>
      <c r="F64" s="172"/>
      <c r="G64" s="314"/>
      <c r="H64" s="170">
        <f t="shared" si="28"/>
        <v>0</v>
      </c>
      <c r="I64" s="290"/>
      <c r="J64" s="315"/>
      <c r="K64" s="290"/>
      <c r="L64" s="170">
        <f t="shared" si="29"/>
        <v>21.167960484132237</v>
      </c>
      <c r="M64" s="291"/>
      <c r="N64" s="316"/>
      <c r="O64" s="316"/>
      <c r="P64" s="172"/>
      <c r="Q64" s="311">
        <v>3.5760000000000001</v>
      </c>
      <c r="R64" s="172"/>
      <c r="S64" s="311">
        <v>0</v>
      </c>
      <c r="T64" s="311">
        <v>7.2499604841322363</v>
      </c>
      <c r="U64" s="311">
        <v>10.342000000000001</v>
      </c>
      <c r="V64" s="311">
        <v>0</v>
      </c>
      <c r="W64" s="172"/>
      <c r="X64" s="172"/>
      <c r="Y64" s="316"/>
      <c r="Z64" s="290"/>
      <c r="AA64" s="312">
        <v>75.286411499746805</v>
      </c>
      <c r="AB64" s="172">
        <f t="shared" si="30"/>
        <v>17.961167522617405</v>
      </c>
      <c r="AC64" s="317"/>
      <c r="AD64" s="291"/>
      <c r="AE64" s="168">
        <v>1.3377905023848295</v>
      </c>
      <c r="AF64" s="168"/>
      <c r="AG64" s="168"/>
      <c r="AH64" s="168">
        <v>0.80443075440000011</v>
      </c>
      <c r="AI64" s="168"/>
      <c r="AJ64" s="168"/>
      <c r="AK64" s="168"/>
      <c r="AL64" s="168">
        <v>0.16649466165720572</v>
      </c>
      <c r="AM64" s="169">
        <v>15.65245160417537</v>
      </c>
      <c r="AN64" s="170"/>
      <c r="AO64" s="312">
        <v>117.80724543035701</v>
      </c>
      <c r="AP64" s="172"/>
      <c r="AQ64" s="175">
        <f t="shared" si="13"/>
        <v>232.22978388422189</v>
      </c>
      <c r="AS64" s="17"/>
    </row>
    <row r="65" spans="1:45" ht="12.75" customHeight="1">
      <c r="A65" s="292" t="s">
        <v>284</v>
      </c>
      <c r="B65" s="293"/>
      <c r="C65" s="166">
        <f>SUM(D65:G65)</f>
        <v>4.9992481203007515E-3</v>
      </c>
      <c r="D65" s="300">
        <f>SUM(D66:D69)</f>
        <v>4.9992481203007515E-3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131.70414755360989</v>
      </c>
      <c r="M65" s="168"/>
      <c r="N65" s="169"/>
      <c r="O65" s="169"/>
      <c r="P65" s="265"/>
      <c r="Q65" s="299">
        <v>46.986000000000004</v>
      </c>
      <c r="R65" s="265"/>
      <c r="S65" s="299">
        <v>0.64284746861564912</v>
      </c>
      <c r="T65" s="299">
        <v>29.45030008499424</v>
      </c>
      <c r="U65" s="299">
        <v>54.625</v>
      </c>
      <c r="V65" s="299">
        <f>SUM(V66:V69)</f>
        <v>0</v>
      </c>
      <c r="W65" s="265"/>
      <c r="X65" s="265"/>
      <c r="Y65" s="169"/>
      <c r="Z65" s="168"/>
      <c r="AA65" s="297">
        <v>122.10424162825494</v>
      </c>
      <c r="AB65" s="172">
        <f>SUM(AC65:AM65)</f>
        <v>18.910018360553575</v>
      </c>
      <c r="AC65" s="173"/>
      <c r="AD65" s="168"/>
      <c r="AE65" s="168">
        <f>SUM(AE66:AE69)</f>
        <v>14.092704380157992</v>
      </c>
      <c r="AF65" s="168"/>
      <c r="AG65" s="168"/>
      <c r="AH65" s="168">
        <v>4.8173139803955838</v>
      </c>
      <c r="AI65" s="168"/>
      <c r="AJ65" s="168"/>
      <c r="AK65" s="168"/>
      <c r="AL65" s="168"/>
      <c r="AM65" s="169"/>
      <c r="AN65" s="170"/>
      <c r="AO65" s="297">
        <v>249.83924335957121</v>
      </c>
      <c r="AP65" s="172"/>
      <c r="AQ65" s="318">
        <f t="shared" si="13"/>
        <v>522.5626501501099</v>
      </c>
      <c r="AS65" s="17"/>
    </row>
    <row r="66" spans="1:45" ht="12.75" customHeight="1">
      <c r="A66" s="151" t="s">
        <v>285</v>
      </c>
      <c r="B66" s="319" t="s">
        <v>286</v>
      </c>
      <c r="C66" s="153">
        <f t="shared" ref="C66:C69" si="34">SUM(D66:G66)</f>
        <v>2.9995488721804514E-3</v>
      </c>
      <c r="D66" s="160">
        <v>2.9995488721804514E-3</v>
      </c>
      <c r="E66" s="205"/>
      <c r="F66" s="205"/>
      <c r="G66" s="320"/>
      <c r="H66" s="157">
        <f t="shared" ref="H66:H69" si="35">SUM(I66:K66)</f>
        <v>0</v>
      </c>
      <c r="I66" s="203"/>
      <c r="J66" s="158"/>
      <c r="K66" s="321"/>
      <c r="L66" s="157">
        <f t="shared" ref="L66:L69" si="36">SUM(M66:Z66)</f>
        <v>4.8361472478110468</v>
      </c>
      <c r="M66" s="203"/>
      <c r="N66" s="205"/>
      <c r="O66" s="156"/>
      <c r="P66" s="205"/>
      <c r="Q66" s="205">
        <v>0.13</v>
      </c>
      <c r="R66" s="205"/>
      <c r="S66" s="205">
        <v>3.1863567217628209E-3</v>
      </c>
      <c r="T66" s="205">
        <v>1.1339608910892836</v>
      </c>
      <c r="U66" s="205">
        <v>3.569</v>
      </c>
      <c r="V66" s="205">
        <v>0</v>
      </c>
      <c r="W66" s="205"/>
      <c r="X66" s="205"/>
      <c r="Y66" s="156"/>
      <c r="Z66" s="155"/>
      <c r="AA66" s="161">
        <v>6.2855711462293291</v>
      </c>
      <c r="AB66" s="159">
        <f t="shared" ref="AB66:AB69" si="37">SUM(AC66:AM66)</f>
        <v>4.8181897932338265</v>
      </c>
      <c r="AC66" s="160"/>
      <c r="AD66" s="155"/>
      <c r="AE66" s="155">
        <v>8.7581283824237082E-4</v>
      </c>
      <c r="AF66" s="155"/>
      <c r="AG66" s="155"/>
      <c r="AH66" s="155">
        <v>4.8173139803955838</v>
      </c>
      <c r="AI66" s="155"/>
      <c r="AJ66" s="155"/>
      <c r="AK66" s="155"/>
      <c r="AL66" s="155"/>
      <c r="AM66" s="156"/>
      <c r="AN66" s="157"/>
      <c r="AO66" s="161">
        <v>62.066112125563578</v>
      </c>
      <c r="AP66" s="159"/>
      <c r="AQ66" s="188">
        <f t="shared" si="13"/>
        <v>78.009019861709959</v>
      </c>
      <c r="AS66" s="17"/>
    </row>
    <row r="67" spans="1:45" ht="12.75" customHeight="1">
      <c r="A67" s="322" t="s">
        <v>287</v>
      </c>
      <c r="B67" s="323">
        <v>84</v>
      </c>
      <c r="C67" s="102">
        <f t="shared" si="34"/>
        <v>1.9996992481203005E-3</v>
      </c>
      <c r="D67" s="256">
        <v>1.9996992481203005E-3</v>
      </c>
      <c r="E67" s="259"/>
      <c r="F67" s="259"/>
      <c r="G67" s="260"/>
      <c r="H67" s="106">
        <f t="shared" si="35"/>
        <v>0</v>
      </c>
      <c r="I67" s="324"/>
      <c r="J67" s="108"/>
      <c r="K67" s="325"/>
      <c r="L67" s="106">
        <f t="shared" si="36"/>
        <v>37.49597693290648</v>
      </c>
      <c r="M67" s="324"/>
      <c r="N67" s="259"/>
      <c r="O67" s="105"/>
      <c r="P67" s="259"/>
      <c r="Q67" s="249">
        <v>6.9249999999999998</v>
      </c>
      <c r="R67" s="259"/>
      <c r="S67" s="249">
        <v>0.36191701764689377</v>
      </c>
      <c r="T67" s="249">
        <v>7.4190599152595853</v>
      </c>
      <c r="U67" s="249">
        <v>22.79</v>
      </c>
      <c r="V67" s="249">
        <v>0</v>
      </c>
      <c r="W67" s="259"/>
      <c r="X67" s="259"/>
      <c r="Y67" s="105"/>
      <c r="Z67" s="109"/>
      <c r="AA67" s="262">
        <v>43.318633321580478</v>
      </c>
      <c r="AB67" s="110">
        <f t="shared" si="37"/>
        <v>3.0136719763919984</v>
      </c>
      <c r="AC67" s="111"/>
      <c r="AD67" s="109"/>
      <c r="AE67" s="109">
        <v>3.0136719763919984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90.275166794474018</v>
      </c>
      <c r="AP67" s="110"/>
      <c r="AQ67" s="113">
        <f t="shared" si="13"/>
        <v>174.1054487246011</v>
      </c>
      <c r="AS67" s="17"/>
    </row>
    <row r="68" spans="1:45" ht="12.75" customHeight="1">
      <c r="A68" s="100" t="s">
        <v>288</v>
      </c>
      <c r="B68" s="304">
        <v>85</v>
      </c>
      <c r="C68" s="102">
        <f t="shared" si="34"/>
        <v>0</v>
      </c>
      <c r="D68" s="256">
        <v>0</v>
      </c>
      <c r="E68" s="259"/>
      <c r="F68" s="259"/>
      <c r="G68" s="260"/>
      <c r="H68" s="106">
        <f t="shared" si="35"/>
        <v>0</v>
      </c>
      <c r="I68" s="324"/>
      <c r="J68" s="108"/>
      <c r="K68" s="325"/>
      <c r="L68" s="106">
        <f t="shared" si="36"/>
        <v>63.764873205839493</v>
      </c>
      <c r="M68" s="324"/>
      <c r="N68" s="259"/>
      <c r="O68" s="105"/>
      <c r="P68" s="259"/>
      <c r="Q68" s="249">
        <v>27.067</v>
      </c>
      <c r="R68" s="259"/>
      <c r="S68" s="249">
        <v>5.416806426996796E-2</v>
      </c>
      <c r="T68" s="249">
        <v>17.705705141569517</v>
      </c>
      <c r="U68" s="249">
        <v>18.937999999999999</v>
      </c>
      <c r="V68" s="249">
        <v>0</v>
      </c>
      <c r="W68" s="259"/>
      <c r="X68" s="259"/>
      <c r="Y68" s="105"/>
      <c r="Z68" s="109"/>
      <c r="AA68" s="262">
        <v>27.252039348994288</v>
      </c>
      <c r="AB68" s="110">
        <f t="shared" si="37"/>
        <v>9.8108554139910407</v>
      </c>
      <c r="AC68" s="111"/>
      <c r="AD68" s="109"/>
      <c r="AE68" s="109">
        <v>9.8108554139910407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58.093005834167748</v>
      </c>
      <c r="AP68" s="110"/>
      <c r="AQ68" s="113">
        <f t="shared" si="13"/>
        <v>158.92077380299256</v>
      </c>
      <c r="AS68" s="17"/>
    </row>
    <row r="69" spans="1:45" ht="12.75" customHeight="1">
      <c r="A69" s="164" t="s">
        <v>289</v>
      </c>
      <c r="B69" s="313" t="s">
        <v>290</v>
      </c>
      <c r="C69" s="282">
        <f t="shared" si="34"/>
        <v>0</v>
      </c>
      <c r="D69" s="173">
        <v>0</v>
      </c>
      <c r="E69" s="265"/>
      <c r="F69" s="265"/>
      <c r="G69" s="266"/>
      <c r="H69" s="284">
        <f t="shared" si="35"/>
        <v>0</v>
      </c>
      <c r="I69" s="326"/>
      <c r="J69" s="171"/>
      <c r="K69" s="327"/>
      <c r="L69" s="284">
        <f t="shared" si="36"/>
        <v>25.607150167052879</v>
      </c>
      <c r="M69" s="326"/>
      <c r="N69" s="265"/>
      <c r="O69" s="169"/>
      <c r="P69" s="265"/>
      <c r="Q69" s="265">
        <v>12.864000000000001</v>
      </c>
      <c r="R69" s="265"/>
      <c r="S69" s="265">
        <v>0.22357602997702461</v>
      </c>
      <c r="T69" s="265">
        <v>3.191574137075853</v>
      </c>
      <c r="U69" s="265">
        <v>9.3279999999999994</v>
      </c>
      <c r="V69" s="265">
        <v>0</v>
      </c>
      <c r="W69" s="265"/>
      <c r="X69" s="265"/>
      <c r="Y69" s="169"/>
      <c r="Z69" s="168"/>
      <c r="AA69" s="174">
        <v>45.247997811450865</v>
      </c>
      <c r="AB69" s="287">
        <f t="shared" si="37"/>
        <v>1.2673011769367108</v>
      </c>
      <c r="AC69" s="288"/>
      <c r="AD69" s="281"/>
      <c r="AE69" s="281">
        <v>1.2673011769367108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39.40495860536587</v>
      </c>
      <c r="AP69" s="287"/>
      <c r="AQ69" s="289">
        <f t="shared" si="13"/>
        <v>111.52740776080631</v>
      </c>
      <c r="AS69" s="17"/>
    </row>
    <row r="70" spans="1:45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175.46549158593075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175.46549158593075</v>
      </c>
      <c r="V70" s="155"/>
      <c r="W70" s="330"/>
      <c r="X70" s="330"/>
      <c r="Y70" s="330"/>
      <c r="Z70" s="329"/>
      <c r="AA70" s="196">
        <v>0</v>
      </c>
      <c r="AB70" s="197">
        <f>SUM(AC70:AM70)</f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47.988</v>
      </c>
      <c r="AP70" s="197"/>
      <c r="AQ70" s="187">
        <f t="shared" si="13"/>
        <v>223.45349158593075</v>
      </c>
      <c r="AR70" s="7"/>
      <c r="AS70" s="10"/>
    </row>
    <row r="71" spans="1:45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27.249865733664667</v>
      </c>
      <c r="M71" s="168"/>
      <c r="N71" s="168"/>
      <c r="O71" s="168"/>
      <c r="P71" s="168"/>
      <c r="Q71" s="168"/>
      <c r="R71" s="168"/>
      <c r="S71" s="168"/>
      <c r="T71" s="168"/>
      <c r="U71" s="291">
        <v>27.249865733664667</v>
      </c>
      <c r="V71" s="168"/>
      <c r="W71" s="169"/>
      <c r="X71" s="169"/>
      <c r="Y71" s="169"/>
      <c r="Z71" s="168"/>
      <c r="AA71" s="170"/>
      <c r="AB71" s="172">
        <f>SUM(AC71:AM71)</f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3"/>
        <v>27.249865733664667</v>
      </c>
      <c r="AR71" s="7"/>
      <c r="AS71" s="10"/>
    </row>
    <row r="72" spans="1:45" s="11" customFormat="1" ht="12.75" customHeight="1" thickBot="1">
      <c r="A72" s="220" t="s">
        <v>149</v>
      </c>
      <c r="B72" s="221"/>
      <c r="C72" s="222">
        <f t="shared" ref="C72:AP72" si="38">C26-C27-C29</f>
        <v>-2.5795347028326319</v>
      </c>
      <c r="D72" s="223">
        <f t="shared" si="38"/>
        <v>0.17716668219679832</v>
      </c>
      <c r="E72" s="224">
        <f t="shared" si="38"/>
        <v>-3.4486883993195221</v>
      </c>
      <c r="F72" s="228">
        <f t="shared" si="38"/>
        <v>0</v>
      </c>
      <c r="G72" s="228">
        <f t="shared" si="38"/>
        <v>0.69246574229020652</v>
      </c>
      <c r="H72" s="225">
        <f t="shared" si="38"/>
        <v>1.9457250152908045</v>
      </c>
      <c r="I72" s="223">
        <f t="shared" si="38"/>
        <v>-0.45741265470912973</v>
      </c>
      <c r="J72" s="226">
        <f t="shared" si="38"/>
        <v>0</v>
      </c>
      <c r="K72" s="224">
        <f t="shared" si="38"/>
        <v>2.4031376700000067</v>
      </c>
      <c r="L72" s="225">
        <f t="shared" si="38"/>
        <v>2.3431242304332045</v>
      </c>
      <c r="M72" s="224">
        <f t="shared" si="38"/>
        <v>0</v>
      </c>
      <c r="N72" s="224">
        <f t="shared" si="38"/>
        <v>-0.14794174855289199</v>
      </c>
      <c r="O72" s="224">
        <f t="shared" si="38"/>
        <v>-5.2567080980734033</v>
      </c>
      <c r="P72" s="224">
        <f t="shared" si="38"/>
        <v>-25.023756688637718</v>
      </c>
      <c r="Q72" s="224">
        <f t="shared" si="38"/>
        <v>14.717063728640028</v>
      </c>
      <c r="R72" s="224">
        <f t="shared" si="38"/>
        <v>4.1043924247198902</v>
      </c>
      <c r="S72" s="224">
        <f t="shared" si="38"/>
        <v>8.0001198650984477</v>
      </c>
      <c r="T72" s="224">
        <f t="shared" si="38"/>
        <v>6.5570336698137908</v>
      </c>
      <c r="U72" s="224">
        <f t="shared" si="38"/>
        <v>-8.9389207362023626</v>
      </c>
      <c r="V72" s="224">
        <f t="shared" si="38"/>
        <v>0.82532907951215861</v>
      </c>
      <c r="W72" s="228">
        <f t="shared" si="38"/>
        <v>7.506512734116022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-40.274710307198575</v>
      </c>
      <c r="AB72" s="227">
        <f t="shared" si="38"/>
        <v>-2.4161461805547901</v>
      </c>
      <c r="AC72" s="334">
        <f t="shared" si="38"/>
        <v>0</v>
      </c>
      <c r="AD72" s="224">
        <f t="shared" si="38"/>
        <v>0</v>
      </c>
      <c r="AE72" s="224">
        <f t="shared" si="38"/>
        <v>-4.7196692573067764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1.6583711868479725</v>
      </c>
      <c r="AJ72" s="224">
        <f t="shared" si="38"/>
        <v>0.64515188990400674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-35.693844343489218</v>
      </c>
      <c r="AP72" s="227">
        <f t="shared" si="38"/>
        <v>0</v>
      </c>
      <c r="AQ72" s="229">
        <f t="shared" si="13"/>
        <v>-76.675386288351206</v>
      </c>
      <c r="AR72" s="7"/>
      <c r="AS72" s="10"/>
    </row>
    <row r="73" spans="1:45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5" s="11" customFormat="1" ht="15" customHeight="1">
      <c r="A74" s="206" t="s">
        <v>335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Q74" s="184"/>
      <c r="R74" s="184"/>
      <c r="S74" s="184"/>
      <c r="T74" s="184"/>
      <c r="U74" s="184"/>
      <c r="V74" s="184"/>
      <c r="W74" s="176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S74" s="10"/>
    </row>
    <row r="75" spans="1:45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5" ht="12.75" customHeight="1">
      <c r="A76" s="337" t="s">
        <v>150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5" ht="12.75" customHeight="1">
      <c r="A77" s="339" t="s">
        <v>151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5" ht="12.75" customHeight="1">
      <c r="A78" s="49" t="s">
        <v>152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5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5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136-048E-4347-AFA2-AC5FA4D617E4}">
  <dimension ref="A1:AR80"/>
  <sheetViews>
    <sheetView view="pageBreakPreview" zoomScale="80" zoomScaleNormal="80" zoomScaleSheetLayoutView="80" workbookViewId="0">
      <pane xSplit="2" ySplit="1" topLeftCell="C2" activePane="bottomRight" state="frozen"/>
      <selection activeCell="AJ80" sqref="AJ80"/>
      <selection pane="topRight" activeCell="AJ80" sqref="AJ80"/>
      <selection pane="bottomLeft" activeCell="AJ80" sqref="AJ80"/>
      <selection pane="bottomRight" activeCell="V38" sqref="V3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4" t="s">
        <v>337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4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390.56915758919979</v>
      </c>
      <c r="I2" s="91">
        <v>262.86515758919978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2146.9500460596769</v>
      </c>
      <c r="AB2" s="96">
        <f>SUM(AC2:AM2)</f>
        <v>1477.9371877171973</v>
      </c>
      <c r="AC2" s="97">
        <v>76.246216633583984</v>
      </c>
      <c r="AD2" s="93">
        <v>861.67565739932616</v>
      </c>
      <c r="AE2" s="93">
        <v>237.25988166564673</v>
      </c>
      <c r="AF2" s="93">
        <v>136.78221700850077</v>
      </c>
      <c r="AG2" s="93">
        <v>31.767719935191728</v>
      </c>
      <c r="AH2" s="93">
        <v>18.859900908697988</v>
      </c>
      <c r="AI2" s="93">
        <v>41.440731979679995</v>
      </c>
      <c r="AJ2" s="93">
        <v>4.2536494817759998</v>
      </c>
      <c r="AK2" s="91">
        <v>3.3977103439653655</v>
      </c>
      <c r="AL2" s="91">
        <v>13.690577884670216</v>
      </c>
      <c r="AM2" s="89">
        <v>52.562924476158216</v>
      </c>
      <c r="AN2" s="98">
        <v>145.29115639080388</v>
      </c>
      <c r="AO2" s="98"/>
      <c r="AP2" s="96"/>
      <c r="AQ2" s="99">
        <f t="shared" ref="AQ2:AQ20" si="0">C2+H2+L2+AA2+AB2+AN2+AO2+AP2</f>
        <v>4160.7475477568778</v>
      </c>
    </row>
    <row r="3" spans="1:44" ht="12.75" customHeight="1">
      <c r="A3" s="100" t="s">
        <v>94</v>
      </c>
      <c r="B3" s="101"/>
      <c r="C3" s="102">
        <f>SUM(D3:G3)</f>
        <v>270.96498615909093</v>
      </c>
      <c r="D3" s="103">
        <v>201.85753541458044</v>
      </c>
      <c r="E3" s="104">
        <v>59.028864029971338</v>
      </c>
      <c r="F3" s="105"/>
      <c r="G3" s="105">
        <v>10.078586714539126</v>
      </c>
      <c r="H3" s="106">
        <f>SUM(I3:K3)</f>
        <v>0</v>
      </c>
      <c r="I3" s="107"/>
      <c r="J3" s="108"/>
      <c r="K3" s="109"/>
      <c r="L3" s="106">
        <f>SUM(M3:Z3)</f>
        <v>9050.4695838966491</v>
      </c>
      <c r="M3" s="107">
        <v>2653.5268465452</v>
      </c>
      <c r="N3" s="107">
        <v>157.3369951368</v>
      </c>
      <c r="O3" s="109">
        <v>0</v>
      </c>
      <c r="P3" s="109">
        <v>542.64897193333343</v>
      </c>
      <c r="Q3" s="109">
        <v>348.38683425727999</v>
      </c>
      <c r="R3" s="109">
        <v>1570.8211576005599</v>
      </c>
      <c r="S3" s="109">
        <v>111.941671459887</v>
      </c>
      <c r="T3" s="109">
        <v>156.63083509070498</v>
      </c>
      <c r="U3" s="109">
        <v>3092.3130134485209</v>
      </c>
      <c r="V3" s="109">
        <v>161.0308694997704</v>
      </c>
      <c r="W3" s="105">
        <v>0</v>
      </c>
      <c r="X3" s="105">
        <v>207.73661690779878</v>
      </c>
      <c r="Y3" s="105">
        <v>2.1978003534318131</v>
      </c>
      <c r="Z3" s="109">
        <v>45.897971663359961</v>
      </c>
      <c r="AA3" s="106">
        <v>2424.3477436077169</v>
      </c>
      <c r="AB3" s="110">
        <f>SUM(AC3:AM3)</f>
        <v>176.32474834684405</v>
      </c>
      <c r="AC3" s="111"/>
      <c r="AD3" s="109"/>
      <c r="AE3" s="109">
        <v>24.933073584380057</v>
      </c>
      <c r="AF3" s="109"/>
      <c r="AG3" s="109"/>
      <c r="AH3" s="109"/>
      <c r="AI3" s="109">
        <v>126.245745852672</v>
      </c>
      <c r="AJ3" s="109">
        <v>25.145928909791998</v>
      </c>
      <c r="AK3" s="107"/>
      <c r="AL3" s="107"/>
      <c r="AM3" s="105"/>
      <c r="AN3" s="112"/>
      <c r="AO3" s="112">
        <v>187.44378883999997</v>
      </c>
      <c r="AP3" s="110"/>
      <c r="AQ3" s="113">
        <f t="shared" si="0"/>
        <v>12109.550850850303</v>
      </c>
    </row>
    <row r="4" spans="1:44" ht="12.75" customHeight="1">
      <c r="A4" s="100" t="s">
        <v>95</v>
      </c>
      <c r="B4" s="101"/>
      <c r="C4" s="102">
        <f>SUM(D4:G4)</f>
        <v>8.1980002577136002</v>
      </c>
      <c r="D4" s="103">
        <v>0</v>
      </c>
      <c r="E4" s="114">
        <v>7.9590085080000001</v>
      </c>
      <c r="F4" s="105"/>
      <c r="G4" s="105">
        <v>0.23899174971359999</v>
      </c>
      <c r="H4" s="106">
        <f>SUM(I4:K4)</f>
        <v>5.8493720000000007</v>
      </c>
      <c r="I4" s="107"/>
      <c r="J4" s="108"/>
      <c r="K4" s="109">
        <v>5.8493720000000007</v>
      </c>
      <c r="L4" s="106">
        <f>SUM(M4:Z4)</f>
        <v>1567.5630290434847</v>
      </c>
      <c r="M4" s="107">
        <v>43.019193902199994</v>
      </c>
      <c r="N4" s="107">
        <v>7.8404003039999992</v>
      </c>
      <c r="O4" s="109"/>
      <c r="P4" s="109">
        <v>432.94982474444441</v>
      </c>
      <c r="Q4" s="109">
        <v>74.101066224640022</v>
      </c>
      <c r="R4" s="109">
        <v>63.608879690399995</v>
      </c>
      <c r="S4" s="109">
        <v>712.70293289209042</v>
      </c>
      <c r="T4" s="109">
        <v>23.602785146527417</v>
      </c>
      <c r="U4" s="109">
        <v>164.05672925173289</v>
      </c>
      <c r="V4" s="109">
        <v>2.9787871963443114E-2</v>
      </c>
      <c r="W4" s="105">
        <v>28.749403849447511</v>
      </c>
      <c r="X4" s="105">
        <v>9.4628384376000003</v>
      </c>
      <c r="Y4" s="105">
        <v>1.9112571484317421E-2</v>
      </c>
      <c r="Z4" s="109">
        <v>7.4200741569540316</v>
      </c>
      <c r="AA4" s="106">
        <v>0</v>
      </c>
      <c r="AB4" s="110">
        <f>SUM(AC4:AM4)</f>
        <v>6.7010671151039993</v>
      </c>
      <c r="AC4" s="111"/>
      <c r="AD4" s="109"/>
      <c r="AE4" s="109">
        <v>0</v>
      </c>
      <c r="AF4" s="109"/>
      <c r="AG4" s="109"/>
      <c r="AH4" s="109"/>
      <c r="AI4" s="109">
        <v>6.7010671151039993</v>
      </c>
      <c r="AJ4" s="109">
        <v>0</v>
      </c>
      <c r="AK4" s="107"/>
      <c r="AL4" s="107"/>
      <c r="AM4" s="105"/>
      <c r="AN4" s="112"/>
      <c r="AO4" s="112">
        <v>132.01331443999996</v>
      </c>
      <c r="AP4" s="110"/>
      <c r="AQ4" s="113">
        <f t="shared" si="0"/>
        <v>1720.3247828563021</v>
      </c>
    </row>
    <row r="5" spans="1:44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142.2025213725301</v>
      </c>
      <c r="M5" s="107"/>
      <c r="N5" s="107"/>
      <c r="O5" s="109"/>
      <c r="P5" s="109"/>
      <c r="Q5" s="109"/>
      <c r="R5" s="109"/>
      <c r="S5" s="109">
        <v>10.240727745480227</v>
      </c>
      <c r="T5" s="109"/>
      <c r="U5" s="109">
        <v>131.96179362704987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142.2025213725301</v>
      </c>
    </row>
    <row r="6" spans="1:44" ht="12.75" customHeight="1" thickBot="1">
      <c r="A6" s="115" t="s">
        <v>97</v>
      </c>
      <c r="B6" s="116"/>
      <c r="C6" s="102">
        <f>SUM(D6:G6)</f>
        <v>124.36366286038916</v>
      </c>
      <c r="D6" s="117">
        <v>123.51081447568097</v>
      </c>
      <c r="E6" s="105">
        <v>1.0966176076410648</v>
      </c>
      <c r="F6" s="118"/>
      <c r="G6" s="118">
        <v>-0.24376922293288805</v>
      </c>
      <c r="H6" s="119">
        <f>SUM(I6:K6)</f>
        <v>244.39862473091318</v>
      </c>
      <c r="I6" s="120">
        <v>237.15180923091319</v>
      </c>
      <c r="J6" s="121">
        <v>0</v>
      </c>
      <c r="K6" s="120">
        <v>7.2468155000000012</v>
      </c>
      <c r="L6" s="119">
        <f>SUM(M6:Z6)</f>
        <v>92.875510950167509</v>
      </c>
      <c r="M6" s="107">
        <v>-22.361378267999989</v>
      </c>
      <c r="N6" s="107">
        <v>6.6791466600000033</v>
      </c>
      <c r="O6" s="109"/>
      <c r="P6" s="109">
        <v>135.33215412222225</v>
      </c>
      <c r="Q6" s="109">
        <v>17.029071783360003</v>
      </c>
      <c r="R6" s="109">
        <v>-80.382526302000002</v>
      </c>
      <c r="S6" s="109">
        <v>-0.94198822231638402</v>
      </c>
      <c r="T6" s="109">
        <v>3.4576857142558772</v>
      </c>
      <c r="U6" s="109">
        <v>39.480528890617038</v>
      </c>
      <c r="V6" s="109">
        <v>-2.7286637325293071</v>
      </c>
      <c r="W6" s="118">
        <v>-2.6885196954419883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-1.6037529169956004</v>
      </c>
      <c r="AC6" s="123"/>
      <c r="AD6" s="124"/>
      <c r="AE6" s="124">
        <v>0.37002461255639962</v>
      </c>
      <c r="AF6" s="124"/>
      <c r="AG6" s="124"/>
      <c r="AH6" s="124"/>
      <c r="AI6" s="124">
        <v>0.51398723596799967</v>
      </c>
      <c r="AJ6" s="124">
        <v>-2.4877647655199997</v>
      </c>
      <c r="AK6" s="120"/>
      <c r="AL6" s="120"/>
      <c r="AM6" s="118"/>
      <c r="AN6" s="125"/>
      <c r="AO6" s="125"/>
      <c r="AP6" s="122"/>
      <c r="AQ6" s="126">
        <f t="shared" si="0"/>
        <v>460.03404562447423</v>
      </c>
    </row>
    <row r="7" spans="1:44" s="11" customFormat="1" ht="12.75" customHeight="1">
      <c r="A7" s="127" t="s">
        <v>98</v>
      </c>
      <c r="B7" s="128"/>
      <c r="C7" s="129">
        <f t="shared" ref="C7:AP7" si="1">C2+C3-C4-C5+C6</f>
        <v>387.13064876176645</v>
      </c>
      <c r="D7" s="130">
        <f t="shared" si="1"/>
        <v>325.36834989026141</v>
      </c>
      <c r="E7" s="131">
        <f t="shared" si="1"/>
        <v>52.166473129612399</v>
      </c>
      <c r="F7" s="131">
        <f t="shared" si="1"/>
        <v>0</v>
      </c>
      <c r="G7" s="131">
        <f t="shared" si="1"/>
        <v>9.5958257418926376</v>
      </c>
      <c r="H7" s="132">
        <f t="shared" si="1"/>
        <v>629.11841032011296</v>
      </c>
      <c r="I7" s="130">
        <f t="shared" si="1"/>
        <v>500.016966820113</v>
      </c>
      <c r="J7" s="133">
        <f t="shared" si="1"/>
        <v>127.70399999999999</v>
      </c>
      <c r="K7" s="131">
        <f t="shared" si="1"/>
        <v>1.3974435000000005</v>
      </c>
      <c r="L7" s="132">
        <f t="shared" si="1"/>
        <v>7433.5795444308014</v>
      </c>
      <c r="M7" s="130">
        <f t="shared" si="1"/>
        <v>2588.1462743749998</v>
      </c>
      <c r="N7" s="130">
        <f t="shared" si="1"/>
        <v>156.1757414928</v>
      </c>
      <c r="O7" s="131">
        <f t="shared" si="1"/>
        <v>0</v>
      </c>
      <c r="P7" s="131">
        <f t="shared" si="1"/>
        <v>245.03130131111126</v>
      </c>
      <c r="Q7" s="131">
        <f t="shared" si="1"/>
        <v>291.31483981599996</v>
      </c>
      <c r="R7" s="131">
        <f t="shared" si="1"/>
        <v>1426.8297516081598</v>
      </c>
      <c r="S7" s="131">
        <f t="shared" si="1"/>
        <v>-611.94397739999988</v>
      </c>
      <c r="T7" s="131">
        <f t="shared" si="1"/>
        <v>136.48573565843344</v>
      </c>
      <c r="U7" s="131">
        <f t="shared" si="1"/>
        <v>2835.775019460355</v>
      </c>
      <c r="V7" s="131">
        <f t="shared" si="1"/>
        <v>158.27241789527767</v>
      </c>
      <c r="W7" s="131">
        <f t="shared" si="1"/>
        <v>-31.4379235448895</v>
      </c>
      <c r="X7" s="131">
        <f t="shared" si="1"/>
        <v>198.27377847019878</v>
      </c>
      <c r="Y7" s="131">
        <f t="shared" si="1"/>
        <v>2.1786877819474957</v>
      </c>
      <c r="Z7" s="131">
        <f t="shared" si="1"/>
        <v>38.477897506405931</v>
      </c>
      <c r="AA7" s="132">
        <f t="shared" si="1"/>
        <v>4571.2977896673938</v>
      </c>
      <c r="AB7" s="132">
        <f t="shared" si="1"/>
        <v>1645.9571160319417</v>
      </c>
      <c r="AC7" s="130">
        <f t="shared" si="1"/>
        <v>76.246216633583984</v>
      </c>
      <c r="AD7" s="131">
        <f t="shared" si="1"/>
        <v>861.67565739932616</v>
      </c>
      <c r="AE7" s="131">
        <f t="shared" si="1"/>
        <v>262.56297986258318</v>
      </c>
      <c r="AF7" s="131">
        <f t="shared" si="1"/>
        <v>136.78221700850077</v>
      </c>
      <c r="AG7" s="131">
        <f t="shared" si="1"/>
        <v>31.767719935191728</v>
      </c>
      <c r="AH7" s="131">
        <f t="shared" si="1"/>
        <v>18.859900908697988</v>
      </c>
      <c r="AI7" s="131">
        <f t="shared" si="1"/>
        <v>161.499397953216</v>
      </c>
      <c r="AJ7" s="131">
        <f t="shared" si="1"/>
        <v>26.911813626048001</v>
      </c>
      <c r="AK7" s="134">
        <f t="shared" si="1"/>
        <v>3.3977103439653655</v>
      </c>
      <c r="AL7" s="134">
        <f t="shared" si="1"/>
        <v>13.690577884670216</v>
      </c>
      <c r="AM7" s="130">
        <f t="shared" si="1"/>
        <v>52.562924476158216</v>
      </c>
      <c r="AN7" s="132">
        <f t="shared" si="1"/>
        <v>145.29115639080388</v>
      </c>
      <c r="AO7" s="132">
        <f t="shared" si="1"/>
        <v>55.430474400000008</v>
      </c>
      <c r="AP7" s="135">
        <f t="shared" si="1"/>
        <v>0</v>
      </c>
      <c r="AQ7" s="136">
        <f t="shared" si="0"/>
        <v>14867.80514000282</v>
      </c>
      <c r="AR7" s="7"/>
    </row>
    <row r="8" spans="1:44" s="11" customFormat="1" ht="12.75" customHeight="1" thickBot="1">
      <c r="A8" s="137" t="s">
        <v>99</v>
      </c>
      <c r="B8" s="138"/>
      <c r="C8" s="139">
        <f t="shared" ref="C8:AP8" si="2">C7-C27</f>
        <v>387.13064876176645</v>
      </c>
      <c r="D8" s="140">
        <f t="shared" si="2"/>
        <v>325.36834989026141</v>
      </c>
      <c r="E8" s="141">
        <f t="shared" si="2"/>
        <v>52.166473129612399</v>
      </c>
      <c r="F8" s="142">
        <f t="shared" si="2"/>
        <v>0</v>
      </c>
      <c r="G8" s="142">
        <f t="shared" si="2"/>
        <v>9.5958257418926376</v>
      </c>
      <c r="H8" s="143">
        <f t="shared" si="2"/>
        <v>629.11841032011296</v>
      </c>
      <c r="I8" s="140">
        <f t="shared" si="2"/>
        <v>500.016966820113</v>
      </c>
      <c r="J8" s="144">
        <f t="shared" si="2"/>
        <v>127.70399999999999</v>
      </c>
      <c r="K8" s="141">
        <f t="shared" si="2"/>
        <v>1.3974435000000005</v>
      </c>
      <c r="L8" s="143">
        <f t="shared" si="2"/>
        <v>7194.6491806722488</v>
      </c>
      <c r="M8" s="140">
        <f t="shared" si="2"/>
        <v>2588.1462743749998</v>
      </c>
      <c r="N8" s="140">
        <f t="shared" si="2"/>
        <v>156.1757414928</v>
      </c>
      <c r="O8" s="141">
        <f t="shared" si="2"/>
        <v>0</v>
      </c>
      <c r="P8" s="141">
        <f t="shared" si="2"/>
        <v>245.03130131111126</v>
      </c>
      <c r="Q8" s="141">
        <f t="shared" si="2"/>
        <v>291.31483981599996</v>
      </c>
      <c r="R8" s="141">
        <f t="shared" si="2"/>
        <v>1426.8297516081598</v>
      </c>
      <c r="S8" s="141">
        <f t="shared" si="2"/>
        <v>-611.94397739999988</v>
      </c>
      <c r="T8" s="141">
        <f t="shared" si="2"/>
        <v>136.48573565843344</v>
      </c>
      <c r="U8" s="141">
        <f t="shared" si="2"/>
        <v>2835.775019460355</v>
      </c>
      <c r="V8" s="141">
        <f t="shared" si="2"/>
        <v>158.27241789527767</v>
      </c>
      <c r="W8" s="142">
        <f t="shared" si="2"/>
        <v>-31.4379235448895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4571.2977896673938</v>
      </c>
      <c r="AB8" s="145">
        <f t="shared" si="2"/>
        <v>1645.9571160319417</v>
      </c>
      <c r="AC8" s="140">
        <f t="shared" si="2"/>
        <v>76.246216633583984</v>
      </c>
      <c r="AD8" s="141">
        <f t="shared" si="2"/>
        <v>861.67565739932616</v>
      </c>
      <c r="AE8" s="141">
        <f t="shared" si="2"/>
        <v>262.56297986258318</v>
      </c>
      <c r="AF8" s="141">
        <f t="shared" si="2"/>
        <v>136.78221700850077</v>
      </c>
      <c r="AG8" s="141">
        <f t="shared" si="2"/>
        <v>31.767719935191728</v>
      </c>
      <c r="AH8" s="141">
        <f t="shared" si="2"/>
        <v>18.859900908697988</v>
      </c>
      <c r="AI8" s="141">
        <f t="shared" si="2"/>
        <v>161.499397953216</v>
      </c>
      <c r="AJ8" s="141">
        <f t="shared" si="2"/>
        <v>26.911813626048001</v>
      </c>
      <c r="AK8" s="146">
        <f t="shared" si="2"/>
        <v>3.3977103439653655</v>
      </c>
      <c r="AL8" s="146">
        <f t="shared" si="2"/>
        <v>13.690577884670216</v>
      </c>
      <c r="AM8" s="140">
        <f t="shared" si="2"/>
        <v>52.562924476158216</v>
      </c>
      <c r="AN8" s="143">
        <f t="shared" si="2"/>
        <v>145.29115639080388</v>
      </c>
      <c r="AO8" s="143">
        <f t="shared" si="2"/>
        <v>55.430474400000008</v>
      </c>
      <c r="AP8" s="140">
        <f t="shared" si="2"/>
        <v>0</v>
      </c>
      <c r="AQ8" s="147">
        <f t="shared" si="0"/>
        <v>14628.874776244265</v>
      </c>
      <c r="AR8" s="7"/>
    </row>
    <row r="9" spans="1:44" s="11" customFormat="1" ht="12.75" customHeight="1">
      <c r="A9" s="127" t="s">
        <v>100</v>
      </c>
      <c r="B9" s="128"/>
      <c r="C9" s="129">
        <f t="shared" ref="C9:AP9" si="3">SUM(C10:C14)</f>
        <v>147.86636165032934</v>
      </c>
      <c r="D9" s="134">
        <f t="shared" si="3"/>
        <v>147.86636165032934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491.61136902488784</v>
      </c>
      <c r="I9" s="134">
        <f t="shared" si="3"/>
        <v>491.61136902488784</v>
      </c>
      <c r="J9" s="133">
        <f t="shared" si="3"/>
        <v>0</v>
      </c>
      <c r="K9" s="131">
        <f t="shared" si="3"/>
        <v>0</v>
      </c>
      <c r="L9" s="132">
        <f t="shared" si="3"/>
        <v>2912.1684165083248</v>
      </c>
      <c r="M9" s="131">
        <f t="shared" si="3"/>
        <v>2588.1462743749998</v>
      </c>
      <c r="N9" s="131">
        <f t="shared" ref="N9" si="4">SUM(N10:N14)</f>
        <v>245.56060120055281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65.449797530529409</v>
      </c>
      <c r="T9" s="131">
        <f t="shared" si="3"/>
        <v>0.63852264334079989</v>
      </c>
      <c r="U9" s="131">
        <f t="shared" si="3"/>
        <v>12.373220758902022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2564.9636356398232</v>
      </c>
      <c r="AB9" s="130">
        <f t="shared" si="3"/>
        <v>213.79595970423682</v>
      </c>
      <c r="AC9" s="149">
        <f t="shared" si="3"/>
        <v>0</v>
      </c>
      <c r="AD9" s="131">
        <f t="shared" si="3"/>
        <v>0</v>
      </c>
      <c r="AE9" s="131">
        <f t="shared" si="3"/>
        <v>76.966325921459557</v>
      </c>
      <c r="AF9" s="131">
        <f t="shared" ref="AF9" si="5">SUM(AF10:AF14)</f>
        <v>96.387111983952977</v>
      </c>
      <c r="AG9" s="131">
        <f t="shared" si="3"/>
        <v>31.767719935191728</v>
      </c>
      <c r="AH9" s="131">
        <f t="shared" si="3"/>
        <v>8.6748018636325526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88.629444098446996</v>
      </c>
      <c r="AO9" s="132">
        <f t="shared" si="3"/>
        <v>52.839245379999994</v>
      </c>
      <c r="AP9" s="130">
        <f t="shared" si="3"/>
        <v>0</v>
      </c>
      <c r="AQ9" s="150">
        <f t="shared" si="0"/>
        <v>6471.8744320060487</v>
      </c>
      <c r="AR9" s="7"/>
    </row>
    <row r="10" spans="1:44" ht="12.75" customHeight="1">
      <c r="A10" s="151" t="s">
        <v>322</v>
      </c>
      <c r="B10" s="152"/>
      <c r="C10" s="153">
        <f>SUM(D10:G10)</f>
        <v>147.86636165032934</v>
      </c>
      <c r="D10" s="154">
        <v>147.86636165032934</v>
      </c>
      <c r="E10" s="155"/>
      <c r="F10" s="156"/>
      <c r="G10" s="156"/>
      <c r="H10" s="157">
        <f>SUM(I10:K10)</f>
        <v>429.59646406852596</v>
      </c>
      <c r="I10" s="154">
        <v>429.59646406852596</v>
      </c>
      <c r="J10" s="158">
        <v>0</v>
      </c>
      <c r="K10" s="155"/>
      <c r="L10" s="157">
        <f>SUM(M10:Z10)</f>
        <v>77.823018289431431</v>
      </c>
      <c r="M10" s="155"/>
      <c r="N10" s="155"/>
      <c r="O10" s="155"/>
      <c r="P10" s="155"/>
      <c r="Q10" s="155"/>
      <c r="R10" s="155"/>
      <c r="S10" s="155">
        <v>65.449797530529409</v>
      </c>
      <c r="T10" s="155"/>
      <c r="U10" s="155">
        <v>12.373220758902022</v>
      </c>
      <c r="V10" s="155"/>
      <c r="W10" s="156"/>
      <c r="X10" s="156"/>
      <c r="Y10" s="156"/>
      <c r="Z10" s="155"/>
      <c r="AA10" s="157">
        <v>2262.4883571560613</v>
      </c>
      <c r="AB10" s="159">
        <f>SUM(AC10:AM10)</f>
        <v>202.07086582688999</v>
      </c>
      <c r="AC10" s="160"/>
      <c r="AD10" s="155"/>
      <c r="AE10" s="155">
        <v>73.916033907745273</v>
      </c>
      <c r="AF10" s="155">
        <v>96.387111983952977</v>
      </c>
      <c r="AG10" s="155">
        <v>31.767719935191728</v>
      </c>
      <c r="AH10" s="155"/>
      <c r="AI10" s="155"/>
      <c r="AJ10" s="155"/>
      <c r="AK10" s="154"/>
      <c r="AL10" s="154"/>
      <c r="AM10" s="156"/>
      <c r="AN10" s="161">
        <v>88.629444098446996</v>
      </c>
      <c r="AO10" s="157"/>
      <c r="AP10" s="159"/>
      <c r="AQ10" s="162">
        <f t="shared" si="0"/>
        <v>3208.4745110896852</v>
      </c>
    </row>
    <row r="11" spans="1:44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4.7597803142566182</v>
      </c>
      <c r="I11" s="107">
        <v>4.7597803142566182</v>
      </c>
      <c r="J11" s="108"/>
      <c r="K11" s="109"/>
      <c r="L11" s="106">
        <f>SUM(M11:Z11)</f>
        <v>0.63852264334079989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0.63852264334079989</v>
      </c>
      <c r="U11" s="109">
        <v>0</v>
      </c>
      <c r="V11" s="109"/>
      <c r="W11" s="105"/>
      <c r="X11" s="105"/>
      <c r="Y11" s="105"/>
      <c r="Z11" s="109"/>
      <c r="AA11" s="106">
        <v>258.65724020816185</v>
      </c>
      <c r="AB11" s="110">
        <f>SUM(AC11:AM11)</f>
        <v>11.725093877346838</v>
      </c>
      <c r="AC11" s="111"/>
      <c r="AD11" s="109"/>
      <c r="AE11" s="109">
        <v>3.0502920137142859</v>
      </c>
      <c r="AF11" s="109"/>
      <c r="AG11" s="109"/>
      <c r="AH11" s="109">
        <v>8.6748018636325526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275.78063704310614</v>
      </c>
    </row>
    <row r="12" spans="1:44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41.13516138</v>
      </c>
      <c r="AP12" s="110"/>
      <c r="AQ12" s="113">
        <f t="shared" si="0"/>
        <v>41.13516138</v>
      </c>
    </row>
    <row r="13" spans="1:44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57.255124642105272</v>
      </c>
      <c r="I13" s="107">
        <v>57.255124642105272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57.255124642105272</v>
      </c>
    </row>
    <row r="14" spans="1:44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2833.7068755755527</v>
      </c>
      <c r="M14" s="168">
        <v>2588.1462743749998</v>
      </c>
      <c r="N14" s="168">
        <v>245.56060120055281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43.818038275599775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11.704083999999998</v>
      </c>
      <c r="AP14" s="172"/>
      <c r="AQ14" s="175">
        <f t="shared" si="0"/>
        <v>2889.2289978511526</v>
      </c>
    </row>
    <row r="15" spans="1:44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54.392368410000003</v>
      </c>
      <c r="I15" s="179">
        <f t="shared" si="8"/>
        <v>0</v>
      </c>
      <c r="J15" s="183">
        <f t="shared" si="8"/>
        <v>0</v>
      </c>
      <c r="K15" s="180">
        <f t="shared" si="8"/>
        <v>54.392368410000003</v>
      </c>
      <c r="L15" s="182">
        <f t="shared" si="8"/>
        <v>2857.1589555141918</v>
      </c>
      <c r="M15" s="180">
        <f t="shared" si="8"/>
        <v>0</v>
      </c>
      <c r="N15" s="180">
        <f t="shared" si="8"/>
        <v>0</v>
      </c>
      <c r="O15" s="180">
        <f t="shared" si="8"/>
        <v>75.391323197283143</v>
      </c>
      <c r="P15" s="180">
        <f t="shared" si="8"/>
        <v>552.13663251111109</v>
      </c>
      <c r="Q15" s="180">
        <f t="shared" si="8"/>
        <v>323.67830540864009</v>
      </c>
      <c r="R15" s="180">
        <f t="shared" si="8"/>
        <v>0</v>
      </c>
      <c r="S15" s="180">
        <f t="shared" si="8"/>
        <v>713.77717964435033</v>
      </c>
      <c r="T15" s="180">
        <f t="shared" si="8"/>
        <v>50.547599406892957</v>
      </c>
      <c r="U15" s="180">
        <f t="shared" si="8"/>
        <v>1097.9678707029586</v>
      </c>
      <c r="V15" s="180">
        <f t="shared" si="8"/>
        <v>0</v>
      </c>
      <c r="W15" s="181">
        <f t="shared" si="8"/>
        <v>43.660044642955796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1721.3427016134256</v>
      </c>
      <c r="AP15" s="184">
        <f t="shared" si="8"/>
        <v>0</v>
      </c>
      <c r="AQ15" s="187">
        <f t="shared" si="0"/>
        <v>4632.8940255376174</v>
      </c>
      <c r="AR15" s="7"/>
    </row>
    <row r="16" spans="1:44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1521.0540778021184</v>
      </c>
      <c r="AP16" s="159"/>
      <c r="AQ16" s="188">
        <f>C16+H16+L16+AA16+AO16+AP16</f>
        <v>1521.0540778021184</v>
      </c>
    </row>
    <row r="17" spans="1:44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179.19120974129132</v>
      </c>
      <c r="AP17" s="110"/>
      <c r="AQ17" s="113">
        <f>C17+H17+L17+AA17+AO17+AP17</f>
        <v>179.19120974129132</v>
      </c>
    </row>
    <row r="18" spans="1:44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21.097414070016001</v>
      </c>
      <c r="AP18" s="110"/>
      <c r="AQ18" s="113">
        <f t="shared" si="0"/>
        <v>21.097414070016001</v>
      </c>
    </row>
    <row r="19" spans="1:44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54.392368410000003</v>
      </c>
      <c r="I19" s="107"/>
      <c r="J19" s="109"/>
      <c r="K19" s="109">
        <v>54.392368410000003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54.392368410000003</v>
      </c>
    </row>
    <row r="20" spans="1:44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2857.1589555141918</v>
      </c>
      <c r="M20" s="168"/>
      <c r="N20" s="168"/>
      <c r="O20" s="168">
        <v>75.391323197283143</v>
      </c>
      <c r="P20" s="168">
        <v>552.13663251111109</v>
      </c>
      <c r="Q20" s="168">
        <v>323.67830540864009</v>
      </c>
      <c r="R20" s="168">
        <v>0</v>
      </c>
      <c r="S20" s="168">
        <v>713.77717964435033</v>
      </c>
      <c r="T20" s="168">
        <v>50.547599406892957</v>
      </c>
      <c r="U20" s="168">
        <v>1097.9678707029586</v>
      </c>
      <c r="V20" s="168"/>
      <c r="W20" s="169">
        <v>43.660044642955796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2857.1589555141918</v>
      </c>
    </row>
    <row r="21" spans="1:44" ht="12.75" customHeight="1">
      <c r="A21" s="190" t="s">
        <v>102</v>
      </c>
      <c r="B21" s="191"/>
      <c r="C21" s="192">
        <f>SUM(C22:C24)</f>
        <v>17.334133906438232</v>
      </c>
      <c r="D21" s="193">
        <f>SUM(D22:D24)</f>
        <v>-16.109346637649999</v>
      </c>
      <c r="E21" s="194">
        <f>SUM(E22:E24)</f>
        <v>33.443480544088231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-50.703036242756838</v>
      </c>
      <c r="M21" s="194">
        <f t="shared" ref="M21:AQ21" si="9">SUM(M22:M24)</f>
        <v>0</v>
      </c>
      <c r="N21" s="194">
        <f t="shared" si="9"/>
        <v>89.490787873216931</v>
      </c>
      <c r="O21" s="194">
        <f t="shared" si="9"/>
        <v>0</v>
      </c>
      <c r="P21" s="194">
        <f t="shared" si="9"/>
        <v>-49.151990444444422</v>
      </c>
      <c r="Q21" s="194">
        <f t="shared" si="9"/>
        <v>307.59405473888006</v>
      </c>
      <c r="R21" s="194">
        <f t="shared" si="9"/>
        <v>-306.92385170184002</v>
      </c>
      <c r="S21" s="194">
        <f t="shared" si="9"/>
        <v>-4.3509951412429373E-2</v>
      </c>
      <c r="T21" s="194">
        <f t="shared" si="9"/>
        <v>0</v>
      </c>
      <c r="U21" s="194">
        <f t="shared" si="9"/>
        <v>-70.130392850718735</v>
      </c>
      <c r="V21" s="194">
        <f t="shared" si="9"/>
        <v>-17.334133906438232</v>
      </c>
      <c r="W21" s="195">
        <f t="shared" si="9"/>
        <v>-4.2039999999999997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-941.31958437687558</v>
      </c>
      <c r="AC21" s="198">
        <f t="shared" si="9"/>
        <v>-76.246216633583984</v>
      </c>
      <c r="AD21" s="194">
        <f t="shared" si="9"/>
        <v>-861.67565739932616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-3.3977103439653655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941.31958437687558</v>
      </c>
      <c r="AP21" s="197">
        <f t="shared" si="9"/>
        <v>0</v>
      </c>
      <c r="AQ21" s="201">
        <f t="shared" si="9"/>
        <v>-33.368902336318605</v>
      </c>
    </row>
    <row r="22" spans="1:44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-941.31958437687558</v>
      </c>
      <c r="AC22" s="160">
        <f>-AC2</f>
        <v>-76.246216633583984</v>
      </c>
      <c r="AD22" s="155">
        <f>-AD2</f>
        <v>-861.67565739932616</v>
      </c>
      <c r="AE22" s="155"/>
      <c r="AF22" s="155"/>
      <c r="AG22" s="163"/>
      <c r="AH22" s="163"/>
      <c r="AI22" s="163"/>
      <c r="AJ22" s="163"/>
      <c r="AK22" s="154">
        <v>-3.3977103439653655</v>
      </c>
      <c r="AL22" s="163"/>
      <c r="AM22" s="156"/>
      <c r="AN22" s="161"/>
      <c r="AO22" s="157">
        <f>-(C22+H22+L22+AA22+AB22)</f>
        <v>941.31958437687558</v>
      </c>
      <c r="AP22" s="159"/>
      <c r="AQ22" s="188">
        <f>C22+H22+L22+AA22+AB22+AN22+AO22+AP22</f>
        <v>0</v>
      </c>
    </row>
    <row r="23" spans="1:44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4" ht="12.75" customHeight="1" thickBot="1">
      <c r="A24" s="115" t="s">
        <v>334</v>
      </c>
      <c r="B24" s="116"/>
      <c r="C24" s="216">
        <f>SUM(D24:G24)</f>
        <v>17.334133906438232</v>
      </c>
      <c r="D24" s="217">
        <v>-16.109346637649999</v>
      </c>
      <c r="E24" s="124">
        <f>-D24-V24</f>
        <v>33.443480544088231</v>
      </c>
      <c r="F24" s="118"/>
      <c r="G24" s="118"/>
      <c r="H24" s="119"/>
      <c r="I24" s="218"/>
      <c r="J24" s="124"/>
      <c r="K24" s="124"/>
      <c r="L24" s="119">
        <f>SUM(N24:Z24)</f>
        <v>-50.703036242756838</v>
      </c>
      <c r="M24" s="124"/>
      <c r="N24" s="124">
        <v>89.490787873216931</v>
      </c>
      <c r="O24" s="124"/>
      <c r="P24" s="124">
        <v>-49.151990444444422</v>
      </c>
      <c r="Q24" s="124">
        <v>307.59405473888006</v>
      </c>
      <c r="R24" s="124">
        <v>-306.92385170184002</v>
      </c>
      <c r="S24" s="124">
        <v>-4.3509951412429373E-2</v>
      </c>
      <c r="T24" s="124"/>
      <c r="U24" s="124">
        <v>-70.130392850718735</v>
      </c>
      <c r="V24" s="118">
        <v>-17.334133906438232</v>
      </c>
      <c r="W24" s="118">
        <v>-4.2039999999999997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-33.368902336318605</v>
      </c>
    </row>
    <row r="25" spans="1:44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8.4053952768869742</v>
      </c>
      <c r="I25" s="209">
        <v>8.4053952768869742</v>
      </c>
      <c r="J25" s="219"/>
      <c r="K25" s="211"/>
      <c r="L25" s="182">
        <f>SUM(O25:Z25)</f>
        <v>80.472443177128525</v>
      </c>
      <c r="M25" s="211"/>
      <c r="N25" s="211"/>
      <c r="O25" s="211">
        <v>78.350007757078615</v>
      </c>
      <c r="P25" s="211"/>
      <c r="Q25" s="211"/>
      <c r="R25" s="211"/>
      <c r="S25" s="211">
        <v>0</v>
      </c>
      <c r="T25" s="211">
        <v>4.1693256233877908E-3</v>
      </c>
      <c r="U25" s="211">
        <v>2.1182660944265104</v>
      </c>
      <c r="V25" s="211"/>
      <c r="W25" s="209"/>
      <c r="X25" s="209"/>
      <c r="Y25" s="209"/>
      <c r="Z25" s="211"/>
      <c r="AA25" s="182">
        <v>65.860932825608458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254.49061468005289</v>
      </c>
      <c r="AP25" s="184"/>
      <c r="AQ25" s="215">
        <f>C25+H25+L25+AA25+AB25+AN25+AO25+AP25</f>
        <v>409.22938595967685</v>
      </c>
    </row>
    <row r="26" spans="1:44" s="11" customFormat="1" ht="12.75" customHeight="1" thickBot="1">
      <c r="A26" s="220" t="s">
        <v>104</v>
      </c>
      <c r="B26" s="221"/>
      <c r="C26" s="222">
        <f t="shared" ref="C26:AP26" si="10">C7-C9+C15+C21-C25</f>
        <v>256.59842101787535</v>
      </c>
      <c r="D26" s="223">
        <f t="shared" si="10"/>
        <v>161.39264160228208</v>
      </c>
      <c r="E26" s="224">
        <f t="shared" si="10"/>
        <v>85.60995367370063</v>
      </c>
      <c r="F26" s="224">
        <f t="shared" si="10"/>
        <v>0</v>
      </c>
      <c r="G26" s="224">
        <f t="shared" si="10"/>
        <v>9.5958257418926376</v>
      </c>
      <c r="H26" s="225">
        <f t="shared" si="10"/>
        <v>183.49401442833818</v>
      </c>
      <c r="I26" s="223">
        <f t="shared" si="10"/>
        <v>2.0251833818818454E-4</v>
      </c>
      <c r="J26" s="226">
        <f t="shared" si="10"/>
        <v>127.70399999999999</v>
      </c>
      <c r="K26" s="224">
        <f t="shared" si="10"/>
        <v>55.789811910000005</v>
      </c>
      <c r="L26" s="225">
        <f t="shared" si="10"/>
        <v>7247.394604016783</v>
      </c>
      <c r="M26" s="224">
        <f t="shared" si="10"/>
        <v>0</v>
      </c>
      <c r="N26" s="224">
        <f t="shared" si="10"/>
        <v>0.10592816546412109</v>
      </c>
      <c r="O26" s="224">
        <f t="shared" si="10"/>
        <v>-2.9586845597954721</v>
      </c>
      <c r="P26" s="224">
        <f t="shared" si="10"/>
        <v>748.01594337777794</v>
      </c>
      <c r="Q26" s="224">
        <f t="shared" si="10"/>
        <v>922.58719996352011</v>
      </c>
      <c r="R26" s="224">
        <f t="shared" si="10"/>
        <v>1119.9058999063197</v>
      </c>
      <c r="S26" s="224">
        <f t="shared" si="10"/>
        <v>36.339894762408619</v>
      </c>
      <c r="T26" s="224">
        <f t="shared" si="10"/>
        <v>186.3906430963622</v>
      </c>
      <c r="U26" s="224">
        <f t="shared" si="10"/>
        <v>3849.1210104592669</v>
      </c>
      <c r="V26" s="224">
        <f t="shared" si="10"/>
        <v>140.93828398883943</v>
      </c>
      <c r="W26" s="224">
        <f t="shared" si="10"/>
        <v>8.0181210980662954</v>
      </c>
      <c r="X26" s="224">
        <f t="shared" si="10"/>
        <v>198.27377847019878</v>
      </c>
      <c r="Y26" s="224">
        <f t="shared" si="10"/>
        <v>2.1786877819474957</v>
      </c>
      <c r="Z26" s="224">
        <f t="shared" si="10"/>
        <v>38.477897506405931</v>
      </c>
      <c r="AA26" s="225">
        <f t="shared" si="10"/>
        <v>1940.4732212019621</v>
      </c>
      <c r="AB26" s="227">
        <f t="shared" si="10"/>
        <v>490.84157195082935</v>
      </c>
      <c r="AC26" s="149">
        <f t="shared" si="10"/>
        <v>0</v>
      </c>
      <c r="AD26" s="131">
        <f t="shared" si="10"/>
        <v>0</v>
      </c>
      <c r="AE26" s="131">
        <f t="shared" si="10"/>
        <v>185.59665394112363</v>
      </c>
      <c r="AF26" s="131">
        <f t="shared" si="10"/>
        <v>40.395105024547789</v>
      </c>
      <c r="AG26" s="131">
        <f t="shared" si="10"/>
        <v>0</v>
      </c>
      <c r="AH26" s="131">
        <f t="shared" si="10"/>
        <v>10.185099045065435</v>
      </c>
      <c r="AI26" s="131">
        <f t="shared" si="10"/>
        <v>161.499397953216</v>
      </c>
      <c r="AJ26" s="131">
        <f t="shared" si="10"/>
        <v>26.911813626048001</v>
      </c>
      <c r="AK26" s="134">
        <f t="shared" si="10"/>
        <v>0</v>
      </c>
      <c r="AL26" s="134">
        <f t="shared" si="10"/>
        <v>13.690577884670216</v>
      </c>
      <c r="AM26" s="228">
        <f t="shared" si="10"/>
        <v>52.562924476158216</v>
      </c>
      <c r="AN26" s="225">
        <f t="shared" si="10"/>
        <v>56.661712292356881</v>
      </c>
      <c r="AO26" s="225">
        <f t="shared" si="10"/>
        <v>2410.7629003302482</v>
      </c>
      <c r="AP26" s="227">
        <f t="shared" si="10"/>
        <v>0</v>
      </c>
      <c r="AQ26" s="229">
        <f>C26+H26+L26+AA26+AB26+AN26+AO26+AP26</f>
        <v>12586.226445238392</v>
      </c>
      <c r="AR26" s="7"/>
    </row>
    <row r="27" spans="1:44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238.9303637585522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198.27377847019878</v>
      </c>
      <c r="Y27" s="148">
        <f t="shared" si="12"/>
        <v>2.1786877819474957</v>
      </c>
      <c r="Z27" s="131">
        <f t="shared" si="12"/>
        <v>38.477897506405931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238.9303637585522</v>
      </c>
      <c r="AR27" s="7"/>
    </row>
    <row r="28" spans="1:44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238.9303637585522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198.27377847019878</v>
      </c>
      <c r="Y28" s="195">
        <f>Y26</f>
        <v>2.1786877819474957</v>
      </c>
      <c r="Z28" s="194">
        <f>Z26</f>
        <v>38.477897506405931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238.9303637585522</v>
      </c>
    </row>
    <row r="29" spans="1:44" s="11" customFormat="1" ht="12.75" customHeight="1" thickBot="1">
      <c r="A29" s="127" t="s">
        <v>107</v>
      </c>
      <c r="B29" s="128"/>
      <c r="C29" s="129">
        <f t="shared" ref="C29:AQ29" si="13">C30+C45+C56+C58+C65+C70+C71</f>
        <v>265.65655423564471</v>
      </c>
      <c r="D29" s="134">
        <f t="shared" si="13"/>
        <v>168.32812387512951</v>
      </c>
      <c r="E29" s="131">
        <f t="shared" si="13"/>
        <v>88.256941951509248</v>
      </c>
      <c r="F29" s="148">
        <f t="shared" si="13"/>
        <v>0</v>
      </c>
      <c r="G29" s="148">
        <f t="shared" si="13"/>
        <v>9.0714884090059194</v>
      </c>
      <c r="H29" s="132">
        <f t="shared" si="13"/>
        <v>183.49320499999999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55.789205000000003</v>
      </c>
      <c r="L29" s="132">
        <f t="shared" si="13"/>
        <v>7022.307718849569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780.92608129041673</v>
      </c>
      <c r="Q29" s="131">
        <f t="shared" si="13"/>
        <v>910.51333330047999</v>
      </c>
      <c r="R29" s="131">
        <f t="shared" si="13"/>
        <v>1115.6537766794397</v>
      </c>
      <c r="S29" s="131">
        <f t="shared" si="13"/>
        <v>29.695189152151887</v>
      </c>
      <c r="T29" s="131">
        <f t="shared" si="13"/>
        <v>180.27421114819845</v>
      </c>
      <c r="U29" s="131">
        <f t="shared" si="13"/>
        <v>3864.7831126557116</v>
      </c>
      <c r="V29" s="131">
        <f t="shared" si="13"/>
        <v>140.46201462316921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1973.3401425006634</v>
      </c>
      <c r="AB29" s="130">
        <f t="shared" si="13"/>
        <v>490.27808296634151</v>
      </c>
      <c r="AC29" s="149">
        <f t="shared" si="13"/>
        <v>0</v>
      </c>
      <c r="AD29" s="131">
        <f t="shared" si="13"/>
        <v>0</v>
      </c>
      <c r="AE29" s="131">
        <f t="shared" si="13"/>
        <v>185.35889708775588</v>
      </c>
      <c r="AF29" s="131">
        <f t="shared" si="13"/>
        <v>40.395105024547775</v>
      </c>
      <c r="AG29" s="131">
        <f t="shared" si="13"/>
        <v>0</v>
      </c>
      <c r="AH29" s="131">
        <f t="shared" si="13"/>
        <v>10.185099045065435</v>
      </c>
      <c r="AI29" s="131">
        <f t="shared" si="13"/>
        <v>161.89653003302402</v>
      </c>
      <c r="AJ29" s="131">
        <f t="shared" si="13"/>
        <v>26.188949415119996</v>
      </c>
      <c r="AK29" s="130">
        <f t="shared" si="13"/>
        <v>0</v>
      </c>
      <c r="AL29" s="130">
        <f t="shared" si="13"/>
        <v>13.690577884670214</v>
      </c>
      <c r="AM29" s="130">
        <f t="shared" si="13"/>
        <v>52.56292447615823</v>
      </c>
      <c r="AN29" s="130">
        <f t="shared" si="13"/>
        <v>56.661712292356889</v>
      </c>
      <c r="AO29" s="132">
        <f t="shared" si="13"/>
        <v>2444.449079574531</v>
      </c>
      <c r="AP29" s="130">
        <f t="shared" si="13"/>
        <v>0</v>
      </c>
      <c r="AQ29" s="229">
        <f t="shared" si="13"/>
        <v>12436.186495419108</v>
      </c>
      <c r="AR29" s="7"/>
    </row>
    <row r="30" spans="1:44" s="11" customFormat="1" ht="12.75" customHeight="1">
      <c r="A30" s="236" t="s">
        <v>108</v>
      </c>
      <c r="B30" s="237"/>
      <c r="C30" s="238">
        <f>SUM(C31:C44)</f>
        <v>79.151175402500002</v>
      </c>
      <c r="D30" s="239">
        <v>79.151175402500002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330.13645825890882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5.8818203964251996</v>
      </c>
      <c r="R30" s="239">
        <f>SUM(R31:R44)</f>
        <v>0</v>
      </c>
      <c r="S30" s="239">
        <v>29.48588602919402</v>
      </c>
      <c r="T30" s="239">
        <v>57.932680649403608</v>
      </c>
      <c r="U30" s="239">
        <v>99.857617671050932</v>
      </c>
      <c r="V30" s="239">
        <v>136.9784535128351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1027.2882562518741</v>
      </c>
      <c r="AB30" s="243">
        <f t="shared" ref="AB30:AN30" si="15">SUM(AB31:AB44)</f>
        <v>190.16491842348387</v>
      </c>
      <c r="AC30" s="244">
        <f t="shared" si="15"/>
        <v>0</v>
      </c>
      <c r="AD30" s="239">
        <f t="shared" si="15"/>
        <v>0</v>
      </c>
      <c r="AE30" s="239">
        <f t="shared" si="15"/>
        <v>145.89504204028125</v>
      </c>
      <c r="AF30" s="239">
        <f t="shared" si="15"/>
        <v>40.395105024547775</v>
      </c>
      <c r="AG30" s="239">
        <f t="shared" si="15"/>
        <v>0</v>
      </c>
      <c r="AH30" s="239">
        <f t="shared" si="15"/>
        <v>3.8747713586548427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56.661712292356889</v>
      </c>
      <c r="AO30" s="241">
        <v>573.29669378023141</v>
      </c>
      <c r="AP30" s="243">
        <f>SUM(AP31:AP44)</f>
        <v>0</v>
      </c>
      <c r="AQ30" s="150">
        <f t="shared" ref="AQ30:AQ72" si="16">C30+H30+L30+AA30+AB30+AN30+AO30+AP30</f>
        <v>2256.6992144093551</v>
      </c>
      <c r="AR30" s="7"/>
    </row>
    <row r="31" spans="1:44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163"/>
      <c r="K31" s="163"/>
      <c r="L31" s="251">
        <f t="shared" ref="L31:L43" si="19">SUM(M31:Z31)</f>
        <v>28.937234692017348</v>
      </c>
      <c r="M31" s="163"/>
      <c r="N31" s="163"/>
      <c r="O31" s="163"/>
      <c r="P31" s="254"/>
      <c r="Q31" s="205">
        <v>0.16500000000000001</v>
      </c>
      <c r="R31" s="249"/>
      <c r="S31" s="205">
        <v>0</v>
      </c>
      <c r="T31" s="205">
        <v>1.623469201734723E-2</v>
      </c>
      <c r="U31" s="205">
        <v>28.756</v>
      </c>
      <c r="V31" s="205">
        <v>0</v>
      </c>
      <c r="W31" s="249"/>
      <c r="X31" s="252"/>
      <c r="Y31" s="254"/>
      <c r="Z31" s="163"/>
      <c r="AA31" s="161">
        <v>14.571160707734615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26.162679918110541</v>
      </c>
      <c r="AP31" s="255"/>
      <c r="AQ31" s="162">
        <f t="shared" si="16"/>
        <v>69.671075317862503</v>
      </c>
    </row>
    <row r="32" spans="1:44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9"/>
      <c r="K32" s="109"/>
      <c r="L32" s="106">
        <f t="shared" si="19"/>
        <v>67.59052476319728</v>
      </c>
      <c r="M32" s="109"/>
      <c r="N32" s="109"/>
      <c r="O32" s="109"/>
      <c r="P32" s="254"/>
      <c r="Q32" s="259">
        <v>1.54</v>
      </c>
      <c r="R32" s="259"/>
      <c r="S32" s="259">
        <v>19.314129079223996</v>
      </c>
      <c r="T32" s="259">
        <v>36.048395683973283</v>
      </c>
      <c r="U32" s="259">
        <v>10.688000000000001</v>
      </c>
      <c r="V32" s="259">
        <v>0</v>
      </c>
      <c r="W32" s="259"/>
      <c r="X32" s="107"/>
      <c r="Y32" s="105"/>
      <c r="Z32" s="109"/>
      <c r="AA32" s="112">
        <v>304.38798337318332</v>
      </c>
      <c r="AB32" s="110">
        <f t="shared" si="20"/>
        <v>27.181471351214846</v>
      </c>
      <c r="AC32" s="111"/>
      <c r="AD32" s="109"/>
      <c r="AE32" s="109">
        <v>23.306699992560002</v>
      </c>
      <c r="AF32" s="109"/>
      <c r="AG32" s="163"/>
      <c r="AH32" s="163">
        <v>3.8747713586548427</v>
      </c>
      <c r="AI32" s="163"/>
      <c r="AJ32" s="163"/>
      <c r="AK32" s="107"/>
      <c r="AL32" s="105"/>
      <c r="AM32" s="109"/>
      <c r="AN32" s="112"/>
      <c r="AO32" s="112">
        <v>98.34903012536931</v>
      </c>
      <c r="AP32" s="110"/>
      <c r="AQ32" s="113">
        <f t="shared" si="16"/>
        <v>497.50900961296475</v>
      </c>
    </row>
    <row r="33" spans="1:44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9"/>
      <c r="K33" s="109"/>
      <c r="L33" s="106">
        <f t="shared" si="19"/>
        <v>2.1523819815729457</v>
      </c>
      <c r="M33" s="109"/>
      <c r="N33" s="109"/>
      <c r="O33" s="109"/>
      <c r="P33" s="254"/>
      <c r="Q33" s="259">
        <v>8.9999999999999993E-3</v>
      </c>
      <c r="R33" s="259"/>
      <c r="S33" s="259">
        <v>0</v>
      </c>
      <c r="T33" s="259">
        <v>1.8123819815729458</v>
      </c>
      <c r="U33" s="259">
        <v>0.33100000000000002</v>
      </c>
      <c r="V33" s="259">
        <v>0</v>
      </c>
      <c r="W33" s="259"/>
      <c r="X33" s="107"/>
      <c r="Y33" s="105"/>
      <c r="Z33" s="109"/>
      <c r="AA33" s="112">
        <v>12.129601488479675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3.4360368918250068</v>
      </c>
      <c r="AP33" s="110"/>
      <c r="AQ33" s="113">
        <f t="shared" si="16"/>
        <v>17.718020361877628</v>
      </c>
    </row>
    <row r="34" spans="1:44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9"/>
      <c r="K34" s="109"/>
      <c r="L34" s="106">
        <f t="shared" si="19"/>
        <v>2.5074424155667088</v>
      </c>
      <c r="M34" s="109"/>
      <c r="N34" s="109"/>
      <c r="O34" s="109"/>
      <c r="P34" s="254"/>
      <c r="Q34" s="259">
        <v>9.8000000000000004E-2</v>
      </c>
      <c r="R34" s="259"/>
      <c r="S34" s="259">
        <v>0</v>
      </c>
      <c r="T34" s="259">
        <v>0.61544241556670876</v>
      </c>
      <c r="U34" s="259">
        <v>1.794</v>
      </c>
      <c r="V34" s="259">
        <v>0</v>
      </c>
      <c r="W34" s="259"/>
      <c r="X34" s="107"/>
      <c r="Y34" s="105"/>
      <c r="Z34" s="109"/>
      <c r="AA34" s="112">
        <v>9.0928195219574501</v>
      </c>
      <c r="AB34" s="110">
        <f t="shared" si="20"/>
        <v>121.47971774049945</v>
      </c>
      <c r="AC34" s="111"/>
      <c r="AD34" s="109"/>
      <c r="AE34" s="109">
        <v>121.47971774049945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23.698408762676255</v>
      </c>
      <c r="AP34" s="110"/>
      <c r="AQ34" s="113">
        <f t="shared" si="16"/>
        <v>156.77838844069987</v>
      </c>
    </row>
    <row r="35" spans="1:44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9"/>
      <c r="K35" s="109"/>
      <c r="L35" s="106">
        <f t="shared" si="19"/>
        <v>0.65611498656661138</v>
      </c>
      <c r="M35" s="109"/>
      <c r="N35" s="109"/>
      <c r="O35" s="109"/>
      <c r="P35" s="254"/>
      <c r="Q35" s="259">
        <v>3.2000000000000001E-2</v>
      </c>
      <c r="R35" s="259"/>
      <c r="S35" s="259">
        <v>0</v>
      </c>
      <c r="T35" s="259">
        <v>0.36011498656661139</v>
      </c>
      <c r="U35" s="259">
        <v>0.26400000000000001</v>
      </c>
      <c r="V35" s="259">
        <v>0</v>
      </c>
      <c r="W35" s="259"/>
      <c r="X35" s="107"/>
      <c r="Y35" s="105"/>
      <c r="Z35" s="109"/>
      <c r="AA35" s="112">
        <v>6.4773447095032344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6.499211495665314</v>
      </c>
      <c r="AP35" s="110"/>
      <c r="AQ35" s="113">
        <f t="shared" si="16"/>
        <v>13.63267119173516</v>
      </c>
    </row>
    <row r="36" spans="1:44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9"/>
      <c r="K36" s="109"/>
      <c r="L36" s="106">
        <f t="shared" si="19"/>
        <v>20.046018056280207</v>
      </c>
      <c r="M36" s="109"/>
      <c r="N36" s="109"/>
      <c r="O36" s="109"/>
      <c r="P36" s="254"/>
      <c r="Q36" s="249">
        <v>0.30700000000000005</v>
      </c>
      <c r="R36" s="259"/>
      <c r="S36" s="249">
        <v>3.4063190006999995</v>
      </c>
      <c r="T36" s="249">
        <v>3.4417547076776138</v>
      </c>
      <c r="U36" s="249">
        <v>3.7950000000000004</v>
      </c>
      <c r="V36" s="249">
        <v>9.0959443479025932</v>
      </c>
      <c r="W36" s="259"/>
      <c r="X36" s="107"/>
      <c r="Y36" s="105"/>
      <c r="Z36" s="109"/>
      <c r="AA36" s="262">
        <v>125.31427399743582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86.41004304012553</v>
      </c>
      <c r="AP36" s="110"/>
      <c r="AQ36" s="113">
        <f t="shared" si="16"/>
        <v>231.77033509384154</v>
      </c>
    </row>
    <row r="37" spans="1:44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9"/>
      <c r="K37" s="109"/>
      <c r="L37" s="106">
        <f t="shared" si="19"/>
        <v>3.4676194320007792</v>
      </c>
      <c r="M37" s="109"/>
      <c r="N37" s="109"/>
      <c r="O37" s="109"/>
      <c r="P37" s="254"/>
      <c r="Q37" s="259">
        <v>0.63300000000000001</v>
      </c>
      <c r="R37" s="259"/>
      <c r="S37" s="259">
        <v>0</v>
      </c>
      <c r="T37" s="259">
        <v>2.0426194320007793</v>
      </c>
      <c r="U37" s="259">
        <v>0.79200000000000004</v>
      </c>
      <c r="V37" s="259">
        <v>0</v>
      </c>
      <c r="W37" s="259"/>
      <c r="X37" s="107"/>
      <c r="Y37" s="105"/>
      <c r="Z37" s="109"/>
      <c r="AA37" s="112">
        <v>11.933440877545609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21.615450032064846</v>
      </c>
      <c r="AP37" s="110"/>
      <c r="AQ37" s="113">
        <f t="shared" si="16"/>
        <v>37.016510341611237</v>
      </c>
    </row>
    <row r="38" spans="1:44" ht="12.75" customHeight="1">
      <c r="A38" s="257" t="s">
        <v>123</v>
      </c>
      <c r="B38" s="261" t="s">
        <v>124</v>
      </c>
      <c r="C38" s="102">
        <f t="shared" si="17"/>
        <v>79.151175402500002</v>
      </c>
      <c r="D38" s="111">
        <v>79.151175402500002</v>
      </c>
      <c r="E38" s="259"/>
      <c r="F38" s="259"/>
      <c r="G38" s="260"/>
      <c r="H38" s="106">
        <f t="shared" si="18"/>
        <v>0</v>
      </c>
      <c r="I38" s="107"/>
      <c r="J38" s="109"/>
      <c r="K38" s="109"/>
      <c r="L38" s="106">
        <f t="shared" si="19"/>
        <v>142.94126307467326</v>
      </c>
      <c r="M38" s="109"/>
      <c r="N38" s="109"/>
      <c r="O38" s="109"/>
      <c r="P38" s="254"/>
      <c r="Q38" s="259">
        <v>0.92700000000000005</v>
      </c>
      <c r="R38" s="259"/>
      <c r="S38" s="259">
        <v>0</v>
      </c>
      <c r="T38" s="259">
        <v>2.309753909740766</v>
      </c>
      <c r="U38" s="259">
        <v>11.821999999999999</v>
      </c>
      <c r="V38" s="259">
        <v>127.8825091649325</v>
      </c>
      <c r="W38" s="259"/>
      <c r="X38" s="107"/>
      <c r="Y38" s="105"/>
      <c r="Z38" s="109"/>
      <c r="AA38" s="112">
        <v>33.906125667947045</v>
      </c>
      <c r="AB38" s="110">
        <f t="shared" si="20"/>
        <v>41.503729331769577</v>
      </c>
      <c r="AC38" s="111"/>
      <c r="AD38" s="109"/>
      <c r="AE38" s="109">
        <v>1.1086243072218001</v>
      </c>
      <c r="AF38" s="109">
        <v>40.395105024547775</v>
      </c>
      <c r="AG38" s="163"/>
      <c r="AH38" s="163"/>
      <c r="AI38" s="163"/>
      <c r="AJ38" s="163"/>
      <c r="AK38" s="107"/>
      <c r="AL38" s="105"/>
      <c r="AM38" s="109"/>
      <c r="AN38" s="112">
        <v>56.661712292356889</v>
      </c>
      <c r="AO38" s="112">
        <v>66.522645991468522</v>
      </c>
      <c r="AP38" s="110"/>
      <c r="AQ38" s="113">
        <f t="shared" si="16"/>
        <v>420.68665176071522</v>
      </c>
    </row>
    <row r="39" spans="1:44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9"/>
      <c r="K39" s="109"/>
      <c r="L39" s="106">
        <f t="shared" si="19"/>
        <v>6.4271623854785567</v>
      </c>
      <c r="M39" s="109"/>
      <c r="N39" s="109"/>
      <c r="O39" s="109"/>
      <c r="P39" s="254"/>
      <c r="Q39" s="259">
        <v>0.39200000000000002</v>
      </c>
      <c r="R39" s="259"/>
      <c r="S39" s="259">
        <v>3.2590363652700001</v>
      </c>
      <c r="T39" s="259">
        <v>1.2161260202085564</v>
      </c>
      <c r="U39" s="259">
        <v>1.56</v>
      </c>
      <c r="V39" s="259">
        <v>0</v>
      </c>
      <c r="W39" s="259"/>
      <c r="X39" s="107"/>
      <c r="Y39" s="105"/>
      <c r="Z39" s="109"/>
      <c r="AA39" s="112">
        <v>426.98367813906225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62.119068431671877</v>
      </c>
      <c r="AP39" s="110"/>
      <c r="AQ39" s="113">
        <f t="shared" si="16"/>
        <v>495.52990895621269</v>
      </c>
    </row>
    <row r="40" spans="1:44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9"/>
      <c r="K40" s="109"/>
      <c r="L40" s="106">
        <f t="shared" si="19"/>
        <v>3.2890025761105153</v>
      </c>
      <c r="M40" s="109"/>
      <c r="N40" s="109"/>
      <c r="O40" s="109"/>
      <c r="P40" s="254"/>
      <c r="Q40" s="259">
        <v>0.27700000000000002</v>
      </c>
      <c r="R40" s="259"/>
      <c r="S40" s="259">
        <v>0</v>
      </c>
      <c r="T40" s="259">
        <v>1.8050025761105153</v>
      </c>
      <c r="U40" s="259">
        <v>1.2069999999999999</v>
      </c>
      <c r="V40" s="259">
        <v>0</v>
      </c>
      <c r="W40" s="259"/>
      <c r="X40" s="107"/>
      <c r="Y40" s="105"/>
      <c r="Z40" s="109"/>
      <c r="AA40" s="112">
        <v>14.667555784585376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17.734724689130609</v>
      </c>
      <c r="AP40" s="110"/>
      <c r="AQ40" s="113">
        <f t="shared" si="16"/>
        <v>35.691283049826495</v>
      </c>
    </row>
    <row r="41" spans="1:44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9"/>
      <c r="K41" s="109"/>
      <c r="L41" s="106">
        <f t="shared" si="19"/>
        <v>2.3324692017347237</v>
      </c>
      <c r="M41" s="109"/>
      <c r="N41" s="109"/>
      <c r="O41" s="109"/>
      <c r="P41" s="254"/>
      <c r="Q41" s="249">
        <v>0.24299999999999999</v>
      </c>
      <c r="R41" s="259"/>
      <c r="S41" s="249">
        <v>0</v>
      </c>
      <c r="T41" s="249">
        <v>1.6234692017347234</v>
      </c>
      <c r="U41" s="249">
        <v>0.46600000000000003</v>
      </c>
      <c r="V41" s="249">
        <v>0</v>
      </c>
      <c r="W41" s="259"/>
      <c r="X41" s="107"/>
      <c r="Y41" s="105"/>
      <c r="Z41" s="109"/>
      <c r="AA41" s="262">
        <v>20.138481964450943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97.133266687776157</v>
      </c>
      <c r="AP41" s="110"/>
      <c r="AQ41" s="113">
        <f t="shared" si="16"/>
        <v>119.60421785396183</v>
      </c>
    </row>
    <row r="42" spans="1:44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9"/>
      <c r="K42" s="109"/>
      <c r="L42" s="106">
        <f t="shared" si="19"/>
        <v>1.3366956185206118</v>
      </c>
      <c r="M42" s="109"/>
      <c r="N42" s="109"/>
      <c r="O42" s="109"/>
      <c r="P42" s="254"/>
      <c r="Q42" s="259">
        <v>7.6999999999999999E-2</v>
      </c>
      <c r="R42" s="259"/>
      <c r="S42" s="259">
        <v>0</v>
      </c>
      <c r="T42" s="259">
        <v>0.99769561852061184</v>
      </c>
      <c r="U42" s="259">
        <v>0.26200000000000001</v>
      </c>
      <c r="V42" s="259">
        <v>0</v>
      </c>
      <c r="W42" s="259"/>
      <c r="X42" s="107"/>
      <c r="Y42" s="105"/>
      <c r="Z42" s="109"/>
      <c r="AA42" s="112">
        <v>1.2558323648459284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3.7508044890472179</v>
      </c>
      <c r="AP42" s="110"/>
      <c r="AQ42" s="113">
        <f t="shared" si="16"/>
        <v>6.3433324724137581</v>
      </c>
    </row>
    <row r="43" spans="1:44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9"/>
      <c r="K43" s="109">
        <v>0</v>
      </c>
      <c r="L43" s="106">
        <f t="shared" si="19"/>
        <v>10.401886173660852</v>
      </c>
      <c r="M43" s="109"/>
      <c r="N43" s="109"/>
      <c r="O43" s="109"/>
      <c r="P43" s="105"/>
      <c r="Q43" s="259">
        <v>0.35</v>
      </c>
      <c r="R43" s="259"/>
      <c r="S43" s="259">
        <v>3.5064015839999998</v>
      </c>
      <c r="T43" s="259">
        <v>4.9574845896608508</v>
      </c>
      <c r="U43" s="259">
        <v>1.5880000000000001</v>
      </c>
      <c r="V43" s="259">
        <v>0</v>
      </c>
      <c r="W43" s="259"/>
      <c r="X43" s="107"/>
      <c r="Y43" s="105"/>
      <c r="Z43" s="109"/>
      <c r="AA43" s="112">
        <v>42.673359021240742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49.84418840711043</v>
      </c>
      <c r="AP43" s="110"/>
      <c r="AQ43" s="113">
        <f t="shared" si="16"/>
        <v>102.91943360201202</v>
      </c>
    </row>
    <row r="44" spans="1:44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38.050642901528427</v>
      </c>
      <c r="M44" s="168"/>
      <c r="N44" s="168"/>
      <c r="O44" s="168"/>
      <c r="P44" s="169"/>
      <c r="Q44" s="265">
        <v>0.83182039642519912</v>
      </c>
      <c r="R44" s="265"/>
      <c r="S44" s="265">
        <v>0</v>
      </c>
      <c r="T44" s="265">
        <v>0.68620483405228982</v>
      </c>
      <c r="U44" s="265">
        <v>36.532617671050936</v>
      </c>
      <c r="V44" s="265">
        <v>0</v>
      </c>
      <c r="W44" s="265"/>
      <c r="X44" s="167"/>
      <c r="Y44" s="169"/>
      <c r="Z44" s="168"/>
      <c r="AA44" s="174">
        <v>3.7565986339022426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10.021134818189905</v>
      </c>
      <c r="AP44" s="172"/>
      <c r="AQ44" s="175">
        <f>C44+H44+L44+AA44+AB44+AN44+AO44+AP44</f>
        <v>51.828376353620577</v>
      </c>
    </row>
    <row r="45" spans="1:44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68">
        <f t="shared" si="21"/>
        <v>0</v>
      </c>
      <c r="K45" s="268">
        <f t="shared" si="21"/>
        <v>0</v>
      </c>
      <c r="L45" s="270">
        <f t="shared" si="21"/>
        <v>5022.406969683203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780.92608129041673</v>
      </c>
      <c r="Q45" s="268">
        <f t="shared" si="21"/>
        <v>0</v>
      </c>
      <c r="R45" s="268">
        <f t="shared" si="21"/>
        <v>1115.6537766794397</v>
      </c>
      <c r="S45" s="268">
        <f t="shared" si="21"/>
        <v>0</v>
      </c>
      <c r="T45" s="268">
        <f t="shared" si="21"/>
        <v>1.6291650130548303</v>
      </c>
      <c r="U45" s="268">
        <f>SUM(U46:U55)</f>
        <v>3124.1979467002911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17.419296662833837</v>
      </c>
      <c r="AB45" s="273">
        <f t="shared" si="21"/>
        <v>188.08547944814401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161.89653003302402</v>
      </c>
      <c r="AJ45" s="268">
        <f t="shared" ref="AJ45" si="24">SUM(AJ46:AJ55)</f>
        <v>26.188949415119996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6.789153715939535</v>
      </c>
      <c r="AP45" s="273">
        <f t="shared" si="21"/>
        <v>0</v>
      </c>
      <c r="AQ45" s="275">
        <f t="shared" si="16"/>
        <v>5234.7008995101196</v>
      </c>
      <c r="AR45" s="7"/>
    </row>
    <row r="46" spans="1:44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5"/>
      <c r="K46" s="155"/>
      <c r="L46" s="157">
        <f t="shared" ref="L46:L64" si="28">SUM(M46:Z46)</f>
        <v>748.37704629118366</v>
      </c>
      <c r="M46" s="155"/>
      <c r="N46" s="155"/>
      <c r="O46" s="155"/>
      <c r="P46" s="155"/>
      <c r="Q46" s="155"/>
      <c r="R46" s="155"/>
      <c r="S46" s="155"/>
      <c r="T46" s="155"/>
      <c r="U46" s="155">
        <v>748.37704629118366</v>
      </c>
      <c r="V46" s="155"/>
      <c r="W46" s="156"/>
      <c r="X46" s="156"/>
      <c r="Y46" s="156"/>
      <c r="Z46" s="155"/>
      <c r="AA46" s="161">
        <v>0.40482290195599996</v>
      </c>
      <c r="AB46" s="159">
        <f t="shared" ref="AB46:AB56" si="29">SUM(AC46:AM46)</f>
        <v>40.453753708816322</v>
      </c>
      <c r="AC46" s="160"/>
      <c r="AD46" s="155"/>
      <c r="AE46" s="155"/>
      <c r="AF46" s="155"/>
      <c r="AG46" s="155"/>
      <c r="AH46" s="155"/>
      <c r="AI46" s="155">
        <v>40.453753708816322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789.23562290195594</v>
      </c>
    </row>
    <row r="47" spans="1:44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163"/>
      <c r="K47" s="163"/>
      <c r="L47" s="251">
        <f t="shared" si="28"/>
        <v>316.75405182730395</v>
      </c>
      <c r="M47" s="163"/>
      <c r="N47" s="163"/>
      <c r="O47" s="163"/>
      <c r="P47" s="163"/>
      <c r="Q47" s="163"/>
      <c r="R47" s="163"/>
      <c r="S47" s="163"/>
      <c r="T47" s="163"/>
      <c r="U47" s="163">
        <v>316.75405182730395</v>
      </c>
      <c r="V47" s="163"/>
      <c r="W47" s="254"/>
      <c r="X47" s="254"/>
      <c r="Y47" s="254"/>
      <c r="Z47" s="163"/>
      <c r="AA47" s="262"/>
      <c r="AB47" s="255">
        <f t="shared" si="29"/>
        <v>17.122238666183886</v>
      </c>
      <c r="AC47" s="256"/>
      <c r="AD47" s="163"/>
      <c r="AE47" s="163"/>
      <c r="AF47" s="163"/>
      <c r="AG47" s="163"/>
      <c r="AH47" s="163"/>
      <c r="AI47" s="163">
        <v>17.122238666183886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333.87629049348783</v>
      </c>
    </row>
    <row r="48" spans="1:44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9"/>
      <c r="K48" s="109"/>
      <c r="L48" s="106">
        <f t="shared" si="28"/>
        <v>1982.9140226370646</v>
      </c>
      <c r="M48" s="109"/>
      <c r="N48" s="109"/>
      <c r="O48" s="109"/>
      <c r="P48" s="109">
        <v>622.68033431861272</v>
      </c>
      <c r="Q48" s="109"/>
      <c r="R48" s="109"/>
      <c r="S48" s="109"/>
      <c r="T48" s="109">
        <v>1.6291650130548303</v>
      </c>
      <c r="U48" s="109">
        <v>1358.6045233053969</v>
      </c>
      <c r="V48" s="109"/>
      <c r="W48" s="105"/>
      <c r="X48" s="105"/>
      <c r="Y48" s="105"/>
      <c r="Z48" s="109"/>
      <c r="AA48" s="112"/>
      <c r="AB48" s="110">
        <f t="shared" si="29"/>
        <v>94.341885956175844</v>
      </c>
      <c r="AC48" s="111"/>
      <c r="AD48" s="109"/>
      <c r="AE48" s="109"/>
      <c r="AF48" s="109"/>
      <c r="AG48" s="109"/>
      <c r="AH48" s="109"/>
      <c r="AI48" s="109">
        <v>73.439789536377461</v>
      </c>
      <c r="AJ48" s="109">
        <v>20.902096419798376</v>
      </c>
      <c r="AK48" s="107"/>
      <c r="AL48" s="105"/>
      <c r="AM48" s="109"/>
      <c r="AN48" s="106"/>
      <c r="AO48" s="112">
        <v>2.331271905939535</v>
      </c>
      <c r="AP48" s="110"/>
      <c r="AQ48" s="113">
        <f t="shared" si="16"/>
        <v>2079.5871804991798</v>
      </c>
    </row>
    <row r="49" spans="1:44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9"/>
      <c r="K49" s="109"/>
      <c r="L49" s="106">
        <f t="shared" si="28"/>
        <v>131.61403340217319</v>
      </c>
      <c r="M49" s="109"/>
      <c r="N49" s="109"/>
      <c r="O49" s="109"/>
      <c r="P49" s="109">
        <v>4.0527672383008335</v>
      </c>
      <c r="Q49" s="109"/>
      <c r="R49" s="109"/>
      <c r="S49" s="109"/>
      <c r="T49" s="109"/>
      <c r="U49" s="109">
        <v>127.56126616387235</v>
      </c>
      <c r="V49" s="109"/>
      <c r="W49" s="105"/>
      <c r="X49" s="105"/>
      <c r="Y49" s="105"/>
      <c r="Z49" s="109"/>
      <c r="AA49" s="112"/>
      <c r="AB49" s="110">
        <f t="shared" si="29"/>
        <v>7.0314069169473807</v>
      </c>
      <c r="AC49" s="111"/>
      <c r="AD49" s="109"/>
      <c r="AE49" s="109"/>
      <c r="AF49" s="109"/>
      <c r="AG49" s="109"/>
      <c r="AH49" s="109"/>
      <c r="AI49" s="109">
        <v>6.8953638673870277</v>
      </c>
      <c r="AJ49" s="109">
        <v>0.13604304956035268</v>
      </c>
      <c r="AK49" s="107"/>
      <c r="AL49" s="105"/>
      <c r="AM49" s="109"/>
      <c r="AN49" s="106"/>
      <c r="AO49" s="112"/>
      <c r="AP49" s="110"/>
      <c r="AQ49" s="113">
        <f t="shared" si="16"/>
        <v>138.64544031912058</v>
      </c>
    </row>
    <row r="50" spans="1:44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9"/>
      <c r="K50" s="109"/>
      <c r="L50" s="106">
        <f t="shared" si="28"/>
        <v>39.810128252916314</v>
      </c>
      <c r="M50" s="109"/>
      <c r="N50" s="109"/>
      <c r="O50" s="109"/>
      <c r="P50" s="109"/>
      <c r="Q50" s="109"/>
      <c r="R50" s="281"/>
      <c r="S50" s="109"/>
      <c r="T50" s="109"/>
      <c r="U50" s="109">
        <v>39.810128252916314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4.4578818099999999</v>
      </c>
      <c r="AP50" s="110"/>
      <c r="AQ50" s="113">
        <f t="shared" si="16"/>
        <v>44.268010062916318</v>
      </c>
    </row>
    <row r="51" spans="1:44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9"/>
      <c r="K51" s="109"/>
      <c r="L51" s="106">
        <f t="shared" si="28"/>
        <v>5.9928633675724274</v>
      </c>
      <c r="M51" s="109"/>
      <c r="N51" s="109"/>
      <c r="O51" s="109"/>
      <c r="P51" s="109">
        <v>0.74865555555555552</v>
      </c>
      <c r="Q51" s="109"/>
      <c r="R51" s="109">
        <v>5.2442078120168718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5.9928633675724274</v>
      </c>
    </row>
    <row r="52" spans="1:44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1"/>
      <c r="K52" s="281"/>
      <c r="L52" s="284">
        <f t="shared" si="28"/>
        <v>1110.4095688674229</v>
      </c>
      <c r="M52" s="281"/>
      <c r="N52" s="281"/>
      <c r="O52" s="281"/>
      <c r="P52" s="163"/>
      <c r="Q52" s="281"/>
      <c r="R52" s="281">
        <v>1110.4095688674229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1110.4095688674229</v>
      </c>
    </row>
    <row r="53" spans="1:44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1"/>
      <c r="K53" s="281"/>
      <c r="L53" s="284">
        <f t="shared" si="28"/>
        <v>232.93569286014326</v>
      </c>
      <c r="M53" s="281"/>
      <c r="N53" s="281"/>
      <c r="O53" s="281"/>
      <c r="P53" s="281">
        <v>3.0020492303501669</v>
      </c>
      <c r="Q53" s="281"/>
      <c r="R53" s="281"/>
      <c r="S53" s="281"/>
      <c r="T53" s="281"/>
      <c r="U53" s="281">
        <v>229.9336436297931</v>
      </c>
      <c r="V53" s="281"/>
      <c r="W53" s="283"/>
      <c r="X53" s="283"/>
      <c r="Y53" s="283"/>
      <c r="Z53" s="281"/>
      <c r="AA53" s="262"/>
      <c r="AB53" s="287">
        <f t="shared" si="29"/>
        <v>12.529907141650192</v>
      </c>
      <c r="AC53" s="288"/>
      <c r="AD53" s="281"/>
      <c r="AE53" s="281"/>
      <c r="AF53" s="281"/>
      <c r="AG53" s="281"/>
      <c r="AH53" s="281"/>
      <c r="AI53" s="109">
        <v>12.429134531674601</v>
      </c>
      <c r="AJ53" s="109">
        <v>0.10077260997559184</v>
      </c>
      <c r="AK53" s="281"/>
      <c r="AL53" s="281"/>
      <c r="AM53" s="281"/>
      <c r="AN53" s="262"/>
      <c r="AO53" s="112"/>
      <c r="AP53" s="287"/>
      <c r="AQ53" s="289">
        <f t="shared" si="16"/>
        <v>245.46560000179346</v>
      </c>
    </row>
    <row r="54" spans="1:44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1"/>
      <c r="K54" s="281"/>
      <c r="L54" s="284">
        <f t="shared" si="28"/>
        <v>89.371637180087745</v>
      </c>
      <c r="M54" s="281"/>
      <c r="N54" s="281"/>
      <c r="O54" s="281"/>
      <c r="P54" s="281"/>
      <c r="Q54" s="281"/>
      <c r="R54" s="281"/>
      <c r="S54" s="281"/>
      <c r="T54" s="281"/>
      <c r="U54" s="281">
        <v>89.371637180087745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89.371637180087745</v>
      </c>
    </row>
    <row r="55" spans="1:44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68"/>
      <c r="K55" s="168"/>
      <c r="L55" s="170">
        <f t="shared" si="28"/>
        <v>364.2279249973343</v>
      </c>
      <c r="M55" s="168"/>
      <c r="N55" s="168"/>
      <c r="O55" s="168"/>
      <c r="P55" s="168">
        <v>150.4422749475975</v>
      </c>
      <c r="Q55" s="168"/>
      <c r="R55" s="168"/>
      <c r="S55" s="168">
        <v>0</v>
      </c>
      <c r="T55" s="168"/>
      <c r="U55" s="168">
        <v>213.7856500497368</v>
      </c>
      <c r="V55" s="168"/>
      <c r="W55" s="169"/>
      <c r="X55" s="169"/>
      <c r="Y55" s="169"/>
      <c r="Z55" s="168"/>
      <c r="AA55" s="174">
        <v>17.014473760877838</v>
      </c>
      <c r="AB55" s="172">
        <f t="shared" si="29"/>
        <v>16.606287058370373</v>
      </c>
      <c r="AC55" s="173"/>
      <c r="AD55" s="168"/>
      <c r="AE55" s="168"/>
      <c r="AF55" s="168"/>
      <c r="AG55" s="168"/>
      <c r="AH55" s="168"/>
      <c r="AI55" s="168">
        <v>11.556249722584699</v>
      </c>
      <c r="AJ55" s="168">
        <v>5.0500373357856754</v>
      </c>
      <c r="AK55" s="167"/>
      <c r="AL55" s="169"/>
      <c r="AM55" s="168"/>
      <c r="AN55" s="170"/>
      <c r="AO55" s="174"/>
      <c r="AP55" s="172"/>
      <c r="AQ55" s="175">
        <f t="shared" si="16"/>
        <v>397.84868581658247</v>
      </c>
    </row>
    <row r="56" spans="1:44" s="11" customFormat="1" ht="12.75" customHeight="1">
      <c r="A56" s="292" t="s">
        <v>146</v>
      </c>
      <c r="B56" s="293"/>
      <c r="C56" s="294">
        <f t="shared" si="26"/>
        <v>186.10443913389656</v>
      </c>
      <c r="D56" s="295">
        <v>88.776008773381392</v>
      </c>
      <c r="E56" s="104">
        <v>88.256941951509248</v>
      </c>
      <c r="F56" s="296"/>
      <c r="G56" s="296">
        <v>9.0714884090059194</v>
      </c>
      <c r="H56" s="297">
        <f t="shared" si="27"/>
        <v>183.49320499999999</v>
      </c>
      <c r="I56" s="295"/>
      <c r="J56" s="186">
        <v>127.70399999999999</v>
      </c>
      <c r="K56" s="186">
        <v>55.789205000000003</v>
      </c>
      <c r="L56" s="297">
        <f t="shared" si="28"/>
        <v>1239.9315606380669</v>
      </c>
      <c r="M56" s="186"/>
      <c r="N56" s="186"/>
      <c r="O56" s="186"/>
      <c r="P56" s="186">
        <v>0</v>
      </c>
      <c r="Q56" s="186">
        <v>841.81851290405484</v>
      </c>
      <c r="R56" s="186"/>
      <c r="S56" s="186">
        <v>0</v>
      </c>
      <c r="T56" s="186">
        <v>50.020612917840218</v>
      </c>
      <c r="U56" s="186">
        <v>344.60887370583782</v>
      </c>
      <c r="V56" s="186">
        <v>3.4835611103340964</v>
      </c>
      <c r="W56" s="296"/>
      <c r="X56" s="296"/>
      <c r="Y56" s="296"/>
      <c r="Z56" s="186"/>
      <c r="AA56" s="297">
        <v>591.35700114828694</v>
      </c>
      <c r="AB56" s="299">
        <f t="shared" si="29"/>
        <v>75.270295932702496</v>
      </c>
      <c r="AC56" s="300"/>
      <c r="AD56" s="186"/>
      <c r="AE56" s="186">
        <v>25.456791773706627</v>
      </c>
      <c r="AF56" s="186"/>
      <c r="AG56" s="186"/>
      <c r="AH56" s="186"/>
      <c r="AI56" s="186"/>
      <c r="AJ56" s="186"/>
      <c r="AK56" s="295"/>
      <c r="AL56" s="296">
        <v>13.524083223013008</v>
      </c>
      <c r="AM56" s="186">
        <v>36.289420935982861</v>
      </c>
      <c r="AN56" s="297"/>
      <c r="AO56" s="297">
        <v>699.43373673658175</v>
      </c>
      <c r="AP56" s="299"/>
      <c r="AQ56" s="187">
        <f t="shared" si="16"/>
        <v>2975.5902385895351</v>
      </c>
      <c r="AR56" s="7"/>
    </row>
    <row r="57" spans="1:44" s="11" customFormat="1" ht="12.75" customHeight="1">
      <c r="A57" s="292" t="s">
        <v>271</v>
      </c>
      <c r="B57" s="293"/>
      <c r="C57" s="294">
        <f>C58+C65</f>
        <v>0.40093969924812034</v>
      </c>
      <c r="D57" s="186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223.02105569085765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186">
        <f t="shared" si="30"/>
        <v>62.813000000000002</v>
      </c>
      <c r="R57" s="186">
        <f t="shared" si="30"/>
        <v>0</v>
      </c>
      <c r="S57" s="186">
        <f t="shared" si="30"/>
        <v>0.2093031229578676</v>
      </c>
      <c r="T57" s="186">
        <f t="shared" si="30"/>
        <v>70.691752567899783</v>
      </c>
      <c r="U57" s="186">
        <f t="shared" si="30"/>
        <v>89.306999999999988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297">
        <f t="shared" si="30"/>
        <v>337.27558843766866</v>
      </c>
      <c r="AB57" s="299">
        <f t="shared" si="30"/>
        <v>36.757389162011165</v>
      </c>
      <c r="AC57" s="300">
        <f t="shared" si="30"/>
        <v>0</v>
      </c>
      <c r="AD57" s="186">
        <f t="shared" si="30"/>
        <v>0</v>
      </c>
      <c r="AE57" s="186">
        <f t="shared" si="30"/>
        <v>14.007063273767997</v>
      </c>
      <c r="AF57" s="186">
        <f t="shared" si="30"/>
        <v>0</v>
      </c>
      <c r="AG57" s="186">
        <f t="shared" si="30"/>
        <v>0</v>
      </c>
      <c r="AH57" s="186">
        <f t="shared" si="30"/>
        <v>6.3103276864105924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297">
        <f t="shared" si="30"/>
        <v>1118.1358379003605</v>
      </c>
      <c r="AP57" s="299">
        <f t="shared" si="30"/>
        <v>0</v>
      </c>
      <c r="AQ57" s="301">
        <f t="shared" si="16"/>
        <v>1715.590810890146</v>
      </c>
      <c r="AR57" s="7"/>
    </row>
    <row r="58" spans="1:44" s="11" customFormat="1" ht="12.75" customHeight="1">
      <c r="A58" s="292" t="s">
        <v>272</v>
      </c>
      <c r="B58" s="293"/>
      <c r="C58" s="294">
        <f t="shared" si="26"/>
        <v>0.39794015037593988</v>
      </c>
      <c r="D58" s="300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295">
        <f>SUM(J59:J64)</f>
        <v>0</v>
      </c>
      <c r="K58" s="295">
        <f>SUM(K59:K64)</f>
        <v>0</v>
      </c>
      <c r="L58" s="297">
        <f t="shared" si="28"/>
        <v>104.97002542041611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299">
        <v>18.247</v>
      </c>
      <c r="R58" s="299">
        <f t="shared" si="31"/>
        <v>0</v>
      </c>
      <c r="S58" s="299">
        <v>0</v>
      </c>
      <c r="T58" s="299">
        <v>45.311025420416122</v>
      </c>
      <c r="U58" s="299">
        <v>41.411999999999992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297">
        <v>210.92253952116275</v>
      </c>
      <c r="AB58" s="299">
        <f t="shared" ref="AB58:AB71" si="32">SUM(AC58:AM58)</f>
        <v>20.431425609766706</v>
      </c>
      <c r="AC58" s="300">
        <f t="shared" si="31"/>
        <v>0</v>
      </c>
      <c r="AD58" s="186">
        <f t="shared" si="31"/>
        <v>0</v>
      </c>
      <c r="AE58" s="186">
        <f t="shared" si="31"/>
        <v>3.1189386535341326</v>
      </c>
      <c r="AF58" s="186"/>
      <c r="AG58" s="186">
        <f t="shared" si="31"/>
        <v>0</v>
      </c>
      <c r="AH58" s="186">
        <f t="shared" si="31"/>
        <v>0.87248875439999996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297">
        <v>850.71541364957784</v>
      </c>
      <c r="AP58" s="299">
        <f t="shared" ref="AP58" si="34">SUM(AP59:AP64)</f>
        <v>0</v>
      </c>
      <c r="AQ58" s="301">
        <f t="shared" si="16"/>
        <v>1187.4373443512993</v>
      </c>
      <c r="AR58" s="7"/>
    </row>
    <row r="59" spans="1:44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111">
        <v>1.9996992481203005E-3</v>
      </c>
      <c r="E59" s="159"/>
      <c r="F59" s="159"/>
      <c r="G59" s="202"/>
      <c r="H59" s="157">
        <f t="shared" si="27"/>
        <v>0</v>
      </c>
      <c r="I59" s="277"/>
      <c r="J59" s="277"/>
      <c r="K59" s="277"/>
      <c r="L59" s="157">
        <f t="shared" si="28"/>
        <v>28.059253705027771</v>
      </c>
      <c r="M59" s="204"/>
      <c r="N59" s="306"/>
      <c r="O59" s="306"/>
      <c r="P59" s="159"/>
      <c r="Q59" s="259">
        <v>5.9740000000000002</v>
      </c>
      <c r="R59" s="159"/>
      <c r="S59" s="259">
        <v>0</v>
      </c>
      <c r="T59" s="259">
        <v>12.192253705027772</v>
      </c>
      <c r="U59" s="259">
        <v>9.8930000000000007</v>
      </c>
      <c r="V59" s="259">
        <v>0</v>
      </c>
      <c r="W59" s="159"/>
      <c r="X59" s="159"/>
      <c r="Y59" s="306"/>
      <c r="Z59" s="277"/>
      <c r="AA59" s="112">
        <v>53.47297808575852</v>
      </c>
      <c r="AB59" s="159">
        <f t="shared" si="32"/>
        <v>0.78441003446442359</v>
      </c>
      <c r="AC59" s="307"/>
      <c r="AD59" s="204"/>
      <c r="AE59" s="155">
        <v>0.78441003446442359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223.95503288939349</v>
      </c>
      <c r="AP59" s="159"/>
      <c r="AQ59" s="188">
        <f t="shared" si="16"/>
        <v>306.27367441389231</v>
      </c>
      <c r="AR59" s="7"/>
    </row>
    <row r="60" spans="1:44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111">
        <v>5.9990977443609029E-3</v>
      </c>
      <c r="E60" s="110"/>
      <c r="F60" s="110"/>
      <c r="G60" s="308"/>
      <c r="H60" s="106">
        <f t="shared" si="27"/>
        <v>0</v>
      </c>
      <c r="I60" s="103"/>
      <c r="J60" s="103"/>
      <c r="K60" s="103"/>
      <c r="L60" s="106">
        <f t="shared" si="28"/>
        <v>23.009622988348113</v>
      </c>
      <c r="M60" s="114"/>
      <c r="N60" s="104"/>
      <c r="O60" s="104"/>
      <c r="P60" s="110"/>
      <c r="Q60" s="259">
        <v>4.141</v>
      </c>
      <c r="R60" s="110"/>
      <c r="S60" s="259">
        <v>0</v>
      </c>
      <c r="T60" s="259">
        <v>3.3886229883481134</v>
      </c>
      <c r="U60" s="259">
        <v>15.48</v>
      </c>
      <c r="V60" s="259">
        <v>0</v>
      </c>
      <c r="W60" s="110"/>
      <c r="X60" s="110"/>
      <c r="Y60" s="104"/>
      <c r="Z60" s="103"/>
      <c r="AA60" s="112">
        <v>19.701670707113234</v>
      </c>
      <c r="AB60" s="110">
        <f t="shared" si="32"/>
        <v>2.7696552104321263E-2</v>
      </c>
      <c r="AC60" s="310"/>
      <c r="AD60" s="114"/>
      <c r="AE60" s="109">
        <v>2.7696552104321263E-2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65.522361043248949</v>
      </c>
      <c r="AP60" s="110"/>
      <c r="AQ60" s="113">
        <f t="shared" si="16"/>
        <v>108.26735038855898</v>
      </c>
      <c r="AR60" s="7"/>
    </row>
    <row r="61" spans="1:44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111">
        <v>0.37494360902255641</v>
      </c>
      <c r="E61" s="110"/>
      <c r="F61" s="110"/>
      <c r="G61" s="308"/>
      <c r="H61" s="106">
        <f t="shared" si="27"/>
        <v>0</v>
      </c>
      <c r="I61" s="103"/>
      <c r="J61" s="103"/>
      <c r="K61" s="103"/>
      <c r="L61" s="106">
        <f t="shared" si="28"/>
        <v>31.081443602014417</v>
      </c>
      <c r="M61" s="114"/>
      <c r="N61" s="104"/>
      <c r="O61" s="104"/>
      <c r="P61" s="110"/>
      <c r="Q61" s="259">
        <v>4.0250000000000004</v>
      </c>
      <c r="R61" s="110"/>
      <c r="S61" s="259">
        <v>0</v>
      </c>
      <c r="T61" s="259">
        <v>22.64444360201442</v>
      </c>
      <c r="U61" s="259">
        <v>4.4119999999999999</v>
      </c>
      <c r="V61" s="259">
        <v>0</v>
      </c>
      <c r="W61" s="110"/>
      <c r="X61" s="110"/>
      <c r="Y61" s="104"/>
      <c r="Z61" s="103"/>
      <c r="AA61" s="112">
        <v>37.232766956468069</v>
      </c>
      <c r="AB61" s="110">
        <f t="shared" si="32"/>
        <v>0.75488389259545918</v>
      </c>
      <c r="AC61" s="310"/>
      <c r="AD61" s="114"/>
      <c r="AE61" s="109">
        <v>0.75488389259545918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123.6265582096805</v>
      </c>
      <c r="AP61" s="110"/>
      <c r="AQ61" s="113">
        <f t="shared" si="16"/>
        <v>193.07059626978099</v>
      </c>
      <c r="AR61" s="7"/>
    </row>
    <row r="62" spans="1:44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111">
        <v>1.0998345864661654E-2</v>
      </c>
      <c r="E62" s="110"/>
      <c r="F62" s="110"/>
      <c r="G62" s="308"/>
      <c r="H62" s="106">
        <f t="shared" si="27"/>
        <v>0</v>
      </c>
      <c r="I62" s="103"/>
      <c r="J62" s="103"/>
      <c r="K62" s="103"/>
      <c r="L62" s="106">
        <f t="shared" si="28"/>
        <v>3.299708612636195</v>
      </c>
      <c r="M62" s="114"/>
      <c r="N62" s="104"/>
      <c r="O62" s="104"/>
      <c r="P62" s="110"/>
      <c r="Q62" s="259">
        <v>0.47699999999999998</v>
      </c>
      <c r="R62" s="110"/>
      <c r="S62" s="259">
        <v>0</v>
      </c>
      <c r="T62" s="259">
        <v>0.93570861263619509</v>
      </c>
      <c r="U62" s="259">
        <v>1.887</v>
      </c>
      <c r="V62" s="259">
        <v>0</v>
      </c>
      <c r="W62" s="110"/>
      <c r="X62" s="110"/>
      <c r="Y62" s="104"/>
      <c r="Z62" s="103"/>
      <c r="AA62" s="112">
        <v>19.707063438685303</v>
      </c>
      <c r="AB62" s="110">
        <f t="shared" si="32"/>
        <v>5.5986581704689099E-2</v>
      </c>
      <c r="AC62" s="310"/>
      <c r="AD62" s="114"/>
      <c r="AE62" s="109">
        <v>5.5986581704689099E-2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288.83307099873122</v>
      </c>
      <c r="AP62" s="110"/>
      <c r="AQ62" s="113">
        <f t="shared" si="16"/>
        <v>311.90682797762207</v>
      </c>
      <c r="AR62" s="7"/>
    </row>
    <row r="63" spans="1:44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288">
        <v>3.9993984962406011E-3</v>
      </c>
      <c r="E63" s="110"/>
      <c r="F63" s="110"/>
      <c r="G63" s="308"/>
      <c r="H63" s="106">
        <f t="shared" si="27"/>
        <v>0</v>
      </c>
      <c r="I63" s="103"/>
      <c r="J63" s="103"/>
      <c r="K63" s="103"/>
      <c r="L63" s="106">
        <f t="shared" si="28"/>
        <v>1.1234981306763474</v>
      </c>
      <c r="M63" s="114"/>
      <c r="N63" s="104"/>
      <c r="O63" s="104"/>
      <c r="P63" s="110"/>
      <c r="Q63" s="311">
        <v>0.66700000000000004</v>
      </c>
      <c r="R63" s="110"/>
      <c r="S63" s="311">
        <v>0</v>
      </c>
      <c r="T63" s="311">
        <v>0.12249813067634732</v>
      </c>
      <c r="U63" s="311">
        <v>0.33400000000000002</v>
      </c>
      <c r="V63" s="311">
        <v>0</v>
      </c>
      <c r="W63" s="110"/>
      <c r="X63" s="110"/>
      <c r="Y63" s="104"/>
      <c r="Z63" s="103"/>
      <c r="AA63" s="312">
        <v>12.660785548328626</v>
      </c>
      <c r="AB63" s="110">
        <f t="shared" si="32"/>
        <v>0.33972770821006093</v>
      </c>
      <c r="AC63" s="310"/>
      <c r="AD63" s="114"/>
      <c r="AE63" s="109">
        <v>0.33972770821006093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42.324622888234863</v>
      </c>
      <c r="AP63" s="110"/>
      <c r="AQ63" s="113">
        <f t="shared" si="16"/>
        <v>56.452633673946139</v>
      </c>
      <c r="AR63" s="7"/>
    </row>
    <row r="64" spans="1:44" ht="12.75" customHeight="1">
      <c r="A64" s="164" t="s">
        <v>283</v>
      </c>
      <c r="B64" s="313"/>
      <c r="C64" s="166">
        <f t="shared" si="26"/>
        <v>0</v>
      </c>
      <c r="D64" s="288">
        <v>0</v>
      </c>
      <c r="E64" s="172"/>
      <c r="F64" s="172"/>
      <c r="G64" s="314"/>
      <c r="H64" s="170">
        <f t="shared" si="27"/>
        <v>0</v>
      </c>
      <c r="I64" s="290"/>
      <c r="J64" s="290"/>
      <c r="K64" s="290"/>
      <c r="L64" s="170">
        <f t="shared" si="28"/>
        <v>18.396498381713283</v>
      </c>
      <c r="M64" s="291"/>
      <c r="N64" s="316"/>
      <c r="O64" s="316"/>
      <c r="P64" s="172"/>
      <c r="Q64" s="311">
        <v>2.9630000000000001</v>
      </c>
      <c r="R64" s="172"/>
      <c r="S64" s="311">
        <v>0</v>
      </c>
      <c r="T64" s="311">
        <v>6.0274983817132819</v>
      </c>
      <c r="U64" s="311">
        <v>9.4060000000000006</v>
      </c>
      <c r="V64" s="311">
        <v>0</v>
      </c>
      <c r="W64" s="172"/>
      <c r="X64" s="172"/>
      <c r="Y64" s="316"/>
      <c r="Z64" s="290"/>
      <c r="AA64" s="312">
        <v>68.147274784808985</v>
      </c>
      <c r="AB64" s="172">
        <f t="shared" si="32"/>
        <v>18.468720840687752</v>
      </c>
      <c r="AC64" s="317"/>
      <c r="AD64" s="291"/>
      <c r="AE64" s="168">
        <v>1.1562338844551785</v>
      </c>
      <c r="AF64" s="168"/>
      <c r="AG64" s="168"/>
      <c r="AH64" s="168">
        <v>0.87248875439999996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12">
        <v>106.45376762028886</v>
      </c>
      <c r="AP64" s="172"/>
      <c r="AQ64" s="175">
        <f t="shared" si="16"/>
        <v>211.46626162749888</v>
      </c>
    </row>
    <row r="65" spans="1:44" ht="12.75" customHeight="1">
      <c r="A65" s="292" t="s">
        <v>284</v>
      </c>
      <c r="B65" s="293"/>
      <c r="C65" s="166">
        <f>SUM(D65:G65)</f>
        <v>2.9995488721804506E-3</v>
      </c>
      <c r="D65" s="300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68">
        <v>0</v>
      </c>
      <c r="K65" s="168">
        <v>0</v>
      </c>
      <c r="L65" s="170">
        <f>SUM(M65:Z65)</f>
        <v>118.05103027044154</v>
      </c>
      <c r="M65" s="168"/>
      <c r="N65" s="169"/>
      <c r="O65" s="169"/>
      <c r="P65" s="265"/>
      <c r="Q65" s="299">
        <v>44.566000000000003</v>
      </c>
      <c r="R65" s="265"/>
      <c r="S65" s="299">
        <v>0.2093031229578676</v>
      </c>
      <c r="T65" s="299">
        <v>25.380727147483668</v>
      </c>
      <c r="U65" s="299">
        <v>47.895000000000003</v>
      </c>
      <c r="V65" s="299">
        <f>SUM(V66:V69)</f>
        <v>0</v>
      </c>
      <c r="W65" s="265"/>
      <c r="X65" s="265"/>
      <c r="Y65" s="169"/>
      <c r="Z65" s="168"/>
      <c r="AA65" s="297">
        <v>126.35304891650591</v>
      </c>
      <c r="AB65" s="172">
        <f t="shared" si="32"/>
        <v>16.32596355224446</v>
      </c>
      <c r="AC65" s="173"/>
      <c r="AD65" s="168"/>
      <c r="AE65" s="168">
        <f>SUM(AE66:AE69)</f>
        <v>10.888124620233866</v>
      </c>
      <c r="AF65" s="168"/>
      <c r="AG65" s="168"/>
      <c r="AH65" s="168">
        <v>5.4378389320105924</v>
      </c>
      <c r="AI65" s="168"/>
      <c r="AJ65" s="168"/>
      <c r="AK65" s="168"/>
      <c r="AL65" s="168"/>
      <c r="AM65" s="169"/>
      <c r="AN65" s="170"/>
      <c r="AO65" s="297">
        <v>267.42042425078267</v>
      </c>
      <c r="AP65" s="172"/>
      <c r="AQ65" s="318">
        <f t="shared" si="16"/>
        <v>528.15346653884671</v>
      </c>
    </row>
    <row r="66" spans="1:44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160">
        <v>0</v>
      </c>
      <c r="E66" s="205"/>
      <c r="F66" s="205"/>
      <c r="G66" s="320"/>
      <c r="H66" s="157">
        <f t="shared" ref="H66:H69" si="36">SUM(I66:K66)</f>
        <v>0</v>
      </c>
      <c r="I66" s="203"/>
      <c r="J66" s="155"/>
      <c r="K66" s="321"/>
      <c r="L66" s="157">
        <f t="shared" ref="L66:L69" si="37">SUM(M66:Z66)</f>
        <v>3.3410197250323015</v>
      </c>
      <c r="M66" s="203"/>
      <c r="N66" s="205"/>
      <c r="O66" s="156"/>
      <c r="P66" s="205"/>
      <c r="Q66" s="205">
        <v>0.122</v>
      </c>
      <c r="R66" s="205"/>
      <c r="S66" s="205">
        <v>1.0374380320092571E-3</v>
      </c>
      <c r="T66" s="205">
        <v>0.76598228700029225</v>
      </c>
      <c r="U66" s="205">
        <v>2.452</v>
      </c>
      <c r="V66" s="205">
        <v>0</v>
      </c>
      <c r="W66" s="205"/>
      <c r="X66" s="205"/>
      <c r="Y66" s="156"/>
      <c r="Z66" s="155"/>
      <c r="AA66" s="161">
        <v>7.8821512840276116</v>
      </c>
      <c r="AB66" s="159">
        <f t="shared" si="32"/>
        <v>5.4381158968788759</v>
      </c>
      <c r="AC66" s="160"/>
      <c r="AD66" s="155"/>
      <c r="AE66" s="155">
        <v>2.7696486828357507E-4</v>
      </c>
      <c r="AF66" s="155"/>
      <c r="AG66" s="155"/>
      <c r="AH66" s="155">
        <v>5.4378389320105924</v>
      </c>
      <c r="AI66" s="155"/>
      <c r="AJ66" s="155"/>
      <c r="AK66" s="155"/>
      <c r="AL66" s="155"/>
      <c r="AM66" s="156"/>
      <c r="AN66" s="157"/>
      <c r="AO66" s="161">
        <v>81.616702918667826</v>
      </c>
      <c r="AP66" s="159"/>
      <c r="AQ66" s="188">
        <f t="shared" si="16"/>
        <v>98.277989824606607</v>
      </c>
    </row>
    <row r="67" spans="1:44" ht="12.75" customHeight="1">
      <c r="A67" s="322" t="s">
        <v>287</v>
      </c>
      <c r="B67" s="323">
        <v>84</v>
      </c>
      <c r="C67" s="102">
        <f t="shared" si="35"/>
        <v>1.9996992481203005E-3</v>
      </c>
      <c r="D67" s="256">
        <v>1.9996992481203005E-3</v>
      </c>
      <c r="E67" s="259"/>
      <c r="F67" s="259"/>
      <c r="G67" s="260"/>
      <c r="H67" s="106">
        <f t="shared" si="36"/>
        <v>0</v>
      </c>
      <c r="I67" s="324"/>
      <c r="J67" s="109"/>
      <c r="K67" s="325"/>
      <c r="L67" s="106">
        <f t="shared" si="37"/>
        <v>34.630632733874108</v>
      </c>
      <c r="M67" s="324"/>
      <c r="N67" s="259"/>
      <c r="O67" s="105"/>
      <c r="P67" s="259"/>
      <c r="Q67" s="249">
        <v>6.7610000000000001</v>
      </c>
      <c r="R67" s="259"/>
      <c r="S67" s="249">
        <v>0.11783566980238479</v>
      </c>
      <c r="T67" s="249">
        <v>6.1927970640717263</v>
      </c>
      <c r="U67" s="249">
        <v>21.559000000000001</v>
      </c>
      <c r="V67" s="249">
        <v>0</v>
      </c>
      <c r="W67" s="259"/>
      <c r="X67" s="259"/>
      <c r="Y67" s="105"/>
      <c r="Z67" s="109"/>
      <c r="AA67" s="262">
        <v>48.743552497052647</v>
      </c>
      <c r="AB67" s="110">
        <f t="shared" si="32"/>
        <v>2.2524994443751578</v>
      </c>
      <c r="AC67" s="111"/>
      <c r="AD67" s="109"/>
      <c r="AE67" s="109">
        <v>2.2524994443751578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94.974256725621103</v>
      </c>
      <c r="AP67" s="110"/>
      <c r="AQ67" s="113">
        <f t="shared" si="16"/>
        <v>180.60294110017114</v>
      </c>
    </row>
    <row r="68" spans="1:44" ht="12.75" customHeight="1">
      <c r="A68" s="100" t="s">
        <v>288</v>
      </c>
      <c r="B68" s="304">
        <v>85</v>
      </c>
      <c r="C68" s="102">
        <f t="shared" si="35"/>
        <v>9.9984962406015026E-4</v>
      </c>
      <c r="D68" s="256">
        <v>9.9984962406015026E-4</v>
      </c>
      <c r="E68" s="259"/>
      <c r="F68" s="259"/>
      <c r="G68" s="260"/>
      <c r="H68" s="106">
        <f t="shared" si="36"/>
        <v>0</v>
      </c>
      <c r="I68" s="324"/>
      <c r="J68" s="109"/>
      <c r="K68" s="325"/>
      <c r="L68" s="106">
        <f t="shared" si="37"/>
        <v>54.515153225630989</v>
      </c>
      <c r="M68" s="324"/>
      <c r="N68" s="259"/>
      <c r="O68" s="105"/>
      <c r="P68" s="259"/>
      <c r="Q68" s="249">
        <v>23.23</v>
      </c>
      <c r="R68" s="259"/>
      <c r="S68" s="249">
        <v>1.7636446544157369E-2</v>
      </c>
      <c r="T68" s="249">
        <v>15.48051677908683</v>
      </c>
      <c r="U68" s="249">
        <v>15.787000000000001</v>
      </c>
      <c r="V68" s="249">
        <v>0</v>
      </c>
      <c r="W68" s="259"/>
      <c r="X68" s="259"/>
      <c r="Y68" s="105"/>
      <c r="Z68" s="109"/>
      <c r="AA68" s="262">
        <v>29.675527749657707</v>
      </c>
      <c r="AB68" s="110">
        <f t="shared" si="32"/>
        <v>7.6326101120399468</v>
      </c>
      <c r="AC68" s="111"/>
      <c r="AD68" s="109"/>
      <c r="AE68" s="109">
        <v>7.6326101120399468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56.120527543668743</v>
      </c>
      <c r="AP68" s="110"/>
      <c r="AQ68" s="113">
        <f t="shared" si="16"/>
        <v>147.94481848062145</v>
      </c>
    </row>
    <row r="69" spans="1:44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173">
        <v>0</v>
      </c>
      <c r="E69" s="265"/>
      <c r="F69" s="265"/>
      <c r="G69" s="266"/>
      <c r="H69" s="284">
        <f t="shared" si="36"/>
        <v>0</v>
      </c>
      <c r="I69" s="326"/>
      <c r="J69" s="168"/>
      <c r="K69" s="327"/>
      <c r="L69" s="284">
        <f t="shared" si="37"/>
        <v>25.564224585904135</v>
      </c>
      <c r="M69" s="326"/>
      <c r="N69" s="265"/>
      <c r="O69" s="169"/>
      <c r="P69" s="265"/>
      <c r="Q69" s="265">
        <v>14.452999999999999</v>
      </c>
      <c r="R69" s="265"/>
      <c r="S69" s="265">
        <v>7.2793568579316195E-2</v>
      </c>
      <c r="T69" s="265">
        <v>2.9414310173248217</v>
      </c>
      <c r="U69" s="265">
        <v>8.0969999999999995</v>
      </c>
      <c r="V69" s="265">
        <v>0</v>
      </c>
      <c r="W69" s="265"/>
      <c r="X69" s="265"/>
      <c r="Y69" s="169"/>
      <c r="Z69" s="168"/>
      <c r="AA69" s="174">
        <v>40.051817385767947</v>
      </c>
      <c r="AB69" s="287">
        <f t="shared" si="32"/>
        <v>1.0027380989504771</v>
      </c>
      <c r="AC69" s="288"/>
      <c r="AD69" s="281"/>
      <c r="AE69" s="281">
        <v>1.0027380989504771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34.708937062825001</v>
      </c>
      <c r="AP69" s="287"/>
      <c r="AQ69" s="289">
        <f t="shared" si="16"/>
        <v>101.32771713344755</v>
      </c>
      <c r="AR69" s="7"/>
    </row>
    <row r="70" spans="1:44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29"/>
      <c r="K70" s="329"/>
      <c r="L70" s="196">
        <f>SUM(M70:Z70)</f>
        <v>183.28376479189578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183.28376479189578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46.793657441418105</v>
      </c>
      <c r="AP70" s="197"/>
      <c r="AQ70" s="187">
        <f t="shared" si="16"/>
        <v>230.07742223331388</v>
      </c>
      <c r="AR70" s="7"/>
    </row>
    <row r="71" spans="1:44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68"/>
      <c r="K71" s="168"/>
      <c r="L71" s="170">
        <f>SUM(M71:Z71)</f>
        <v>23.527909786636457</v>
      </c>
      <c r="M71" s="168"/>
      <c r="N71" s="168"/>
      <c r="O71" s="168"/>
      <c r="P71" s="168"/>
      <c r="Q71" s="168"/>
      <c r="R71" s="168"/>
      <c r="S71" s="168"/>
      <c r="T71" s="168"/>
      <c r="U71" s="291">
        <v>23.527909786636457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23.527909786636457</v>
      </c>
      <c r="AR71" s="7"/>
    </row>
    <row r="72" spans="1:44" ht="12.75" customHeight="1" thickBot="1">
      <c r="A72" s="220" t="s">
        <v>149</v>
      </c>
      <c r="B72" s="221"/>
      <c r="C72" s="222">
        <f t="shared" ref="C72:AP72" si="38">C26-C27-C29</f>
        <v>-9.0581332177693525</v>
      </c>
      <c r="D72" s="223">
        <f t="shared" si="38"/>
        <v>-6.9354822728474232</v>
      </c>
      <c r="E72" s="224">
        <f t="shared" si="38"/>
        <v>-2.6469882778086173</v>
      </c>
      <c r="F72" s="228">
        <f t="shared" si="38"/>
        <v>0</v>
      </c>
      <c r="G72" s="228">
        <f t="shared" si="38"/>
        <v>0.52433733288671824</v>
      </c>
      <c r="H72" s="225">
        <f t="shared" si="38"/>
        <v>8.0942833818653526E-4</v>
      </c>
      <c r="I72" s="223">
        <f t="shared" si="38"/>
        <v>2.0251833818818454E-4</v>
      </c>
      <c r="J72" s="224">
        <f t="shared" si="38"/>
        <v>0</v>
      </c>
      <c r="K72" s="224">
        <f t="shared" si="38"/>
        <v>6.0691000000190343E-4</v>
      </c>
      <c r="L72" s="225">
        <f t="shared" si="38"/>
        <v>-13.84347859133868</v>
      </c>
      <c r="M72" s="224">
        <f t="shared" si="38"/>
        <v>0</v>
      </c>
      <c r="N72" s="224">
        <f t="shared" si="38"/>
        <v>0.10592816546412109</v>
      </c>
      <c r="O72" s="224">
        <f t="shared" si="38"/>
        <v>-2.9586845597954721</v>
      </c>
      <c r="P72" s="224">
        <f t="shared" si="38"/>
        <v>-32.910137912638788</v>
      </c>
      <c r="Q72" s="224">
        <f t="shared" si="38"/>
        <v>12.073866663040121</v>
      </c>
      <c r="R72" s="224">
        <f t="shared" si="38"/>
        <v>4.2521232268800304</v>
      </c>
      <c r="S72" s="224">
        <f t="shared" si="38"/>
        <v>6.6447056102567323</v>
      </c>
      <c r="T72" s="224">
        <f t="shared" si="38"/>
        <v>6.1164319481637506</v>
      </c>
      <c r="U72" s="224">
        <f t="shared" si="38"/>
        <v>-15.662102196444721</v>
      </c>
      <c r="V72" s="224">
        <f t="shared" si="38"/>
        <v>0.47626936567021971</v>
      </c>
      <c r="W72" s="228">
        <f t="shared" si="38"/>
        <v>8.0181210980662954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-32.8669212987013</v>
      </c>
      <c r="AB72" s="227">
        <f t="shared" si="38"/>
        <v>0.56348898448783302</v>
      </c>
      <c r="AC72" s="334">
        <f t="shared" si="38"/>
        <v>0</v>
      </c>
      <c r="AD72" s="224">
        <f t="shared" si="38"/>
        <v>0</v>
      </c>
      <c r="AE72" s="224">
        <f t="shared" si="38"/>
        <v>0.23775685336775609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-0.39713207980801712</v>
      </c>
      <c r="AJ72" s="224">
        <f t="shared" si="38"/>
        <v>0.72286421092800524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-33.686179244282812</v>
      </c>
      <c r="AP72" s="227">
        <f t="shared" si="38"/>
        <v>0</v>
      </c>
      <c r="AQ72" s="229">
        <f t="shared" si="16"/>
        <v>-88.890413939266125</v>
      </c>
    </row>
    <row r="73" spans="1:44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4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4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4" ht="12.75" customHeight="1">
      <c r="A76" s="337" t="s">
        <v>339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4" ht="12.75" customHeight="1">
      <c r="A77" s="346" t="s">
        <v>340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4" ht="12.75" customHeight="1">
      <c r="A78" s="49" t="s">
        <v>341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4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4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B285-5FC6-4CAA-AB63-080EC2B7E82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S56" sqref="S56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342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1654.3924823476359</v>
      </c>
      <c r="AB2" s="96">
        <f>SUM(AC2:AM2)</f>
        <v>1629.2626072895341</v>
      </c>
      <c r="AC2" s="97">
        <v>80.208366922723997</v>
      </c>
      <c r="AD2" s="93">
        <v>993.25012277472592</v>
      </c>
      <c r="AE2" s="93">
        <v>224.50041832322552</v>
      </c>
      <c r="AF2" s="93">
        <v>144.97518876199405</v>
      </c>
      <c r="AG2" s="93">
        <v>29.2973095191293</v>
      </c>
      <c r="AH2" s="93">
        <v>20.978752439278033</v>
      </c>
      <c r="AI2" s="93">
        <v>54.202103779200016</v>
      </c>
      <c r="AJ2" s="93">
        <v>3.2458319936639999</v>
      </c>
      <c r="AK2" s="91">
        <v>5.3137827918713505</v>
      </c>
      <c r="AL2" s="91">
        <v>14.065106577357614</v>
      </c>
      <c r="AM2" s="89">
        <v>59.225623406363823</v>
      </c>
      <c r="AN2" s="98">
        <v>146.72404491084089</v>
      </c>
      <c r="AO2" s="98"/>
      <c r="AP2" s="96"/>
      <c r="AQ2" s="99">
        <f t="shared" ref="AQ2:AQ20" si="0">C2+H2+L2+AA2+AB2+AN2+AO2+AP2</f>
        <v>3558.0831345480105</v>
      </c>
    </row>
    <row r="3" spans="1:43" ht="12.75" customHeight="1">
      <c r="A3" s="100" t="s">
        <v>94</v>
      </c>
      <c r="B3" s="101"/>
      <c r="C3" s="102">
        <f>SUM(D3:G3)</f>
        <v>257.34316849423209</v>
      </c>
      <c r="D3" s="103">
        <v>203.40002042076546</v>
      </c>
      <c r="E3" s="104">
        <v>46.75532469190032</v>
      </c>
      <c r="F3" s="105"/>
      <c r="G3" s="105">
        <v>7.1878233815663108</v>
      </c>
      <c r="H3" s="106">
        <f>SUM(I3:K3)</f>
        <v>0</v>
      </c>
      <c r="I3" s="107"/>
      <c r="J3" s="108"/>
      <c r="K3" s="109"/>
      <c r="L3" s="106">
        <f>SUM(M3:Z3)</f>
        <v>8333.3823706978674</v>
      </c>
      <c r="M3" s="107">
        <v>3172.5022326307999</v>
      </c>
      <c r="N3" s="107">
        <v>0</v>
      </c>
      <c r="O3" s="109">
        <v>0</v>
      </c>
      <c r="P3" s="109">
        <v>439.74746020000003</v>
      </c>
      <c r="Q3" s="109">
        <v>377.13460637216002</v>
      </c>
      <c r="R3" s="109">
        <v>1027.8236736410399</v>
      </c>
      <c r="S3" s="109">
        <v>169.73261815564973</v>
      </c>
      <c r="T3" s="109">
        <v>143.70103224882507</v>
      </c>
      <c r="U3" s="109">
        <v>2621.9421551492815</v>
      </c>
      <c r="V3" s="109">
        <v>136.58528059798618</v>
      </c>
      <c r="W3" s="105">
        <v>0</v>
      </c>
      <c r="X3" s="105">
        <v>194.87328007089118</v>
      </c>
      <c r="Y3" s="105">
        <v>1.4948381959455914</v>
      </c>
      <c r="Z3" s="109">
        <v>47.84519343528769</v>
      </c>
      <c r="AA3" s="106">
        <v>2909.7374350890341</v>
      </c>
      <c r="AB3" s="110">
        <f>SUM(AC3:AM3)</f>
        <v>187.2317112966426</v>
      </c>
      <c r="AC3" s="111"/>
      <c r="AD3" s="109"/>
      <c r="AE3" s="109">
        <v>50.600999703858598</v>
      </c>
      <c r="AF3" s="109"/>
      <c r="AG3" s="109"/>
      <c r="AH3" s="109"/>
      <c r="AI3" s="109">
        <v>121.459214065824</v>
      </c>
      <c r="AJ3" s="109">
        <v>15.171497526959998</v>
      </c>
      <c r="AK3" s="107"/>
      <c r="AL3" s="107"/>
      <c r="AM3" s="105"/>
      <c r="AN3" s="112"/>
      <c r="AO3" s="112">
        <v>151.45561480000001</v>
      </c>
      <c r="AP3" s="110"/>
      <c r="AQ3" s="113">
        <f t="shared" si="0"/>
        <v>11839.150300377776</v>
      </c>
    </row>
    <row r="4" spans="1:43" ht="12.75" customHeight="1">
      <c r="A4" s="100" t="s">
        <v>95</v>
      </c>
      <c r="B4" s="101"/>
      <c r="C4" s="102">
        <f>SUM(D4:G4)</f>
        <v>7.5800968179327999</v>
      </c>
      <c r="D4" s="103">
        <v>0</v>
      </c>
      <c r="E4" s="114">
        <v>7.0104982209999998</v>
      </c>
      <c r="F4" s="105"/>
      <c r="G4" s="105">
        <v>0.56959859693280002</v>
      </c>
      <c r="H4" s="106">
        <f>SUM(I4:K4)</f>
        <v>5.6650840000000002</v>
      </c>
      <c r="I4" s="107"/>
      <c r="J4" s="108"/>
      <c r="K4" s="109">
        <v>5.6650840000000002</v>
      </c>
      <c r="L4" s="106">
        <f>SUM(M4:Z4)</f>
        <v>1746.2391008491654</v>
      </c>
      <c r="M4" s="107">
        <v>203.14203525139999</v>
      </c>
      <c r="N4" s="107">
        <v>0</v>
      </c>
      <c r="O4" s="109"/>
      <c r="P4" s="109">
        <v>344.2324058555555</v>
      </c>
      <c r="Q4" s="109">
        <v>10.65323596064</v>
      </c>
      <c r="R4" s="109">
        <v>0</v>
      </c>
      <c r="S4" s="109">
        <v>805.00220575932201</v>
      </c>
      <c r="T4" s="109">
        <v>23.693008540208883</v>
      </c>
      <c r="U4" s="109">
        <v>250.84630548233304</v>
      </c>
      <c r="V4" s="109">
        <v>1.0910931891622191E-3</v>
      </c>
      <c r="W4" s="105">
        <v>95.404369672651924</v>
      </c>
      <c r="X4" s="105">
        <v>5.9765350582651875</v>
      </c>
      <c r="Y4" s="105">
        <v>1.5873254727394804E-2</v>
      </c>
      <c r="Z4" s="109">
        <v>7.2720349208723203</v>
      </c>
      <c r="AA4" s="106">
        <v>0</v>
      </c>
      <c r="AB4" s="110">
        <f>SUM(AC4:AM4)</f>
        <v>16.625089489535998</v>
      </c>
      <c r="AC4" s="111"/>
      <c r="AD4" s="109"/>
      <c r="AE4" s="109">
        <v>4.1487913223999993</v>
      </c>
      <c r="AF4" s="109"/>
      <c r="AG4" s="109"/>
      <c r="AH4" s="109"/>
      <c r="AI4" s="109">
        <v>12.476298167135999</v>
      </c>
      <c r="AJ4" s="109">
        <v>0</v>
      </c>
      <c r="AK4" s="107"/>
      <c r="AL4" s="107"/>
      <c r="AM4" s="105"/>
      <c r="AN4" s="112"/>
      <c r="AO4" s="112">
        <v>164.51504245999999</v>
      </c>
      <c r="AP4" s="110"/>
      <c r="AQ4" s="113">
        <f t="shared" si="0"/>
        <v>1940.6244136166342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154.96697482028239</v>
      </c>
      <c r="M5" s="107"/>
      <c r="N5" s="107"/>
      <c r="O5" s="109"/>
      <c r="P5" s="109"/>
      <c r="Q5" s="109"/>
      <c r="R5" s="109"/>
      <c r="S5" s="109">
        <v>10.364723131355934</v>
      </c>
      <c r="T5" s="109"/>
      <c r="U5" s="109">
        <v>144.60225168892646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154.96697482028239</v>
      </c>
    </row>
    <row r="6" spans="1:43" ht="12.75" customHeight="1" thickBot="1">
      <c r="A6" s="115" t="s">
        <v>97</v>
      </c>
      <c r="B6" s="116"/>
      <c r="C6" s="102">
        <f>SUM(D6:G6)</f>
        <v>197.61899859560791</v>
      </c>
      <c r="D6" s="117">
        <v>194.25286480959983</v>
      </c>
      <c r="E6" s="105">
        <v>3.7949396872999941</v>
      </c>
      <c r="F6" s="118"/>
      <c r="G6" s="118">
        <v>-0.42880590129192003</v>
      </c>
      <c r="H6" s="119">
        <f>SUM(I6:K6)</f>
        <v>295.53180469315566</v>
      </c>
      <c r="I6" s="120">
        <v>288.83629383315565</v>
      </c>
      <c r="J6" s="121">
        <v>0</v>
      </c>
      <c r="K6" s="120">
        <v>6.6955108599999997</v>
      </c>
      <c r="L6" s="119">
        <f>SUM(M6:Z6)</f>
        <v>-190.36066886165742</v>
      </c>
      <c r="M6" s="107">
        <v>-67.58936669560002</v>
      </c>
      <c r="N6" s="107">
        <v>4.2156341015999974</v>
      </c>
      <c r="O6" s="109"/>
      <c r="P6" s="109">
        <v>-96.117885366666698</v>
      </c>
      <c r="Q6" s="109">
        <v>16.688286101760003</v>
      </c>
      <c r="R6" s="109">
        <v>-225.04359515519994</v>
      </c>
      <c r="S6" s="109">
        <v>-37.703638539830507</v>
      </c>
      <c r="T6" s="109">
        <v>7.9377671657441242</v>
      </c>
      <c r="U6" s="109">
        <v>182.3905546427726</v>
      </c>
      <c r="V6" s="109">
        <v>20.904027125475771</v>
      </c>
      <c r="W6" s="118">
        <v>3.9575477582872911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-5.8042222214435997</v>
      </c>
      <c r="AC6" s="123"/>
      <c r="AD6" s="124"/>
      <c r="AE6" s="124">
        <v>-1.1634774429635997</v>
      </c>
      <c r="AF6" s="124"/>
      <c r="AG6" s="124"/>
      <c r="AH6" s="124"/>
      <c r="AI6" s="124">
        <v>-6.284147436864</v>
      </c>
      <c r="AJ6" s="124">
        <v>1.643402658384</v>
      </c>
      <c r="AK6" s="120"/>
      <c r="AL6" s="120"/>
      <c r="AM6" s="118"/>
      <c r="AN6" s="125"/>
      <c r="AO6" s="125"/>
      <c r="AP6" s="122"/>
      <c r="AQ6" s="126">
        <f t="shared" si="0"/>
        <v>296.98591220566254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447.3820702719072</v>
      </c>
      <c r="D7" s="130">
        <f t="shared" si="1"/>
        <v>397.65288523036531</v>
      </c>
      <c r="E7" s="131">
        <f t="shared" si="1"/>
        <v>43.539766158200315</v>
      </c>
      <c r="F7" s="131">
        <f t="shared" si="1"/>
        <v>0</v>
      </c>
      <c r="G7" s="131">
        <f t="shared" si="1"/>
        <v>6.1894188833415908</v>
      </c>
      <c r="H7" s="132">
        <f t="shared" si="1"/>
        <v>417.57072069315564</v>
      </c>
      <c r="I7" s="130">
        <f t="shared" si="1"/>
        <v>288.83629383315565</v>
      </c>
      <c r="J7" s="133">
        <f t="shared" si="1"/>
        <v>127.70399999999999</v>
      </c>
      <c r="K7" s="131">
        <f t="shared" si="1"/>
        <v>1.0304268599999995</v>
      </c>
      <c r="L7" s="132">
        <f t="shared" si="1"/>
        <v>6241.8156261667627</v>
      </c>
      <c r="M7" s="130">
        <f t="shared" si="1"/>
        <v>2901.7708306837999</v>
      </c>
      <c r="N7" s="130">
        <f t="shared" si="1"/>
        <v>4.2156341015999974</v>
      </c>
      <c r="O7" s="131">
        <f t="shared" si="1"/>
        <v>0</v>
      </c>
      <c r="P7" s="131">
        <f t="shared" si="1"/>
        <v>-0.60283102222216201</v>
      </c>
      <c r="Q7" s="131">
        <f t="shared" si="1"/>
        <v>383.16965651328002</v>
      </c>
      <c r="R7" s="131">
        <f t="shared" si="1"/>
        <v>802.78007848584002</v>
      </c>
      <c r="S7" s="131">
        <f t="shared" si="1"/>
        <v>-683.33794927485883</v>
      </c>
      <c r="T7" s="131">
        <f t="shared" si="1"/>
        <v>127.94579087436031</v>
      </c>
      <c r="U7" s="131">
        <f t="shared" si="1"/>
        <v>2408.8841526207943</v>
      </c>
      <c r="V7" s="131">
        <f t="shared" si="1"/>
        <v>157.4882166302728</v>
      </c>
      <c r="W7" s="131">
        <f t="shared" si="1"/>
        <v>-91.446821914364634</v>
      </c>
      <c r="X7" s="131">
        <f t="shared" si="1"/>
        <v>188.89674501262598</v>
      </c>
      <c r="Y7" s="131">
        <f t="shared" si="1"/>
        <v>1.4789649412181967</v>
      </c>
      <c r="Z7" s="131">
        <f t="shared" si="1"/>
        <v>40.573158514415368</v>
      </c>
      <c r="AA7" s="132">
        <f t="shared" si="1"/>
        <v>4564.1299174366704</v>
      </c>
      <c r="AB7" s="132">
        <f t="shared" si="1"/>
        <v>1794.065006875197</v>
      </c>
      <c r="AC7" s="130">
        <f t="shared" si="1"/>
        <v>80.208366922723997</v>
      </c>
      <c r="AD7" s="131">
        <f t="shared" si="1"/>
        <v>993.25012277472592</v>
      </c>
      <c r="AE7" s="131">
        <f t="shared" si="1"/>
        <v>269.78914926172052</v>
      </c>
      <c r="AF7" s="131">
        <f t="shared" si="1"/>
        <v>144.97518876199405</v>
      </c>
      <c r="AG7" s="131">
        <f t="shared" si="1"/>
        <v>29.2973095191293</v>
      </c>
      <c r="AH7" s="131">
        <f t="shared" si="1"/>
        <v>20.978752439278033</v>
      </c>
      <c r="AI7" s="131">
        <f t="shared" si="1"/>
        <v>156.90087224102402</v>
      </c>
      <c r="AJ7" s="131">
        <f t="shared" si="1"/>
        <v>20.060732179007999</v>
      </c>
      <c r="AK7" s="134">
        <f t="shared" si="1"/>
        <v>5.3137827918713505</v>
      </c>
      <c r="AL7" s="134">
        <f t="shared" si="1"/>
        <v>14.065106577357614</v>
      </c>
      <c r="AM7" s="130">
        <f t="shared" si="1"/>
        <v>59.225623406363823</v>
      </c>
      <c r="AN7" s="132">
        <f t="shared" si="1"/>
        <v>146.72404491084089</v>
      </c>
      <c r="AO7" s="132">
        <f t="shared" si="1"/>
        <v>-13.059427659999983</v>
      </c>
      <c r="AP7" s="135">
        <f t="shared" si="1"/>
        <v>0</v>
      </c>
      <c r="AQ7" s="136">
        <f t="shared" si="0"/>
        <v>13598.627958694533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447.3820702719072</v>
      </c>
      <c r="D8" s="140">
        <f t="shared" si="2"/>
        <v>397.65288523036531</v>
      </c>
      <c r="E8" s="141">
        <f t="shared" si="2"/>
        <v>43.539766158200315</v>
      </c>
      <c r="F8" s="142">
        <f t="shared" si="2"/>
        <v>0</v>
      </c>
      <c r="G8" s="142">
        <f t="shared" si="2"/>
        <v>6.1894188833415908</v>
      </c>
      <c r="H8" s="143">
        <f t="shared" si="2"/>
        <v>417.57072069315564</v>
      </c>
      <c r="I8" s="140">
        <f t="shared" si="2"/>
        <v>288.83629383315565</v>
      </c>
      <c r="J8" s="144">
        <f t="shared" si="2"/>
        <v>127.70399999999999</v>
      </c>
      <c r="K8" s="141">
        <f t="shared" si="2"/>
        <v>1.0304268599999995</v>
      </c>
      <c r="L8" s="143">
        <f t="shared" si="2"/>
        <v>6010.8667576985035</v>
      </c>
      <c r="M8" s="140">
        <f t="shared" si="2"/>
        <v>2901.7708306837999</v>
      </c>
      <c r="N8" s="140">
        <f t="shared" si="2"/>
        <v>4.2156341015999974</v>
      </c>
      <c r="O8" s="141">
        <f t="shared" si="2"/>
        <v>0</v>
      </c>
      <c r="P8" s="141">
        <f t="shared" si="2"/>
        <v>-0.60283102222216201</v>
      </c>
      <c r="Q8" s="141">
        <f t="shared" si="2"/>
        <v>383.16965651328002</v>
      </c>
      <c r="R8" s="141">
        <f t="shared" si="2"/>
        <v>802.78007848584002</v>
      </c>
      <c r="S8" s="141">
        <f t="shared" si="2"/>
        <v>-683.33794927485883</v>
      </c>
      <c r="T8" s="141">
        <f t="shared" si="2"/>
        <v>127.94579087436031</v>
      </c>
      <c r="U8" s="141">
        <f t="shared" si="2"/>
        <v>2408.8841526207943</v>
      </c>
      <c r="V8" s="141">
        <f t="shared" si="2"/>
        <v>157.4882166302728</v>
      </c>
      <c r="W8" s="142">
        <f t="shared" si="2"/>
        <v>-91.446821914364634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4564.1299174366704</v>
      </c>
      <c r="AB8" s="145">
        <f t="shared" si="2"/>
        <v>1794.065006875197</v>
      </c>
      <c r="AC8" s="140">
        <f t="shared" si="2"/>
        <v>80.208366922723997</v>
      </c>
      <c r="AD8" s="141">
        <f t="shared" si="2"/>
        <v>993.25012277472592</v>
      </c>
      <c r="AE8" s="141">
        <f t="shared" si="2"/>
        <v>269.78914926172052</v>
      </c>
      <c r="AF8" s="141">
        <f t="shared" si="2"/>
        <v>144.97518876199405</v>
      </c>
      <c r="AG8" s="141">
        <f t="shared" si="2"/>
        <v>29.2973095191293</v>
      </c>
      <c r="AH8" s="141">
        <f t="shared" si="2"/>
        <v>20.978752439278033</v>
      </c>
      <c r="AI8" s="141">
        <f t="shared" si="2"/>
        <v>156.90087224102402</v>
      </c>
      <c r="AJ8" s="141">
        <f t="shared" si="2"/>
        <v>20.060732179007999</v>
      </c>
      <c r="AK8" s="146">
        <f t="shared" si="2"/>
        <v>5.3137827918713505</v>
      </c>
      <c r="AL8" s="146">
        <f t="shared" si="2"/>
        <v>14.065106577357614</v>
      </c>
      <c r="AM8" s="140">
        <f t="shared" si="2"/>
        <v>59.225623406363823</v>
      </c>
      <c r="AN8" s="143">
        <f t="shared" si="2"/>
        <v>146.72404491084089</v>
      </c>
      <c r="AO8" s="143">
        <f t="shared" si="2"/>
        <v>-13.059427659999983</v>
      </c>
      <c r="AP8" s="140">
        <f t="shared" si="2"/>
        <v>0</v>
      </c>
      <c r="AQ8" s="147">
        <f t="shared" si="0"/>
        <v>13367.679090226275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194.72093486121517</v>
      </c>
      <c r="D9" s="134">
        <f t="shared" si="3"/>
        <v>194.72093486121517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279.42575379585639</v>
      </c>
      <c r="I9" s="134">
        <f t="shared" si="3"/>
        <v>279.42575379585639</v>
      </c>
      <c r="J9" s="133">
        <f t="shared" si="3"/>
        <v>0</v>
      </c>
      <c r="K9" s="131">
        <f t="shared" si="3"/>
        <v>0</v>
      </c>
      <c r="L9" s="132">
        <f t="shared" si="3"/>
        <v>3066.0953819620245</v>
      </c>
      <c r="M9" s="131">
        <f t="shared" si="3"/>
        <v>2901.7708306837999</v>
      </c>
      <c r="N9" s="131">
        <f t="shared" ref="N9" si="4">SUM(N10:N14)</f>
        <v>57.172654417181427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95.284528897257388</v>
      </c>
      <c r="T9" s="131">
        <f t="shared" si="3"/>
        <v>0.43028177235839993</v>
      </c>
      <c r="U9" s="131">
        <f t="shared" si="3"/>
        <v>11.437086191427156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2610.5177304438848</v>
      </c>
      <c r="AB9" s="130">
        <f t="shared" si="3"/>
        <v>237.70290130691623</v>
      </c>
      <c r="AC9" s="149">
        <f t="shared" si="3"/>
        <v>0</v>
      </c>
      <c r="AD9" s="131">
        <f t="shared" si="3"/>
        <v>0</v>
      </c>
      <c r="AE9" s="131">
        <f t="shared" si="3"/>
        <v>98.039012347565588</v>
      </c>
      <c r="AF9" s="131">
        <f t="shared" ref="AF9" si="5">SUM(AF10:AF14)</f>
        <v>101.61830092169394</v>
      </c>
      <c r="AG9" s="131">
        <f t="shared" si="3"/>
        <v>29.2973095191293</v>
      </c>
      <c r="AH9" s="131">
        <f t="shared" si="3"/>
        <v>8.7482785185274174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93.128910481319267</v>
      </c>
      <c r="AO9" s="132">
        <f t="shared" si="3"/>
        <v>57.940724099999997</v>
      </c>
      <c r="AP9" s="130">
        <f t="shared" si="3"/>
        <v>0</v>
      </c>
      <c r="AQ9" s="150">
        <f t="shared" si="0"/>
        <v>6539.5323369512162</v>
      </c>
    </row>
    <row r="10" spans="1:43" ht="12.75" customHeight="1">
      <c r="A10" s="151" t="s">
        <v>322</v>
      </c>
      <c r="B10" s="152"/>
      <c r="C10" s="153">
        <f>SUM(D10:G10)</f>
        <v>194.72093486121517</v>
      </c>
      <c r="D10" s="154">
        <v>194.72093486121517</v>
      </c>
      <c r="E10" s="155"/>
      <c r="F10" s="156"/>
      <c r="G10" s="156"/>
      <c r="H10" s="157">
        <f>SUM(I10:K10)</f>
        <v>208.62191350617647</v>
      </c>
      <c r="I10" s="154">
        <v>208.62191350617647</v>
      </c>
      <c r="J10" s="158">
        <v>0</v>
      </c>
      <c r="K10" s="155"/>
      <c r="L10" s="157">
        <f>SUM(M10:Z10)</f>
        <v>106.72161508868454</v>
      </c>
      <c r="M10" s="155"/>
      <c r="N10" s="155"/>
      <c r="O10" s="155"/>
      <c r="P10" s="155"/>
      <c r="Q10" s="155"/>
      <c r="R10" s="155"/>
      <c r="S10" s="155">
        <v>95.284528897257388</v>
      </c>
      <c r="T10" s="155"/>
      <c r="U10" s="155">
        <v>11.437086191427156</v>
      </c>
      <c r="V10" s="155"/>
      <c r="W10" s="156"/>
      <c r="X10" s="156"/>
      <c r="Y10" s="156"/>
      <c r="Z10" s="155"/>
      <c r="AA10" s="157">
        <v>2290.6684276394058</v>
      </c>
      <c r="AB10" s="159">
        <f>SUM(AC10:AM10)</f>
        <v>225.35350571159839</v>
      </c>
      <c r="AC10" s="160"/>
      <c r="AD10" s="155"/>
      <c r="AE10" s="155">
        <v>94.437895270775158</v>
      </c>
      <c r="AF10" s="155">
        <v>101.61830092169394</v>
      </c>
      <c r="AG10" s="155">
        <v>29.2973095191293</v>
      </c>
      <c r="AH10" s="155"/>
      <c r="AI10" s="155"/>
      <c r="AJ10" s="155"/>
      <c r="AK10" s="154"/>
      <c r="AL10" s="154"/>
      <c r="AM10" s="156"/>
      <c r="AN10" s="161">
        <v>93.128910481319267</v>
      </c>
      <c r="AO10" s="157"/>
      <c r="AP10" s="159"/>
      <c r="AQ10" s="162">
        <f t="shared" si="0"/>
        <v>3119.2153072883993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5.2105929633641628</v>
      </c>
      <c r="I11" s="107">
        <v>5.2105929633641628</v>
      </c>
      <c r="J11" s="108"/>
      <c r="K11" s="109"/>
      <c r="L11" s="106">
        <f>SUM(M11:Z11)</f>
        <v>0.43028177235839993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0.43028177235839993</v>
      </c>
      <c r="U11" s="109">
        <v>0</v>
      </c>
      <c r="V11" s="109"/>
      <c r="W11" s="105"/>
      <c r="X11" s="105"/>
      <c r="Y11" s="105"/>
      <c r="Z11" s="109"/>
      <c r="AA11" s="106">
        <v>276.565405781967</v>
      </c>
      <c r="AB11" s="110">
        <f>SUM(AC11:AM11)</f>
        <v>12.349395595317848</v>
      </c>
      <c r="AC11" s="111"/>
      <c r="AD11" s="109"/>
      <c r="AE11" s="109">
        <v>3.6011170767904312</v>
      </c>
      <c r="AF11" s="109"/>
      <c r="AG11" s="109"/>
      <c r="AH11" s="109">
        <v>8.7482785185274174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294.55567611300739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46.077264899999996</v>
      </c>
      <c r="AP12" s="110"/>
      <c r="AQ12" s="113">
        <f t="shared" si="0"/>
        <v>46.077264899999996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65.593247326315804</v>
      </c>
      <c r="I13" s="107">
        <v>65.593247326315804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65.593247326315804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2958.9434851009814</v>
      </c>
      <c r="M14" s="168">
        <v>2901.7708306837999</v>
      </c>
      <c r="N14" s="168">
        <v>57.172654417181427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43.283897022512029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11.863459199999998</v>
      </c>
      <c r="AP14" s="172"/>
      <c r="AQ14" s="175">
        <f t="shared" si="0"/>
        <v>3014.0908413234934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62.313584960000007</v>
      </c>
      <c r="I15" s="179">
        <f t="shared" si="8"/>
        <v>0</v>
      </c>
      <c r="J15" s="183">
        <f t="shared" si="8"/>
        <v>0</v>
      </c>
      <c r="K15" s="180">
        <f t="shared" si="8"/>
        <v>62.313584960000007</v>
      </c>
      <c r="L15" s="182">
        <f t="shared" si="8"/>
        <v>2984.4667834879215</v>
      </c>
      <c r="M15" s="180">
        <f t="shared" si="8"/>
        <v>0</v>
      </c>
      <c r="N15" s="180">
        <f t="shared" si="8"/>
        <v>0</v>
      </c>
      <c r="O15" s="180">
        <f t="shared" si="8"/>
        <v>84.87332423959397</v>
      </c>
      <c r="P15" s="180">
        <f t="shared" si="8"/>
        <v>563.95853326666668</v>
      </c>
      <c r="Q15" s="180">
        <f t="shared" si="8"/>
        <v>292.80808059776007</v>
      </c>
      <c r="R15" s="180">
        <f t="shared" si="8"/>
        <v>0</v>
      </c>
      <c r="S15" s="180">
        <f t="shared" si="8"/>
        <v>811.56918787711868</v>
      </c>
      <c r="T15" s="180">
        <f t="shared" si="8"/>
        <v>58.857046748929513</v>
      </c>
      <c r="U15" s="180">
        <f t="shared" si="8"/>
        <v>1078.6036657440404</v>
      </c>
      <c r="V15" s="180">
        <f t="shared" si="8"/>
        <v>0</v>
      </c>
      <c r="W15" s="181">
        <f t="shared" si="8"/>
        <v>93.796945013812149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1696.8790007913435</v>
      </c>
      <c r="AP15" s="184">
        <f t="shared" si="8"/>
        <v>0</v>
      </c>
      <c r="AQ15" s="187">
        <f t="shared" si="0"/>
        <v>4743.6593692392653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1492.3004122481516</v>
      </c>
      <c r="AP16" s="159"/>
      <c r="AQ16" s="188">
        <f>C16+H16+L16+AA16+AO16+AP16</f>
        <v>1492.3004122481516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179.50422993685575</v>
      </c>
      <c r="AP17" s="110"/>
      <c r="AQ17" s="113">
        <f>C17+H17+L17+AA17+AO17+AP17</f>
        <v>179.50422993685575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25.074358606335995</v>
      </c>
      <c r="AP18" s="110"/>
      <c r="AQ18" s="113">
        <f t="shared" si="0"/>
        <v>25.074358606335995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62.313584960000007</v>
      </c>
      <c r="I19" s="107"/>
      <c r="J19" s="109"/>
      <c r="K19" s="109">
        <v>62.313584960000007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62.313584960000007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2984.4667834879215</v>
      </c>
      <c r="M20" s="168"/>
      <c r="N20" s="168"/>
      <c r="O20" s="168">
        <v>84.87332423959397</v>
      </c>
      <c r="P20" s="168">
        <v>563.95853326666668</v>
      </c>
      <c r="Q20" s="168">
        <v>292.80808059776007</v>
      </c>
      <c r="R20" s="168">
        <v>0</v>
      </c>
      <c r="S20" s="168">
        <v>811.56918787711868</v>
      </c>
      <c r="T20" s="168">
        <v>58.857046748929513</v>
      </c>
      <c r="U20" s="168">
        <v>1078.6036657440404</v>
      </c>
      <c r="V20" s="168"/>
      <c r="W20" s="169">
        <v>93.796945013812149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2984.4667834879215</v>
      </c>
    </row>
    <row r="21" spans="1:43" ht="12.75" customHeight="1">
      <c r="A21" s="190" t="s">
        <v>102</v>
      </c>
      <c r="B21" s="191"/>
      <c r="C21" s="192">
        <f>SUM(C22:C24)</f>
        <v>23.598411100970441</v>
      </c>
      <c r="D21" s="193">
        <f>SUM(D22:D24)</f>
        <v>-20.463504062400002</v>
      </c>
      <c r="E21" s="194">
        <f>SUM(E22:E24)</f>
        <v>44.061915163370443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-77.579883281588792</v>
      </c>
      <c r="M21" s="194">
        <f t="shared" ref="M21:AQ21" si="9">SUM(M22:M24)</f>
        <v>0</v>
      </c>
      <c r="N21" s="194">
        <f t="shared" si="9"/>
        <v>52.921960273414683</v>
      </c>
      <c r="O21" s="194">
        <f t="shared" si="9"/>
        <v>0</v>
      </c>
      <c r="P21" s="194">
        <f t="shared" si="9"/>
        <v>-43.695545777777845</v>
      </c>
      <c r="Q21" s="194">
        <f t="shared" si="9"/>
        <v>404.83171025024006</v>
      </c>
      <c r="R21" s="194">
        <f t="shared" si="9"/>
        <v>-403.94964040031999</v>
      </c>
      <c r="S21" s="194">
        <f t="shared" si="9"/>
        <v>-0.67111475508474583</v>
      </c>
      <c r="T21" s="194">
        <f t="shared" si="9"/>
        <v>0</v>
      </c>
      <c r="U21" s="194">
        <f t="shared" si="9"/>
        <v>-61.068805771090524</v>
      </c>
      <c r="V21" s="194">
        <f t="shared" si="9"/>
        <v>-23.598411100970441</v>
      </c>
      <c r="W21" s="195">
        <f t="shared" si="9"/>
        <v>-2.3500360000000002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-1078.7722724893213</v>
      </c>
      <c r="AC21" s="198">
        <f t="shared" si="9"/>
        <v>-80.208366922723997</v>
      </c>
      <c r="AD21" s="194">
        <f t="shared" si="9"/>
        <v>-993.25012277472592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-5.3137827918713505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1078.7722724893213</v>
      </c>
      <c r="AP21" s="197">
        <f t="shared" si="9"/>
        <v>0</v>
      </c>
      <c r="AQ21" s="201">
        <f t="shared" si="9"/>
        <v>-53.981472180618354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-1078.7722724893213</v>
      </c>
      <c r="AC22" s="160">
        <f>-AC2</f>
        <v>-80.208366922723997</v>
      </c>
      <c r="AD22" s="155">
        <f>-AD2</f>
        <v>-993.25012277472592</v>
      </c>
      <c r="AE22" s="155"/>
      <c r="AF22" s="155"/>
      <c r="AG22" s="163"/>
      <c r="AH22" s="163"/>
      <c r="AI22" s="163"/>
      <c r="AJ22" s="163"/>
      <c r="AK22" s="154">
        <v>-5.3137827918713505</v>
      </c>
      <c r="AL22" s="163"/>
      <c r="AM22" s="156"/>
      <c r="AN22" s="161"/>
      <c r="AO22" s="157">
        <f>-(C22+H22+L22+AA22+AB22)</f>
        <v>1078.7722724893213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23.598411100970441</v>
      </c>
      <c r="D24" s="217">
        <v>-20.463504062400002</v>
      </c>
      <c r="E24" s="124">
        <f>-D24-V24</f>
        <v>44.061915163370443</v>
      </c>
      <c r="F24" s="118"/>
      <c r="G24" s="118"/>
      <c r="H24" s="119"/>
      <c r="I24" s="218"/>
      <c r="J24" s="124"/>
      <c r="K24" s="124"/>
      <c r="L24" s="119">
        <f>SUM(N24:Z24)</f>
        <v>-77.579883281588792</v>
      </c>
      <c r="M24" s="124"/>
      <c r="N24" s="124">
        <v>52.921960273414683</v>
      </c>
      <c r="O24" s="124"/>
      <c r="P24" s="124">
        <v>-43.695545777777845</v>
      </c>
      <c r="Q24" s="124">
        <v>404.83171025024006</v>
      </c>
      <c r="R24" s="124">
        <v>-403.94964040031999</v>
      </c>
      <c r="S24" s="124">
        <v>-0.67111475508474583</v>
      </c>
      <c r="T24" s="124"/>
      <c r="U24" s="124">
        <v>-61.068805771090524</v>
      </c>
      <c r="V24" s="118">
        <v>-23.598411100970441</v>
      </c>
      <c r="W24" s="118">
        <v>-2.3500360000000002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-53.981472180618354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9.048846725801786</v>
      </c>
      <c r="I25" s="209">
        <v>9.048846725801786</v>
      </c>
      <c r="J25" s="219"/>
      <c r="K25" s="211"/>
      <c r="L25" s="182">
        <f>SUM(O25:Z25)</f>
        <v>93.567081565085488</v>
      </c>
      <c r="M25" s="211"/>
      <c r="N25" s="211"/>
      <c r="O25" s="211">
        <v>88.228997027992975</v>
      </c>
      <c r="P25" s="211"/>
      <c r="Q25" s="211"/>
      <c r="R25" s="211"/>
      <c r="S25" s="211">
        <v>0</v>
      </c>
      <c r="T25" s="211">
        <v>4.1693256233877908E-3</v>
      </c>
      <c r="U25" s="211">
        <v>5.3339152114691144</v>
      </c>
      <c r="V25" s="211"/>
      <c r="W25" s="209"/>
      <c r="X25" s="209"/>
      <c r="Y25" s="209"/>
      <c r="Z25" s="211"/>
      <c r="AA25" s="182">
        <v>60.96626883535253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263.99224205001815</v>
      </c>
      <c r="AP25" s="184"/>
      <c r="AQ25" s="215">
        <f>C25+H25+L25+AA25+AB25+AN25+AO25+AP25</f>
        <v>427.57443917625795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276.25954651166245</v>
      </c>
      <c r="D26" s="223">
        <f t="shared" si="10"/>
        <v>182.46844630675014</v>
      </c>
      <c r="E26" s="224">
        <f t="shared" si="10"/>
        <v>87.601681321570766</v>
      </c>
      <c r="F26" s="224">
        <f t="shared" si="10"/>
        <v>0</v>
      </c>
      <c r="G26" s="224">
        <f t="shared" si="10"/>
        <v>6.1894188833415908</v>
      </c>
      <c r="H26" s="225">
        <f t="shared" si="10"/>
        <v>191.40970513149747</v>
      </c>
      <c r="I26" s="223">
        <f t="shared" si="10"/>
        <v>0.3616933114974703</v>
      </c>
      <c r="J26" s="226">
        <f t="shared" si="10"/>
        <v>127.70399999999999</v>
      </c>
      <c r="K26" s="224">
        <f t="shared" si="10"/>
        <v>63.344011820000006</v>
      </c>
      <c r="L26" s="225">
        <f t="shared" si="10"/>
        <v>5989.0400628459856</v>
      </c>
      <c r="M26" s="224">
        <f t="shared" si="10"/>
        <v>0</v>
      </c>
      <c r="N26" s="224">
        <f t="shared" si="10"/>
        <v>-3.5060042166747962E-2</v>
      </c>
      <c r="O26" s="224">
        <f t="shared" si="10"/>
        <v>-3.355672788399005</v>
      </c>
      <c r="P26" s="224">
        <f t="shared" si="10"/>
        <v>519.66015646666665</v>
      </c>
      <c r="Q26" s="224">
        <f t="shared" si="10"/>
        <v>1080.8094473612803</v>
      </c>
      <c r="R26" s="224">
        <f t="shared" si="10"/>
        <v>398.83043808552003</v>
      </c>
      <c r="S26" s="224">
        <f t="shared" si="10"/>
        <v>32.275594949917746</v>
      </c>
      <c r="T26" s="224">
        <f t="shared" si="10"/>
        <v>186.36838652530804</v>
      </c>
      <c r="U26" s="224">
        <f t="shared" si="10"/>
        <v>3409.6480111908481</v>
      </c>
      <c r="V26" s="224">
        <f t="shared" si="10"/>
        <v>133.88980552930235</v>
      </c>
      <c r="W26" s="224">
        <f t="shared" si="10"/>
        <v>8.7099447514837891E-5</v>
      </c>
      <c r="X26" s="224">
        <f t="shared" si="10"/>
        <v>188.89674501262598</v>
      </c>
      <c r="Y26" s="224">
        <f t="shared" si="10"/>
        <v>1.4789649412181967</v>
      </c>
      <c r="Z26" s="224">
        <f t="shared" si="10"/>
        <v>40.573158514415368</v>
      </c>
      <c r="AA26" s="225">
        <f t="shared" si="10"/>
        <v>1892.645918157433</v>
      </c>
      <c r="AB26" s="227">
        <f t="shared" si="10"/>
        <v>477.5898330789596</v>
      </c>
      <c r="AC26" s="149">
        <f t="shared" si="10"/>
        <v>0</v>
      </c>
      <c r="AD26" s="131">
        <f t="shared" si="10"/>
        <v>0</v>
      </c>
      <c r="AE26" s="131">
        <f t="shared" si="10"/>
        <v>171.75013691415495</v>
      </c>
      <c r="AF26" s="131">
        <f t="shared" si="10"/>
        <v>43.356887840300104</v>
      </c>
      <c r="AG26" s="131">
        <f t="shared" si="10"/>
        <v>0</v>
      </c>
      <c r="AH26" s="131">
        <f t="shared" si="10"/>
        <v>12.230473920750615</v>
      </c>
      <c r="AI26" s="131">
        <f t="shared" si="10"/>
        <v>156.90087224102402</v>
      </c>
      <c r="AJ26" s="131">
        <f t="shared" si="10"/>
        <v>20.060732179007999</v>
      </c>
      <c r="AK26" s="134">
        <f t="shared" si="10"/>
        <v>0</v>
      </c>
      <c r="AL26" s="134">
        <f t="shared" si="10"/>
        <v>14.065106577357614</v>
      </c>
      <c r="AM26" s="228">
        <f t="shared" si="10"/>
        <v>59.225623406363823</v>
      </c>
      <c r="AN26" s="225">
        <f t="shared" si="10"/>
        <v>53.595134429521622</v>
      </c>
      <c r="AO26" s="225">
        <f t="shared" si="10"/>
        <v>2440.6588794706468</v>
      </c>
      <c r="AP26" s="227">
        <f t="shared" si="10"/>
        <v>0</v>
      </c>
      <c r="AQ26" s="229">
        <f>C26+H26+L26+AA26+AB26+AN26+AO26+AP26</f>
        <v>11321.199079625709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230.94886846825955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188.89674501262598</v>
      </c>
      <c r="Y27" s="148">
        <f t="shared" si="12"/>
        <v>1.4789649412181967</v>
      </c>
      <c r="Z27" s="131">
        <f t="shared" si="12"/>
        <v>40.573158514415368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230.94886846825955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230.94886846825955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188.89674501262598</v>
      </c>
      <c r="Y28" s="195">
        <f>Y26</f>
        <v>1.4789649412181967</v>
      </c>
      <c r="Z28" s="194">
        <f>Z26</f>
        <v>40.573158514415368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230.94886846825955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271.47769442905411</v>
      </c>
      <c r="D29" s="134">
        <f t="shared" si="13"/>
        <v>175.54512109003539</v>
      </c>
      <c r="E29" s="131">
        <f t="shared" si="13"/>
        <v>88.421829277367323</v>
      </c>
      <c r="F29" s="148">
        <f t="shared" si="13"/>
        <v>0</v>
      </c>
      <c r="G29" s="148">
        <f t="shared" si="13"/>
        <v>7.5107440616513603</v>
      </c>
      <c r="H29" s="132">
        <f t="shared" si="13"/>
        <v>189.34577988999999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61.641779890000002</v>
      </c>
      <c r="L29" s="132">
        <f t="shared" si="13"/>
        <v>5778.4437526768197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538.17295679999995</v>
      </c>
      <c r="Q29" s="131">
        <f t="shared" si="13"/>
        <v>1070.01152241984</v>
      </c>
      <c r="R29" s="131">
        <f t="shared" si="13"/>
        <v>397.88853593616</v>
      </c>
      <c r="S29" s="131">
        <f t="shared" si="13"/>
        <v>29.445261144829878</v>
      </c>
      <c r="T29" s="131">
        <f t="shared" si="13"/>
        <v>173.91856847315921</v>
      </c>
      <c r="U29" s="131">
        <f t="shared" si="13"/>
        <v>3436.2067170178889</v>
      </c>
      <c r="V29" s="131">
        <f t="shared" si="13"/>
        <v>132.80019088493998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1960.2757211723933</v>
      </c>
      <c r="AB29" s="130">
        <f t="shared" si="13"/>
        <v>483.09192916364373</v>
      </c>
      <c r="AC29" s="149">
        <f t="shared" si="13"/>
        <v>0</v>
      </c>
      <c r="AD29" s="131">
        <f t="shared" si="13"/>
        <v>0</v>
      </c>
      <c r="AE29" s="131">
        <f t="shared" si="13"/>
        <v>179.80862094664752</v>
      </c>
      <c r="AF29" s="131">
        <f t="shared" si="13"/>
        <v>43.356887840300104</v>
      </c>
      <c r="AG29" s="131">
        <f t="shared" si="13"/>
        <v>0</v>
      </c>
      <c r="AH29" s="131">
        <f t="shared" si="13"/>
        <v>12.143342773710614</v>
      </c>
      <c r="AI29" s="131">
        <f t="shared" si="13"/>
        <v>155.05738835673603</v>
      </c>
      <c r="AJ29" s="131">
        <f t="shared" si="13"/>
        <v>19.434959262528</v>
      </c>
      <c r="AK29" s="130">
        <f t="shared" si="13"/>
        <v>0</v>
      </c>
      <c r="AL29" s="130">
        <f t="shared" si="13"/>
        <v>14.065106577357612</v>
      </c>
      <c r="AM29" s="130">
        <f t="shared" si="13"/>
        <v>59.225623406363837</v>
      </c>
      <c r="AN29" s="130">
        <f t="shared" si="13"/>
        <v>53.595134429521629</v>
      </c>
      <c r="AO29" s="132">
        <f t="shared" si="13"/>
        <v>2463.0049583130772</v>
      </c>
      <c r="AP29" s="130">
        <f t="shared" si="13"/>
        <v>0</v>
      </c>
      <c r="AQ29" s="229">
        <f t="shared" si="13"/>
        <v>11199.234970074509</v>
      </c>
    </row>
    <row r="30" spans="1:43" s="11" customFormat="1" ht="12.75" customHeight="1">
      <c r="A30" s="236" t="s">
        <v>108</v>
      </c>
      <c r="B30" s="237"/>
      <c r="C30" s="238">
        <f>SUM(C31:C44)</f>
        <v>76.09297317170001</v>
      </c>
      <c r="D30" s="239">
        <v>76.092973171699995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314.07605278965531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6.9121619275640285</v>
      </c>
      <c r="R30" s="239">
        <f>SUM(R31:R44)</f>
        <v>0</v>
      </c>
      <c r="S30" s="347">
        <v>29.235958021872012</v>
      </c>
      <c r="T30" s="347">
        <v>52.912461220326911</v>
      </c>
      <c r="U30" s="347">
        <v>99.580708957659908</v>
      </c>
      <c r="V30" s="239">
        <v>125.43476266223239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1005.5692835775881</v>
      </c>
      <c r="AB30" s="243">
        <f t="shared" ref="AB30:AN30" si="15">SUM(AB31:AB44)</f>
        <v>187.42130034720316</v>
      </c>
      <c r="AC30" s="244">
        <f t="shared" si="15"/>
        <v>0</v>
      </c>
      <c r="AD30" s="239">
        <f t="shared" si="15"/>
        <v>0</v>
      </c>
      <c r="AE30" s="239">
        <f t="shared" si="15"/>
        <v>138.13692888548812</v>
      </c>
      <c r="AF30" s="239">
        <f t="shared" si="15"/>
        <v>43.356887840300104</v>
      </c>
      <c r="AG30" s="239">
        <f t="shared" si="15"/>
        <v>0</v>
      </c>
      <c r="AH30" s="239">
        <f t="shared" si="15"/>
        <v>5.9274836214149662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53.595134429521629</v>
      </c>
      <c r="AO30" s="348">
        <v>533.70241812042832</v>
      </c>
      <c r="AP30" s="243">
        <f>SUM(AP31:AP44)</f>
        <v>0</v>
      </c>
      <c r="AQ30" s="150">
        <f t="shared" ref="AQ30:AQ72" si="16">C30+H30+L30+AA30+AB30+AN30+AO30+AP30</f>
        <v>2170.4571624360965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30.370007110381632</v>
      </c>
      <c r="M31" s="163"/>
      <c r="N31" s="163"/>
      <c r="O31" s="163"/>
      <c r="P31" s="254"/>
      <c r="Q31" s="349">
        <v>0.20116097276123304</v>
      </c>
      <c r="R31" s="249"/>
      <c r="S31" s="349">
        <v>0</v>
      </c>
      <c r="T31" s="349">
        <v>1.4828868040594101E-2</v>
      </c>
      <c r="U31" s="349">
        <v>30.154017269579803</v>
      </c>
      <c r="V31" s="205">
        <v>0</v>
      </c>
      <c r="W31" s="249"/>
      <c r="X31" s="252"/>
      <c r="Y31" s="254"/>
      <c r="Z31" s="163"/>
      <c r="AA31" s="350">
        <v>15.085633347479414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24.366381609159269</v>
      </c>
      <c r="AP31" s="255"/>
      <c r="AQ31" s="162">
        <f t="shared" si="16"/>
        <v>69.822022067020313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65.729229942574847</v>
      </c>
      <c r="M32" s="109"/>
      <c r="N32" s="109"/>
      <c r="O32" s="109"/>
      <c r="P32" s="254"/>
      <c r="Q32" s="351">
        <v>1.8775024124381747</v>
      </c>
      <c r="R32" s="259"/>
      <c r="S32" s="351">
        <v>19.717286489081996</v>
      </c>
      <c r="T32" s="351">
        <v>32.926827444682814</v>
      </c>
      <c r="U32" s="351">
        <v>11.20761359637185</v>
      </c>
      <c r="V32" s="259">
        <v>0</v>
      </c>
      <c r="W32" s="259"/>
      <c r="X32" s="107"/>
      <c r="Y32" s="105"/>
      <c r="Z32" s="109"/>
      <c r="AA32" s="352">
        <v>316.91102676971002</v>
      </c>
      <c r="AB32" s="110">
        <f t="shared" si="20"/>
        <v>38.88529612117496</v>
      </c>
      <c r="AC32" s="111"/>
      <c r="AD32" s="109"/>
      <c r="AE32" s="109">
        <v>32.957812499759996</v>
      </c>
      <c r="AF32" s="109"/>
      <c r="AG32" s="163"/>
      <c r="AH32" s="163">
        <v>5.9274836214149662</v>
      </c>
      <c r="AI32" s="163"/>
      <c r="AJ32" s="163"/>
      <c r="AK32" s="107"/>
      <c r="AL32" s="105"/>
      <c r="AM32" s="109"/>
      <c r="AN32" s="112"/>
      <c r="AO32" s="352">
        <v>91.596503356163751</v>
      </c>
      <c r="AP32" s="110"/>
      <c r="AQ32" s="113">
        <f t="shared" si="16"/>
        <v>513.12205618962366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2.0135053968533718</v>
      </c>
      <c r="M33" s="109"/>
      <c r="N33" s="109"/>
      <c r="O33" s="109"/>
      <c r="P33" s="254"/>
      <c r="Q33" s="351">
        <v>1.0972416696067255E-2</v>
      </c>
      <c r="R33" s="259"/>
      <c r="S33" s="351">
        <v>0</v>
      </c>
      <c r="T33" s="351">
        <v>1.6554409048954144</v>
      </c>
      <c r="U33" s="351">
        <v>0.34709207526189018</v>
      </c>
      <c r="V33" s="259">
        <v>0</v>
      </c>
      <c r="W33" s="259"/>
      <c r="X33" s="107"/>
      <c r="Y33" s="105"/>
      <c r="Z33" s="109"/>
      <c r="AA33" s="352">
        <v>12.557868544344215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3.2001227088132387</v>
      </c>
      <c r="AP33" s="110"/>
      <c r="AQ33" s="113">
        <f t="shared" si="16"/>
        <v>17.771496650010825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2.5628444084644735</v>
      </c>
      <c r="M34" s="109"/>
      <c r="N34" s="109"/>
      <c r="O34" s="109"/>
      <c r="P34" s="254"/>
      <c r="Q34" s="351">
        <v>0.11947742624606567</v>
      </c>
      <c r="R34" s="259"/>
      <c r="S34" s="351">
        <v>0</v>
      </c>
      <c r="T34" s="351">
        <v>0.56214890662979466</v>
      </c>
      <c r="U34" s="351">
        <v>1.8812180755886132</v>
      </c>
      <c r="V34" s="259">
        <v>0</v>
      </c>
      <c r="W34" s="259"/>
      <c r="X34" s="107"/>
      <c r="Y34" s="105"/>
      <c r="Z34" s="109"/>
      <c r="AA34" s="352">
        <v>9.413865110295605</v>
      </c>
      <c r="AB34" s="110">
        <f t="shared" si="20"/>
        <v>104.02015429041532</v>
      </c>
      <c r="AC34" s="111"/>
      <c r="AD34" s="109"/>
      <c r="AE34" s="109">
        <v>104.02015429041532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22.071304363643968</v>
      </c>
      <c r="AP34" s="110"/>
      <c r="AQ34" s="113">
        <f t="shared" si="16"/>
        <v>138.06816817281936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0.64477905883645614</v>
      </c>
      <c r="M35" s="109"/>
      <c r="N35" s="109"/>
      <c r="O35" s="109"/>
      <c r="P35" s="254"/>
      <c r="Q35" s="351">
        <v>3.9013037141572456E-2</v>
      </c>
      <c r="R35" s="259"/>
      <c r="S35" s="351">
        <v>0</v>
      </c>
      <c r="T35" s="351">
        <v>0.32893125471863283</v>
      </c>
      <c r="U35" s="351">
        <v>0.27683476697625081</v>
      </c>
      <c r="V35" s="259">
        <v>0</v>
      </c>
      <c r="W35" s="259"/>
      <c r="X35" s="107"/>
      <c r="Y35" s="105"/>
      <c r="Z35" s="109"/>
      <c r="AA35" s="352">
        <v>6.706044172646636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6.0529834083393359</v>
      </c>
      <c r="AP35" s="110"/>
      <c r="AQ35" s="113">
        <f t="shared" si="16"/>
        <v>13.403806639822427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15.158345833610568</v>
      </c>
      <c r="M36" s="109"/>
      <c r="N36" s="109"/>
      <c r="O36" s="109"/>
      <c r="P36" s="254"/>
      <c r="Q36" s="353">
        <v>0.37428132507696088</v>
      </c>
      <c r="R36" s="259"/>
      <c r="S36" s="353">
        <v>2.9766947868000004</v>
      </c>
      <c r="T36" s="353">
        <v>3.1437200246059498</v>
      </c>
      <c r="U36" s="353">
        <v>3.979499775283605</v>
      </c>
      <c r="V36" s="249">
        <v>4.6841499218440523</v>
      </c>
      <c r="W36" s="259"/>
      <c r="X36" s="107"/>
      <c r="Y36" s="105"/>
      <c r="Z36" s="109"/>
      <c r="AA36" s="354">
        <v>129.73881962110337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80.477232843493582</v>
      </c>
      <c r="AP36" s="110"/>
      <c r="AQ36" s="113">
        <f t="shared" si="16"/>
        <v>225.37439829820755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3.4679721571747772</v>
      </c>
      <c r="M37" s="109"/>
      <c r="N37" s="109"/>
      <c r="O37" s="109"/>
      <c r="P37" s="254"/>
      <c r="Q37" s="351">
        <v>0.77172664095673016</v>
      </c>
      <c r="R37" s="259"/>
      <c r="S37" s="351">
        <v>0</v>
      </c>
      <c r="T37" s="351">
        <v>1.8657412152892945</v>
      </c>
      <c r="U37" s="351">
        <v>0.83050430092875238</v>
      </c>
      <c r="V37" s="259">
        <v>0</v>
      </c>
      <c r="W37" s="259"/>
      <c r="X37" s="107"/>
      <c r="Y37" s="105"/>
      <c r="Z37" s="109"/>
      <c r="AA37" s="352">
        <v>12.354781974020543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20.131359087966221</v>
      </c>
      <c r="AP37" s="110"/>
      <c r="AQ37" s="113">
        <f t="shared" si="16"/>
        <v>35.954113219161542</v>
      </c>
    </row>
    <row r="38" spans="1:43" ht="12.75" customHeight="1">
      <c r="A38" s="257" t="s">
        <v>123</v>
      </c>
      <c r="B38" s="261" t="s">
        <v>124</v>
      </c>
      <c r="C38" s="102">
        <f t="shared" si="17"/>
        <v>76.09297317170001</v>
      </c>
      <c r="D38" s="111">
        <v>76.09297317170001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136.38725991310579</v>
      </c>
      <c r="M38" s="109"/>
      <c r="N38" s="109"/>
      <c r="O38" s="109"/>
      <c r="P38" s="254"/>
      <c r="Q38" s="351">
        <v>1.1301589196949273</v>
      </c>
      <c r="R38" s="259"/>
      <c r="S38" s="351">
        <v>0</v>
      </c>
      <c r="T38" s="351">
        <v>2.1097434985027066</v>
      </c>
      <c r="U38" s="351">
        <v>12.396744754519835</v>
      </c>
      <c r="V38" s="259">
        <v>120.75061274038832</v>
      </c>
      <c r="W38" s="259"/>
      <c r="X38" s="107"/>
      <c r="Y38" s="105"/>
      <c r="Z38" s="109"/>
      <c r="AA38" s="352">
        <v>35.103269418248843</v>
      </c>
      <c r="AB38" s="110">
        <f t="shared" si="20"/>
        <v>44.515849935612906</v>
      </c>
      <c r="AC38" s="111"/>
      <c r="AD38" s="109"/>
      <c r="AE38" s="109">
        <v>1.1589620953127999</v>
      </c>
      <c r="AF38" s="109">
        <v>43.356887840300104</v>
      </c>
      <c r="AG38" s="163"/>
      <c r="AH38" s="163"/>
      <c r="AI38" s="163"/>
      <c r="AJ38" s="163"/>
      <c r="AK38" s="107"/>
      <c r="AL38" s="105"/>
      <c r="AM38" s="109"/>
      <c r="AN38" s="112">
        <v>53.595134429521629</v>
      </c>
      <c r="AO38" s="352">
        <v>61.955280688087598</v>
      </c>
      <c r="AP38" s="110"/>
      <c r="AQ38" s="113">
        <f t="shared" si="16"/>
        <v>407.6497675562768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5.2349809839657029</v>
      </c>
      <c r="M39" s="109"/>
      <c r="N39" s="109"/>
      <c r="O39" s="109"/>
      <c r="P39" s="254"/>
      <c r="Q39" s="351">
        <v>0.47790970498426266</v>
      </c>
      <c r="R39" s="259"/>
      <c r="S39" s="351">
        <v>2.01041244999</v>
      </c>
      <c r="T39" s="351">
        <v>1.1108170241317763</v>
      </c>
      <c r="U39" s="351">
        <v>1.6358418048596637</v>
      </c>
      <c r="V39" s="259">
        <v>0</v>
      </c>
      <c r="W39" s="259"/>
      <c r="X39" s="107"/>
      <c r="Y39" s="105"/>
      <c r="Z39" s="109"/>
      <c r="AA39" s="352">
        <v>382.77124197241091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57.854047496251631</v>
      </c>
      <c r="AP39" s="110"/>
      <c r="AQ39" s="113">
        <f t="shared" si="16"/>
        <v>445.86027045262824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3.2520872787713309</v>
      </c>
      <c r="M40" s="109"/>
      <c r="N40" s="109"/>
      <c r="O40" s="109"/>
      <c r="P40" s="254"/>
      <c r="Q40" s="351">
        <v>0.33770660275673664</v>
      </c>
      <c r="R40" s="259"/>
      <c r="S40" s="351">
        <v>0</v>
      </c>
      <c r="T40" s="351">
        <v>1.648700510331508</v>
      </c>
      <c r="U40" s="351">
        <v>1.2656801656830861</v>
      </c>
      <c r="V40" s="259">
        <v>0</v>
      </c>
      <c r="W40" s="259"/>
      <c r="X40" s="107"/>
      <c r="Y40" s="105"/>
      <c r="Z40" s="109"/>
      <c r="AA40" s="352">
        <v>15.185431902655651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16.5170797051873</v>
      </c>
      <c r="AP40" s="110"/>
      <c r="AQ40" s="113">
        <f t="shared" si="16"/>
        <v>34.954598886614278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2.267797363227972</v>
      </c>
      <c r="M41" s="109"/>
      <c r="N41" s="109"/>
      <c r="O41" s="109"/>
      <c r="P41" s="254"/>
      <c r="Q41" s="353">
        <v>0.29625525079381582</v>
      </c>
      <c r="R41" s="259"/>
      <c r="S41" s="353">
        <v>0</v>
      </c>
      <c r="T41" s="353">
        <v>1.4828868040594103</v>
      </c>
      <c r="U41" s="353">
        <v>0.48865530837474574</v>
      </c>
      <c r="V41" s="249">
        <v>0</v>
      </c>
      <c r="W41" s="259"/>
      <c r="X41" s="107"/>
      <c r="Y41" s="105"/>
      <c r="Z41" s="109"/>
      <c r="AA41" s="354">
        <v>20.849523327902826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90.46421278197252</v>
      </c>
      <c r="AP41" s="110"/>
      <c r="AQ41" s="113">
        <f t="shared" si="16"/>
        <v>113.58153347310332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1.2799139995551529</v>
      </c>
      <c r="M42" s="109"/>
      <c r="N42" s="109"/>
      <c r="O42" s="109"/>
      <c r="P42" s="254"/>
      <c r="Q42" s="351">
        <v>9.3875120621908711E-2</v>
      </c>
      <c r="R42" s="259"/>
      <c r="S42" s="351">
        <v>0</v>
      </c>
      <c r="T42" s="351">
        <v>0.9113013450401467</v>
      </c>
      <c r="U42" s="351">
        <v>0.27473753389309741</v>
      </c>
      <c r="V42" s="259">
        <v>0</v>
      </c>
      <c r="W42" s="259"/>
      <c r="X42" s="107"/>
      <c r="Y42" s="105"/>
      <c r="Z42" s="109"/>
      <c r="AA42" s="352">
        <v>1.3001727852680489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3.4932787393162648</v>
      </c>
      <c r="AP42" s="110"/>
      <c r="AQ42" s="113">
        <f t="shared" si="16"/>
        <v>6.0733655241394668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11.151669525792089</v>
      </c>
      <c r="M43" s="109"/>
      <c r="N43" s="109"/>
      <c r="O43" s="109"/>
      <c r="P43" s="105"/>
      <c r="Q43" s="351">
        <v>0.42670509373594867</v>
      </c>
      <c r="R43" s="259"/>
      <c r="S43" s="351">
        <v>4.531564296</v>
      </c>
      <c r="T43" s="351">
        <v>4.5281970680323269</v>
      </c>
      <c r="U43" s="351">
        <v>1.6652030680238117</v>
      </c>
      <c r="V43" s="259">
        <v>0</v>
      </c>
      <c r="W43" s="259"/>
      <c r="X43" s="107"/>
      <c r="Y43" s="105"/>
      <c r="Z43" s="109"/>
      <c r="AA43" s="352">
        <v>44.1800526953268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46.421946051702406</v>
      </c>
      <c r="AP43" s="110"/>
      <c r="AQ43" s="113">
        <f t="shared" si="16"/>
        <v>101.7536682728213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34.555659817341066</v>
      </c>
      <c r="M44" s="168"/>
      <c r="N44" s="168"/>
      <c r="O44" s="168"/>
      <c r="P44" s="169"/>
      <c r="Q44" s="265">
        <v>0.75541700365962483</v>
      </c>
      <c r="R44" s="265"/>
      <c r="S44" s="265">
        <v>0</v>
      </c>
      <c r="T44" s="265">
        <v>0.6231763513665477</v>
      </c>
      <c r="U44" s="265">
        <v>33.177066462314897</v>
      </c>
      <c r="V44" s="265">
        <v>0</v>
      </c>
      <c r="W44" s="265"/>
      <c r="X44" s="167"/>
      <c r="Y44" s="169"/>
      <c r="Z44" s="168"/>
      <c r="AA44" s="174">
        <v>3.4115519361750333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9.1006852803313016</v>
      </c>
      <c r="AP44" s="172"/>
      <c r="AQ44" s="175">
        <f>C44+H44+L44+AA44+AB44+AN44+AO44+AP44</f>
        <v>47.067897033847402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3639.1708515267355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538.17295679999995</v>
      </c>
      <c r="Q45" s="268">
        <f t="shared" si="21"/>
        <v>0</v>
      </c>
      <c r="R45" s="268">
        <f t="shared" si="21"/>
        <v>397.88853593616</v>
      </c>
      <c r="S45" s="268">
        <f t="shared" si="21"/>
        <v>0</v>
      </c>
      <c r="T45" s="268">
        <f t="shared" si="21"/>
        <v>1.149825848563969</v>
      </c>
      <c r="U45" s="268">
        <f>SUM(U46:U55)</f>
        <v>2701.9595329420113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15.763830505057189</v>
      </c>
      <c r="AB45" s="273">
        <f t="shared" si="21"/>
        <v>174.49234761926405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155.05738835673603</v>
      </c>
      <c r="AJ45" s="268">
        <f t="shared" ref="AJ45" si="24">SUM(AJ46:AJ55)</f>
        <v>19.434959262528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6.9732185995977805</v>
      </c>
      <c r="AP45" s="273">
        <f t="shared" si="21"/>
        <v>0</v>
      </c>
      <c r="AQ45" s="275">
        <f t="shared" si="16"/>
        <v>3836.4002482506544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682.62780581939683</v>
      </c>
      <c r="M46" s="155"/>
      <c r="N46" s="155"/>
      <c r="O46" s="155"/>
      <c r="P46" s="155"/>
      <c r="Q46" s="155"/>
      <c r="R46" s="155"/>
      <c r="S46" s="155"/>
      <c r="T46" s="155"/>
      <c r="U46" s="155">
        <v>682.62780581939683</v>
      </c>
      <c r="V46" s="155"/>
      <c r="W46" s="156"/>
      <c r="X46" s="156"/>
      <c r="Y46" s="156"/>
      <c r="Z46" s="155"/>
      <c r="AA46" s="161">
        <v>0.588578868724</v>
      </c>
      <c r="AB46" s="159">
        <f t="shared" ref="AB46:AB56" si="29">SUM(AC46:AM46)</f>
        <v>41.330994180603192</v>
      </c>
      <c r="AC46" s="160"/>
      <c r="AD46" s="155"/>
      <c r="AE46" s="155"/>
      <c r="AF46" s="155"/>
      <c r="AG46" s="155"/>
      <c r="AH46" s="155"/>
      <c r="AI46" s="155">
        <v>41.330994180603192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724.54737886872397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280.80130726619728</v>
      </c>
      <c r="M47" s="163"/>
      <c r="N47" s="163"/>
      <c r="O47" s="163"/>
      <c r="P47" s="163"/>
      <c r="Q47" s="163"/>
      <c r="R47" s="163"/>
      <c r="S47" s="163"/>
      <c r="T47" s="163"/>
      <c r="U47" s="163">
        <v>280.80130726619728</v>
      </c>
      <c r="V47" s="163"/>
      <c r="W47" s="254"/>
      <c r="X47" s="254"/>
      <c r="Y47" s="254"/>
      <c r="Z47" s="163"/>
      <c r="AA47" s="262"/>
      <c r="AB47" s="255">
        <f t="shared" si="29"/>
        <v>17.001647307047321</v>
      </c>
      <c r="AC47" s="256"/>
      <c r="AD47" s="163"/>
      <c r="AE47" s="163"/>
      <c r="AF47" s="163"/>
      <c r="AG47" s="163"/>
      <c r="AH47" s="163"/>
      <c r="AI47" s="163">
        <v>17.001647307047321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297.80295457324462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1447.9014265282126</v>
      </c>
      <c r="M48" s="109"/>
      <c r="N48" s="109"/>
      <c r="O48" s="109"/>
      <c r="P48" s="109">
        <v>430.58405778612041</v>
      </c>
      <c r="Q48" s="109"/>
      <c r="R48" s="109"/>
      <c r="S48" s="109"/>
      <c r="T48" s="109">
        <v>1.149825848563969</v>
      </c>
      <c r="U48" s="109">
        <v>1016.1675428935281</v>
      </c>
      <c r="V48" s="109"/>
      <c r="W48" s="105"/>
      <c r="X48" s="105"/>
      <c r="Y48" s="105"/>
      <c r="Z48" s="109"/>
      <c r="AA48" s="112"/>
      <c r="AB48" s="110">
        <f t="shared" si="29"/>
        <v>77.097342746416075</v>
      </c>
      <c r="AC48" s="111"/>
      <c r="AD48" s="109"/>
      <c r="AE48" s="109"/>
      <c r="AF48" s="109"/>
      <c r="AG48" s="109"/>
      <c r="AH48" s="109"/>
      <c r="AI48" s="109">
        <v>61.525789667234875</v>
      </c>
      <c r="AJ48" s="109">
        <v>15.571553079181205</v>
      </c>
      <c r="AK48" s="107"/>
      <c r="AL48" s="105"/>
      <c r="AM48" s="109"/>
      <c r="AN48" s="106"/>
      <c r="AO48" s="112">
        <v>2.8259231235977809</v>
      </c>
      <c r="AP48" s="110"/>
      <c r="AQ48" s="113">
        <f t="shared" si="16"/>
        <v>1527.8246923982263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111.82580733932446</v>
      </c>
      <c r="M49" s="109"/>
      <c r="N49" s="109"/>
      <c r="O49" s="109"/>
      <c r="P49" s="109">
        <v>2.8024924934232973</v>
      </c>
      <c r="Q49" s="109"/>
      <c r="R49" s="109"/>
      <c r="S49" s="109"/>
      <c r="T49" s="109"/>
      <c r="U49" s="109">
        <v>109.02331484590115</v>
      </c>
      <c r="V49" s="109"/>
      <c r="W49" s="105"/>
      <c r="X49" s="105"/>
      <c r="Y49" s="105"/>
      <c r="Z49" s="109"/>
      <c r="AA49" s="112"/>
      <c r="AB49" s="110">
        <f t="shared" si="29"/>
        <v>6.7023719727678088</v>
      </c>
      <c r="AC49" s="111"/>
      <c r="AD49" s="109"/>
      <c r="AE49" s="109"/>
      <c r="AF49" s="109"/>
      <c r="AG49" s="109"/>
      <c r="AH49" s="109"/>
      <c r="AI49" s="109">
        <v>6.6010232121106638</v>
      </c>
      <c r="AJ49" s="109">
        <v>0.10134876065714488</v>
      </c>
      <c r="AK49" s="107"/>
      <c r="AL49" s="105"/>
      <c r="AM49" s="109"/>
      <c r="AN49" s="106"/>
      <c r="AO49" s="112"/>
      <c r="AP49" s="110"/>
      <c r="AQ49" s="113">
        <f t="shared" si="16"/>
        <v>118.52817931209226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31.717130424344884</v>
      </c>
      <c r="M50" s="109"/>
      <c r="N50" s="109"/>
      <c r="O50" s="109"/>
      <c r="P50" s="109"/>
      <c r="Q50" s="109"/>
      <c r="R50" s="281"/>
      <c r="S50" s="109"/>
      <c r="T50" s="109"/>
      <c r="U50" s="109">
        <v>31.717130424344884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4.147295476</v>
      </c>
      <c r="AP50" s="110"/>
      <c r="AQ50" s="113">
        <f t="shared" si="16"/>
        <v>35.864425900344884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2.6284248305088345</v>
      </c>
      <c r="M51" s="109"/>
      <c r="N51" s="109"/>
      <c r="O51" s="109"/>
      <c r="P51" s="109">
        <v>0.75812222222222214</v>
      </c>
      <c r="Q51" s="109"/>
      <c r="R51" s="109">
        <v>1.8703026082866123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2.6284248305088345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396.01823332787336</v>
      </c>
      <c r="M52" s="281"/>
      <c r="N52" s="281"/>
      <c r="O52" s="281"/>
      <c r="P52" s="163"/>
      <c r="Q52" s="281"/>
      <c r="R52" s="281">
        <v>396.01823332787336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396.01823332787336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75.909142296902701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75.909142296902701</v>
      </c>
      <c r="V53" s="281"/>
      <c r="W53" s="283"/>
      <c r="X53" s="283"/>
      <c r="Y53" s="283"/>
      <c r="Z53" s="281"/>
      <c r="AA53" s="262"/>
      <c r="AB53" s="287">
        <f t="shared" si="29"/>
        <v>4.5960628790411864</v>
      </c>
      <c r="AC53" s="288"/>
      <c r="AD53" s="281"/>
      <c r="AE53" s="281"/>
      <c r="AF53" s="281"/>
      <c r="AG53" s="281"/>
      <c r="AH53" s="281"/>
      <c r="AI53" s="109">
        <v>4.5960628790411864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80.505205175943885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109.29542099746408</v>
      </c>
      <c r="M54" s="281"/>
      <c r="N54" s="281"/>
      <c r="O54" s="281"/>
      <c r="P54" s="281"/>
      <c r="Q54" s="281"/>
      <c r="R54" s="281"/>
      <c r="S54" s="281"/>
      <c r="T54" s="281"/>
      <c r="U54" s="281">
        <v>109.29542099746408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109.29542099746408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500.44615269651041</v>
      </c>
      <c r="M55" s="168"/>
      <c r="N55" s="168"/>
      <c r="O55" s="168"/>
      <c r="P55" s="168">
        <v>104.02828429823406</v>
      </c>
      <c r="Q55" s="168"/>
      <c r="R55" s="168"/>
      <c r="S55" s="168">
        <v>0</v>
      </c>
      <c r="T55" s="168"/>
      <c r="U55" s="168">
        <v>396.41786839827637</v>
      </c>
      <c r="V55" s="168"/>
      <c r="W55" s="169"/>
      <c r="X55" s="169"/>
      <c r="Y55" s="169"/>
      <c r="Z55" s="168"/>
      <c r="AA55" s="174">
        <v>15.17525163633319</v>
      </c>
      <c r="AB55" s="172">
        <f t="shared" si="29"/>
        <v>27.763928533388441</v>
      </c>
      <c r="AC55" s="173"/>
      <c r="AD55" s="168"/>
      <c r="AE55" s="168"/>
      <c r="AF55" s="168"/>
      <c r="AG55" s="168"/>
      <c r="AH55" s="168"/>
      <c r="AI55" s="168">
        <v>24.00187111069879</v>
      </c>
      <c r="AJ55" s="168">
        <v>3.7620574226896513</v>
      </c>
      <c r="AK55" s="167"/>
      <c r="AL55" s="169"/>
      <c r="AM55" s="168"/>
      <c r="AN55" s="170"/>
      <c r="AO55" s="174"/>
      <c r="AP55" s="172"/>
      <c r="AQ55" s="175">
        <f t="shared" si="16"/>
        <v>543.38533286623203</v>
      </c>
    </row>
    <row r="56" spans="1:43" s="11" customFormat="1" ht="12.75" customHeight="1">
      <c r="A56" s="292" t="s">
        <v>146</v>
      </c>
      <c r="B56" s="293"/>
      <c r="C56" s="294">
        <f t="shared" si="26"/>
        <v>194.98378155810596</v>
      </c>
      <c r="D56" s="295">
        <v>99.051208219087286</v>
      </c>
      <c r="E56" s="104">
        <v>88.421829277367323</v>
      </c>
      <c r="F56" s="296"/>
      <c r="G56" s="296">
        <v>7.5107440616513603</v>
      </c>
      <c r="H56" s="297">
        <f t="shared" si="27"/>
        <v>189.34577988999999</v>
      </c>
      <c r="I56" s="295"/>
      <c r="J56" s="298">
        <v>127.70399999999999</v>
      </c>
      <c r="K56" s="186">
        <v>61.641779890000002</v>
      </c>
      <c r="L56" s="297">
        <f t="shared" si="28"/>
        <v>1395.587848049219</v>
      </c>
      <c r="M56" s="186"/>
      <c r="N56" s="186"/>
      <c r="O56" s="186"/>
      <c r="P56" s="186">
        <v>0</v>
      </c>
      <c r="Q56" s="355">
        <v>989.2831611027201</v>
      </c>
      <c r="R56" s="186"/>
      <c r="S56" s="186">
        <v>0</v>
      </c>
      <c r="T56" s="355">
        <v>55.28599763987048</v>
      </c>
      <c r="U56" s="355">
        <v>343.65326108392088</v>
      </c>
      <c r="V56" s="186">
        <v>7.3654282227075996</v>
      </c>
      <c r="W56" s="296"/>
      <c r="X56" s="296"/>
      <c r="Y56" s="296"/>
      <c r="Z56" s="186"/>
      <c r="AA56" s="297">
        <v>589.7586288</v>
      </c>
      <c r="AB56" s="299">
        <f t="shared" si="29"/>
        <v>82.834778589604142</v>
      </c>
      <c r="AC56" s="300"/>
      <c r="AD56" s="186"/>
      <c r="AE56" s="186">
        <v>25.98404680771527</v>
      </c>
      <c r="AF56" s="186"/>
      <c r="AG56" s="186"/>
      <c r="AH56" s="186"/>
      <c r="AI56" s="186"/>
      <c r="AJ56" s="186"/>
      <c r="AK56" s="295"/>
      <c r="AL56" s="296">
        <v>13.898611915700407</v>
      </c>
      <c r="AM56" s="186">
        <v>42.952119866188468</v>
      </c>
      <c r="AN56" s="297"/>
      <c r="AO56" s="297">
        <v>750.20577119182269</v>
      </c>
      <c r="AP56" s="299"/>
      <c r="AQ56" s="187">
        <f t="shared" si="16"/>
        <v>3202.716588078752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227.65513480030341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73.816199389555919</v>
      </c>
      <c r="R57" s="186">
        <f t="shared" si="30"/>
        <v>0</v>
      </c>
      <c r="S57" s="355">
        <f t="shared" si="30"/>
        <v>0.2093031229578676</v>
      </c>
      <c r="T57" s="355">
        <f t="shared" si="30"/>
        <v>64.570283764397857</v>
      </c>
      <c r="U57" s="355">
        <f t="shared" si="30"/>
        <v>89.059348523391805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349.18397828974821</v>
      </c>
      <c r="AB57" s="299">
        <f t="shared" si="30"/>
        <v>38.343502607572368</v>
      </c>
      <c r="AC57" s="300">
        <f t="shared" si="30"/>
        <v>0</v>
      </c>
      <c r="AD57" s="186">
        <f t="shared" si="30"/>
        <v>0</v>
      </c>
      <c r="AE57" s="186">
        <f t="shared" si="30"/>
        <v>15.687645253444149</v>
      </c>
      <c r="AF57" s="186">
        <f t="shared" si="30"/>
        <v>0</v>
      </c>
      <c r="AG57" s="186">
        <f t="shared" si="30"/>
        <v>0</v>
      </c>
      <c r="AH57" s="186">
        <f t="shared" si="30"/>
        <v>6.2158591522956481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1124.0703408870506</v>
      </c>
      <c r="AP57" s="299">
        <f t="shared" si="30"/>
        <v>0</v>
      </c>
      <c r="AQ57" s="301">
        <f t="shared" si="16"/>
        <v>1739.6538962839227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104.12793226186267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21.443398504469247</v>
      </c>
      <c r="R58" s="299">
        <f t="shared" si="31"/>
        <v>0</v>
      </c>
      <c r="S58" s="358">
        <v>0</v>
      </c>
      <c r="T58" s="358">
        <v>41.387370701298146</v>
      </c>
      <c r="U58" s="358">
        <v>41.297163056095279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218.36970710552185</v>
      </c>
      <c r="AB58" s="299">
        <f t="shared" ref="AB58:AB71" si="32">SUM(AC58:AM58)</f>
        <v>22.035907558411786</v>
      </c>
      <c r="AC58" s="300">
        <f t="shared" si="31"/>
        <v>0</v>
      </c>
      <c r="AD58" s="186">
        <f t="shared" si="31"/>
        <v>0</v>
      </c>
      <c r="AE58" s="355">
        <f t="shared" si="31"/>
        <v>3.449422602179216</v>
      </c>
      <c r="AF58" s="186"/>
      <c r="AG58" s="186">
        <f t="shared" si="31"/>
        <v>0</v>
      </c>
      <c r="AH58" s="186">
        <f t="shared" si="31"/>
        <v>2.1464867544000001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875.01068309307834</v>
      </c>
      <c r="AP58" s="299">
        <f t="shared" ref="AP58" si="34">SUM(AP59:AP64)</f>
        <v>0</v>
      </c>
      <c r="AQ58" s="301">
        <f t="shared" si="16"/>
        <v>1219.9421701692506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28.022535252386824</v>
      </c>
      <c r="M59" s="204"/>
      <c r="N59" s="306"/>
      <c r="O59" s="306"/>
      <c r="P59" s="159"/>
      <c r="Q59" s="351">
        <v>7.0204889935715062</v>
      </c>
      <c r="R59" s="159"/>
      <c r="S59" s="351">
        <v>0</v>
      </c>
      <c r="T59" s="351">
        <v>11.13647989848617</v>
      </c>
      <c r="U59" s="351">
        <v>9.8655663603291472</v>
      </c>
      <c r="V59" s="259">
        <v>0</v>
      </c>
      <c r="W59" s="159"/>
      <c r="X59" s="159"/>
      <c r="Y59" s="306"/>
      <c r="Z59" s="277"/>
      <c r="AA59" s="352">
        <v>55.360980335036636</v>
      </c>
      <c r="AB59" s="159">
        <f t="shared" si="32"/>
        <v>0.71315260114081458</v>
      </c>
      <c r="AC59" s="307"/>
      <c r="AD59" s="204"/>
      <c r="AE59" s="360">
        <v>0.71315260114081458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208.57854821276572</v>
      </c>
      <c r="AP59" s="159"/>
      <c r="AQ59" s="188">
        <f t="shared" si="16"/>
        <v>292.67721610057811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23.398657794630996</v>
      </c>
      <c r="M60" s="114"/>
      <c r="N60" s="104"/>
      <c r="O60" s="104"/>
      <c r="P60" s="110"/>
      <c r="Q60" s="351">
        <v>4.8663951995948453</v>
      </c>
      <c r="R60" s="110"/>
      <c r="S60" s="351">
        <v>0</v>
      </c>
      <c r="T60" s="351">
        <v>3.0951891837458234</v>
      </c>
      <c r="U60" s="351">
        <v>15.437073411290326</v>
      </c>
      <c r="V60" s="259">
        <v>0</v>
      </c>
      <c r="W60" s="110"/>
      <c r="X60" s="110"/>
      <c r="Y60" s="104"/>
      <c r="Z60" s="103"/>
      <c r="AA60" s="352">
        <v>20.397289315635678</v>
      </c>
      <c r="AB60" s="110">
        <f t="shared" si="32"/>
        <v>4.5851372748433553E-2</v>
      </c>
      <c r="AC60" s="310"/>
      <c r="AD60" s="114"/>
      <c r="AE60" s="361">
        <v>4.5851372748433553E-2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61.023674107932003</v>
      </c>
      <c r="AP60" s="110"/>
      <c r="AQ60" s="113">
        <f t="shared" si="16"/>
        <v>104.87147168869146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29.813415151376248</v>
      </c>
      <c r="M61" s="114"/>
      <c r="N61" s="104"/>
      <c r="O61" s="104"/>
      <c r="P61" s="110"/>
      <c r="Q61" s="351">
        <v>4.7300750249623897</v>
      </c>
      <c r="R61" s="110"/>
      <c r="S61" s="351">
        <v>0</v>
      </c>
      <c r="T61" s="351">
        <v>20.683574758803207</v>
      </c>
      <c r="U61" s="351">
        <v>4.3997653676106534</v>
      </c>
      <c r="V61" s="259">
        <v>0</v>
      </c>
      <c r="W61" s="110"/>
      <c r="X61" s="110"/>
      <c r="Y61" s="104"/>
      <c r="Z61" s="103"/>
      <c r="AA61" s="352">
        <v>38.547366409820405</v>
      </c>
      <c r="AB61" s="110">
        <f t="shared" si="32"/>
        <v>0.91784622948203576</v>
      </c>
      <c r="AC61" s="310"/>
      <c r="AD61" s="114"/>
      <c r="AE61" s="361">
        <v>0.91784622948203576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115.13850659766686</v>
      </c>
      <c r="AP61" s="110"/>
      <c r="AQ61" s="113">
        <f t="shared" si="16"/>
        <v>184.7920779973681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3.2970072722960637</v>
      </c>
      <c r="M62" s="114"/>
      <c r="N62" s="104"/>
      <c r="O62" s="104"/>
      <c r="P62" s="110"/>
      <c r="Q62" s="351">
        <v>0.56055795948001474</v>
      </c>
      <c r="R62" s="110"/>
      <c r="S62" s="351">
        <v>0</v>
      </c>
      <c r="T62" s="351">
        <v>0.85468203070333282</v>
      </c>
      <c r="U62" s="351">
        <v>1.8817672821127163</v>
      </c>
      <c r="V62" s="259">
        <v>0</v>
      </c>
      <c r="W62" s="110"/>
      <c r="X62" s="110"/>
      <c r="Y62" s="104"/>
      <c r="Z62" s="103"/>
      <c r="AA62" s="352">
        <v>20.402872451589595</v>
      </c>
      <c r="AB62" s="110">
        <f t="shared" si="32"/>
        <v>7.8602353283028933E-2</v>
      </c>
      <c r="AC62" s="310"/>
      <c r="AD62" s="114"/>
      <c r="AE62" s="361">
        <v>7.8602353283028933E-2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351.70650999873118</v>
      </c>
      <c r="AP62" s="110"/>
      <c r="AQ62" s="113">
        <f t="shared" si="16"/>
        <v>375.49599042176453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1.2288053600583866</v>
      </c>
      <c r="M63" s="114"/>
      <c r="N63" s="104"/>
      <c r="O63" s="104"/>
      <c r="P63" s="110"/>
      <c r="Q63" s="363">
        <v>0.78384100413662472</v>
      </c>
      <c r="R63" s="110"/>
      <c r="S63" s="363">
        <v>0</v>
      </c>
      <c r="T63" s="363">
        <v>0.11189054976084642</v>
      </c>
      <c r="U63" s="363">
        <v>0.33307380616091531</v>
      </c>
      <c r="V63" s="311">
        <v>0</v>
      </c>
      <c r="W63" s="110"/>
      <c r="X63" s="110"/>
      <c r="Y63" s="104"/>
      <c r="Z63" s="103"/>
      <c r="AA63" s="364">
        <v>13.107807435804883</v>
      </c>
      <c r="AB63" s="110">
        <f t="shared" si="32"/>
        <v>0.43722559013684847</v>
      </c>
      <c r="AC63" s="310"/>
      <c r="AD63" s="114"/>
      <c r="AE63" s="361">
        <v>0.43722559013684847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39.418664906900233</v>
      </c>
      <c r="AP63" s="110"/>
      <c r="AQ63" s="113">
        <f t="shared" si="16"/>
        <v>54.196502691396589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18.367511431114149</v>
      </c>
      <c r="M64" s="291"/>
      <c r="N64" s="316"/>
      <c r="O64" s="316"/>
      <c r="P64" s="172"/>
      <c r="Q64" s="363">
        <v>3.4820403227238654</v>
      </c>
      <c r="R64" s="172"/>
      <c r="S64" s="363">
        <v>0</v>
      </c>
      <c r="T64" s="363">
        <v>5.5055542797987558</v>
      </c>
      <c r="U64" s="363">
        <v>9.3799168285915275</v>
      </c>
      <c r="V64" s="311">
        <v>0</v>
      </c>
      <c r="W64" s="172"/>
      <c r="X64" s="172"/>
      <c r="Y64" s="316"/>
      <c r="Z64" s="290"/>
      <c r="AA64" s="364">
        <v>70.553391157634678</v>
      </c>
      <c r="AB64" s="172">
        <f t="shared" si="32"/>
        <v>19.843229411620626</v>
      </c>
      <c r="AC64" s="317"/>
      <c r="AD64" s="291"/>
      <c r="AE64" s="365">
        <v>1.2567444553880549</v>
      </c>
      <c r="AF64" s="168"/>
      <c r="AG64" s="168"/>
      <c r="AH64" s="168">
        <v>2.1464867544000001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99.144779269082278</v>
      </c>
      <c r="AP64" s="172"/>
      <c r="AQ64" s="175">
        <f t="shared" si="16"/>
        <v>207.90891126945172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123.52720253844076</v>
      </c>
      <c r="M65" s="168"/>
      <c r="N65" s="169"/>
      <c r="O65" s="169"/>
      <c r="P65" s="265"/>
      <c r="Q65" s="358">
        <v>52.372800885086669</v>
      </c>
      <c r="R65" s="265"/>
      <c r="S65" s="358">
        <v>0.2093031229578676</v>
      </c>
      <c r="T65" s="358">
        <v>23.182913063099708</v>
      </c>
      <c r="U65" s="358">
        <v>47.762185467296518</v>
      </c>
      <c r="V65" s="299">
        <f>SUM(V66:V69)</f>
        <v>0</v>
      </c>
      <c r="W65" s="265"/>
      <c r="X65" s="265"/>
      <c r="Y65" s="169"/>
      <c r="Z65" s="168"/>
      <c r="AA65" s="356">
        <v>130.81427118422633</v>
      </c>
      <c r="AB65" s="172">
        <f t="shared" si="32"/>
        <v>16.307595049160582</v>
      </c>
      <c r="AC65" s="173"/>
      <c r="AD65" s="168"/>
      <c r="AE65" s="365">
        <f>SUM(AE66:AE69)</f>
        <v>12.238222651264934</v>
      </c>
      <c r="AF65" s="168"/>
      <c r="AG65" s="168"/>
      <c r="AH65" s="168">
        <v>4.0693723978956484</v>
      </c>
      <c r="AI65" s="168"/>
      <c r="AJ65" s="168"/>
      <c r="AK65" s="168"/>
      <c r="AL65" s="168"/>
      <c r="AM65" s="169"/>
      <c r="AN65" s="170"/>
      <c r="AO65" s="356">
        <v>249.05965779397226</v>
      </c>
      <c r="AP65" s="172"/>
      <c r="AQ65" s="318">
        <f t="shared" si="16"/>
        <v>519.71172611467216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3.2892621289989443</v>
      </c>
      <c r="M66" s="203"/>
      <c r="N66" s="205"/>
      <c r="O66" s="156"/>
      <c r="P66" s="205"/>
      <c r="Q66" s="349">
        <v>0.14337121814792833</v>
      </c>
      <c r="R66" s="205"/>
      <c r="S66" s="349">
        <v>1.0374380320092571E-3</v>
      </c>
      <c r="T66" s="349">
        <v>0.6996529557334854</v>
      </c>
      <c r="U66" s="349">
        <v>2.4452005170855213</v>
      </c>
      <c r="V66" s="205">
        <v>0</v>
      </c>
      <c r="W66" s="205"/>
      <c r="X66" s="205"/>
      <c r="Y66" s="156"/>
      <c r="Z66" s="155"/>
      <c r="AA66" s="350">
        <v>8.1604510886415991</v>
      </c>
      <c r="AB66" s="159">
        <f t="shared" si="32"/>
        <v>4.0693723978956484</v>
      </c>
      <c r="AC66" s="160"/>
      <c r="AD66" s="155"/>
      <c r="AE66" s="360">
        <v>0</v>
      </c>
      <c r="AF66" s="155"/>
      <c r="AG66" s="155"/>
      <c r="AH66" s="155">
        <v>4.0693723978956484</v>
      </c>
      <c r="AI66" s="155"/>
      <c r="AJ66" s="155"/>
      <c r="AK66" s="155"/>
      <c r="AL66" s="155"/>
      <c r="AM66" s="156"/>
      <c r="AN66" s="157"/>
      <c r="AO66" s="350">
        <v>76.012997721269642</v>
      </c>
      <c r="AP66" s="159"/>
      <c r="AQ66" s="188">
        <f t="shared" si="16"/>
        <v>91.53208333680584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35.218941784662107</v>
      </c>
      <c r="M67" s="324"/>
      <c r="N67" s="259"/>
      <c r="O67" s="105"/>
      <c r="P67" s="259"/>
      <c r="Q67" s="353">
        <v>7.9453508680175693</v>
      </c>
      <c r="R67" s="259"/>
      <c r="S67" s="353">
        <v>0.11783566980238479</v>
      </c>
      <c r="T67" s="353">
        <v>5.6565391180302598</v>
      </c>
      <c r="U67" s="353">
        <v>21.499216128811895</v>
      </c>
      <c r="V67" s="249">
        <v>0</v>
      </c>
      <c r="W67" s="259"/>
      <c r="X67" s="259"/>
      <c r="Y67" s="105"/>
      <c r="Z67" s="109"/>
      <c r="AA67" s="354">
        <v>50.464570103452822</v>
      </c>
      <c r="AB67" s="110">
        <f t="shared" si="32"/>
        <v>2.4726990303619525</v>
      </c>
      <c r="AC67" s="111"/>
      <c r="AD67" s="109"/>
      <c r="AE67" s="361">
        <v>2.4726990303619525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88.45343786134103</v>
      </c>
      <c r="AP67" s="110"/>
      <c r="AQ67" s="113">
        <f t="shared" si="16"/>
        <v>176.61164847906602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57.200148396183963</v>
      </c>
      <c r="M68" s="324"/>
      <c r="N68" s="259"/>
      <c r="O68" s="105"/>
      <c r="P68" s="259"/>
      <c r="Q68" s="353">
        <v>27.299290144068646</v>
      </c>
      <c r="R68" s="259"/>
      <c r="S68" s="353">
        <v>1.7636446544157369E-2</v>
      </c>
      <c r="T68" s="353">
        <v>14.139999716162867</v>
      </c>
      <c r="U68" s="353">
        <v>15.743222089408293</v>
      </c>
      <c r="V68" s="249">
        <v>0</v>
      </c>
      <c r="W68" s="259"/>
      <c r="X68" s="259"/>
      <c r="Y68" s="105"/>
      <c r="Z68" s="109"/>
      <c r="AA68" s="354">
        <v>30.723299262402211</v>
      </c>
      <c r="AB68" s="110">
        <f t="shared" si="32"/>
        <v>8.6200580767055079</v>
      </c>
      <c r="AC68" s="111"/>
      <c r="AD68" s="109"/>
      <c r="AE68" s="361">
        <v>8.6200580767055079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52.2673592505245</v>
      </c>
      <c r="AP68" s="110"/>
      <c r="AQ68" s="113">
        <f t="shared" si="16"/>
        <v>148.81186483544025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27.81885022859575</v>
      </c>
      <c r="M69" s="326"/>
      <c r="N69" s="265"/>
      <c r="O69" s="169"/>
      <c r="P69" s="265"/>
      <c r="Q69" s="369">
        <v>16.984788654852526</v>
      </c>
      <c r="R69" s="265"/>
      <c r="S69" s="369">
        <v>7.2793568579316195E-2</v>
      </c>
      <c r="T69" s="369">
        <v>2.6867212731730952</v>
      </c>
      <c r="U69" s="369">
        <v>8.0745467319908109</v>
      </c>
      <c r="V69" s="265">
        <v>0</v>
      </c>
      <c r="W69" s="265"/>
      <c r="X69" s="265"/>
      <c r="Y69" s="169"/>
      <c r="Z69" s="168"/>
      <c r="AA69" s="370">
        <v>41.465950729729684</v>
      </c>
      <c r="AB69" s="287">
        <f t="shared" si="32"/>
        <v>1.1454655441974737</v>
      </c>
      <c r="AC69" s="288"/>
      <c r="AD69" s="281"/>
      <c r="AE69" s="371">
        <v>1.1454655441974737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32.325862960837078</v>
      </c>
      <c r="AP69" s="287"/>
      <c r="AQ69" s="289">
        <f t="shared" si="16"/>
        <v>102.75612946336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182.77551241538529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182.77551241538529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48.053209514177333</v>
      </c>
      <c r="AP70" s="197"/>
      <c r="AQ70" s="187">
        <f t="shared" si="16"/>
        <v>230.82872192956262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19.178353095519864</v>
      </c>
      <c r="M71" s="168"/>
      <c r="N71" s="168"/>
      <c r="O71" s="168"/>
      <c r="P71" s="168"/>
      <c r="Q71" s="168"/>
      <c r="R71" s="168"/>
      <c r="S71" s="168"/>
      <c r="T71" s="168"/>
      <c r="U71" s="291">
        <v>19.178353095519864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19.178353095519864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4.7818520826083386</v>
      </c>
      <c r="D72" s="223">
        <f t="shared" si="38"/>
        <v>6.9233252167147441</v>
      </c>
      <c r="E72" s="224">
        <f t="shared" si="38"/>
        <v>-0.82014795579655697</v>
      </c>
      <c r="F72" s="228">
        <f t="shared" si="38"/>
        <v>0</v>
      </c>
      <c r="G72" s="228">
        <f t="shared" si="38"/>
        <v>-1.3213251783097695</v>
      </c>
      <c r="H72" s="225">
        <f t="shared" si="38"/>
        <v>2.0639252414974862</v>
      </c>
      <c r="I72" s="223">
        <f t="shared" si="38"/>
        <v>0.3616933114974703</v>
      </c>
      <c r="J72" s="226">
        <f t="shared" si="38"/>
        <v>0</v>
      </c>
      <c r="K72" s="224">
        <f t="shared" si="38"/>
        <v>1.7022319300000035</v>
      </c>
      <c r="L72" s="225">
        <f t="shared" si="38"/>
        <v>-20.352558299093289</v>
      </c>
      <c r="M72" s="224">
        <f t="shared" si="38"/>
        <v>0</v>
      </c>
      <c r="N72" s="224">
        <f t="shared" si="38"/>
        <v>-3.5060042166747962E-2</v>
      </c>
      <c r="O72" s="224">
        <f t="shared" si="38"/>
        <v>-3.355672788399005</v>
      </c>
      <c r="P72" s="224">
        <f t="shared" si="38"/>
        <v>-18.512800333333303</v>
      </c>
      <c r="Q72" s="224">
        <f t="shared" si="38"/>
        <v>10.797924941440215</v>
      </c>
      <c r="R72" s="224">
        <f t="shared" si="38"/>
        <v>0.94190214936003258</v>
      </c>
      <c r="S72" s="224">
        <f t="shared" si="38"/>
        <v>2.8303338050878679</v>
      </c>
      <c r="T72" s="224">
        <f t="shared" si="38"/>
        <v>12.449818052148828</v>
      </c>
      <c r="U72" s="224">
        <f t="shared" si="38"/>
        <v>-26.55870582704074</v>
      </c>
      <c r="V72" s="224">
        <f t="shared" si="38"/>
        <v>1.0896146443623707</v>
      </c>
      <c r="W72" s="228">
        <f t="shared" si="38"/>
        <v>8.7099447514837891E-5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-67.629803014960316</v>
      </c>
      <c r="AB72" s="227">
        <f t="shared" si="38"/>
        <v>-5.5020960846841263</v>
      </c>
      <c r="AC72" s="334">
        <f t="shared" si="38"/>
        <v>0</v>
      </c>
      <c r="AD72" s="224">
        <f t="shared" si="38"/>
        <v>0</v>
      </c>
      <c r="AE72" s="224">
        <f t="shared" si="38"/>
        <v>-8.0584840324925722</v>
      </c>
      <c r="AF72" s="224">
        <f t="shared" si="38"/>
        <v>0</v>
      </c>
      <c r="AG72" s="224">
        <f t="shared" si="38"/>
        <v>0</v>
      </c>
      <c r="AH72" s="224">
        <f t="shared" si="38"/>
        <v>8.7131147040000911E-2</v>
      </c>
      <c r="AI72" s="224">
        <f t="shared" si="38"/>
        <v>1.8434838842879913</v>
      </c>
      <c r="AJ72" s="224">
        <f t="shared" si="38"/>
        <v>0.625772916479999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-22.346078842430416</v>
      </c>
      <c r="AP72" s="227">
        <f t="shared" si="38"/>
        <v>0</v>
      </c>
      <c r="AQ72" s="229">
        <f t="shared" si="16"/>
        <v>-108.98475891706232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343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344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345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EBF-31A9-4EFA-8D78-C99A09CAA58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AM35" sqref="AM3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346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1258.1586865025404</v>
      </c>
      <c r="AB2" s="96">
        <f>SUM(AC2:AM2)</f>
        <v>1505.979051449066</v>
      </c>
      <c r="AC2" s="97">
        <v>64.443382927957998</v>
      </c>
      <c r="AD2" s="93">
        <v>840.7283971325262</v>
      </c>
      <c r="AE2" s="93">
        <v>248.12888343080843</v>
      </c>
      <c r="AF2" s="93">
        <v>143.90327131115362</v>
      </c>
      <c r="AG2" s="93">
        <v>29.401516213591378</v>
      </c>
      <c r="AH2" s="93">
        <v>22.674403886425171</v>
      </c>
      <c r="AI2" s="93">
        <v>70.651467073343994</v>
      </c>
      <c r="AJ2" s="93">
        <v>3.1832405268479995</v>
      </c>
      <c r="AK2" s="91">
        <v>7.9963136756834938</v>
      </c>
      <c r="AL2" s="91">
        <v>14.011375971201144</v>
      </c>
      <c r="AM2" s="89">
        <v>60.856799299526209</v>
      </c>
      <c r="AN2" s="98">
        <v>142.81319437013514</v>
      </c>
      <c r="AO2" s="98"/>
      <c r="AP2" s="96"/>
      <c r="AQ2" s="99">
        <f t="shared" ref="AQ2:AQ20" si="0">C2+H2+L2+AA2+AB2+AN2+AO2+AP2</f>
        <v>3034.6549323217414</v>
      </c>
    </row>
    <row r="3" spans="1:43" ht="12.75" customHeight="1">
      <c r="A3" s="100" t="s">
        <v>94</v>
      </c>
      <c r="B3" s="101"/>
      <c r="C3" s="102">
        <f>SUM(D3:G3)</f>
        <v>1004.2416704657828</v>
      </c>
      <c r="D3" s="103">
        <v>921.66674635356151</v>
      </c>
      <c r="E3" s="104">
        <v>69.63743672637564</v>
      </c>
      <c r="F3" s="105"/>
      <c r="G3" s="105">
        <v>12.937487385845692</v>
      </c>
      <c r="H3" s="106">
        <f>SUM(I3:K3)</f>
        <v>0</v>
      </c>
      <c r="I3" s="107"/>
      <c r="J3" s="108"/>
      <c r="K3" s="109"/>
      <c r="L3" s="106">
        <f>SUM(M3:Z3)</f>
        <v>8487.8656164662134</v>
      </c>
      <c r="M3" s="107">
        <v>3118.6115255463997</v>
      </c>
      <c r="N3" s="107">
        <v>6.1836804383999997</v>
      </c>
      <c r="O3" s="109">
        <v>0</v>
      </c>
      <c r="P3" s="109">
        <v>208.01548286666664</v>
      </c>
      <c r="Q3" s="109">
        <v>366.79325714303997</v>
      </c>
      <c r="R3" s="109">
        <v>755.11072702535967</v>
      </c>
      <c r="S3" s="109">
        <v>365.54681743644068</v>
      </c>
      <c r="T3" s="109">
        <v>163.43759826302875</v>
      </c>
      <c r="U3" s="109">
        <v>2914.9405885267965</v>
      </c>
      <c r="V3" s="109">
        <v>194.14804282564569</v>
      </c>
      <c r="W3" s="105">
        <v>0</v>
      </c>
      <c r="X3" s="105">
        <v>339.8413971723628</v>
      </c>
      <c r="Y3" s="105">
        <v>0.95235964480021496</v>
      </c>
      <c r="Z3" s="109">
        <v>54.284139577274459</v>
      </c>
      <c r="AA3" s="106">
        <v>3125.5692350126933</v>
      </c>
      <c r="AB3" s="110">
        <f>SUM(AC3:AM3)</f>
        <v>158.77988190568263</v>
      </c>
      <c r="AC3" s="111"/>
      <c r="AD3" s="109"/>
      <c r="AE3" s="109">
        <v>48.738653571138599</v>
      </c>
      <c r="AF3" s="109"/>
      <c r="AG3" s="109"/>
      <c r="AH3" s="109"/>
      <c r="AI3" s="109">
        <v>92.660886266496007</v>
      </c>
      <c r="AJ3" s="109">
        <v>17.380342068047998</v>
      </c>
      <c r="AK3" s="107"/>
      <c r="AL3" s="107"/>
      <c r="AM3" s="105"/>
      <c r="AN3" s="112"/>
      <c r="AO3" s="112">
        <v>210.76152354000004</v>
      </c>
      <c r="AP3" s="110"/>
      <c r="AQ3" s="113">
        <f t="shared" si="0"/>
        <v>12987.217927390373</v>
      </c>
    </row>
    <row r="4" spans="1:43" ht="12.75" customHeight="1">
      <c r="A4" s="100" t="s">
        <v>95</v>
      </c>
      <c r="B4" s="101"/>
      <c r="C4" s="102">
        <f>SUM(D4:G4)</f>
        <v>35.103826805547996</v>
      </c>
      <c r="D4" s="103">
        <v>0</v>
      </c>
      <c r="E4" s="114">
        <v>33.851929874499994</v>
      </c>
      <c r="F4" s="105"/>
      <c r="G4" s="105">
        <v>1.2518969310479999</v>
      </c>
      <c r="H4" s="106">
        <f>SUM(I4:K4)</f>
        <v>2.6034888500000002</v>
      </c>
      <c r="I4" s="107"/>
      <c r="J4" s="108"/>
      <c r="K4" s="109">
        <v>2.6034888500000002</v>
      </c>
      <c r="L4" s="106">
        <f>SUM(M4:Z4)</f>
        <v>1710.6950449543406</v>
      </c>
      <c r="M4" s="107">
        <v>84.3463345336</v>
      </c>
      <c r="N4" s="107">
        <v>0</v>
      </c>
      <c r="O4" s="109"/>
      <c r="P4" s="109">
        <v>327.14106575555553</v>
      </c>
      <c r="Q4" s="109">
        <v>0</v>
      </c>
      <c r="R4" s="109">
        <v>140.76404928983999</v>
      </c>
      <c r="S4" s="109">
        <v>947.24915747909608</v>
      </c>
      <c r="T4" s="109">
        <v>22.034979663550917</v>
      </c>
      <c r="U4" s="109">
        <v>76.071455697717667</v>
      </c>
      <c r="V4" s="109">
        <v>2.5602853248707587</v>
      </c>
      <c r="W4" s="105">
        <v>96.129826777624302</v>
      </c>
      <c r="X4" s="105">
        <v>5.0348218485828076</v>
      </c>
      <c r="Y4" s="105">
        <v>7.8001622777764207E-2</v>
      </c>
      <c r="Z4" s="109">
        <v>9.2850669611246701</v>
      </c>
      <c r="AA4" s="106">
        <v>0</v>
      </c>
      <c r="AB4" s="110">
        <f>SUM(AC4:AM4)</f>
        <v>17.513650267200003</v>
      </c>
      <c r="AC4" s="111"/>
      <c r="AD4" s="109"/>
      <c r="AE4" s="109">
        <v>2.2327322399999995E-2</v>
      </c>
      <c r="AF4" s="109"/>
      <c r="AG4" s="109"/>
      <c r="AH4" s="109"/>
      <c r="AI4" s="109">
        <v>17.491322944800004</v>
      </c>
      <c r="AJ4" s="109">
        <v>0</v>
      </c>
      <c r="AK4" s="107"/>
      <c r="AL4" s="107"/>
      <c r="AM4" s="105"/>
      <c r="AN4" s="112"/>
      <c r="AO4" s="112">
        <v>74.228516079999991</v>
      </c>
      <c r="AP4" s="110"/>
      <c r="AQ4" s="113">
        <f t="shared" si="0"/>
        <v>1840.1445269570886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171.78193617661432</v>
      </c>
      <c r="M5" s="107"/>
      <c r="N5" s="107"/>
      <c r="O5" s="109"/>
      <c r="P5" s="109"/>
      <c r="Q5" s="109"/>
      <c r="R5" s="109"/>
      <c r="S5" s="109">
        <v>6.7254842449152532</v>
      </c>
      <c r="T5" s="109"/>
      <c r="U5" s="109">
        <v>165.05645193169906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171.78193617661432</v>
      </c>
    </row>
    <row r="6" spans="1:43" ht="12.75" customHeight="1" thickBot="1">
      <c r="A6" s="115" t="s">
        <v>97</v>
      </c>
      <c r="B6" s="116"/>
      <c r="C6" s="102">
        <f>SUM(D6:G6)</f>
        <v>-54.291376483376133</v>
      </c>
      <c r="D6" s="117">
        <v>-54.220521841799972</v>
      </c>
      <c r="E6" s="105">
        <v>0.1136135211</v>
      </c>
      <c r="F6" s="118"/>
      <c r="G6" s="118">
        <v>-0.18446816267615943</v>
      </c>
      <c r="H6" s="119">
        <f>SUM(I6:K6)</f>
        <v>139.90350040164418</v>
      </c>
      <c r="I6" s="120">
        <v>139.81662440702419</v>
      </c>
      <c r="J6" s="121">
        <v>0</v>
      </c>
      <c r="K6" s="120">
        <v>8.6875994620000146E-2</v>
      </c>
      <c r="L6" s="119">
        <f>SUM(M6:Z6)</f>
        <v>132.85987970353617</v>
      </c>
      <c r="M6" s="107">
        <v>58.858587873200001</v>
      </c>
      <c r="N6" s="107">
        <v>-3.2775450167999982</v>
      </c>
      <c r="O6" s="109"/>
      <c r="P6" s="109">
        <v>147.58484185555557</v>
      </c>
      <c r="Q6" s="109">
        <v>10.3839920912</v>
      </c>
      <c r="R6" s="109">
        <v>135.29433232895994</v>
      </c>
      <c r="S6" s="109">
        <v>-14.689704670903957</v>
      </c>
      <c r="T6" s="109">
        <v>-6.3770406106005222</v>
      </c>
      <c r="U6" s="109">
        <v>-179.85481354184273</v>
      </c>
      <c r="V6" s="109">
        <v>-17.869169241281888</v>
      </c>
      <c r="W6" s="118">
        <v>2.8063986360497242</v>
      </c>
      <c r="X6" s="118">
        <v>0</v>
      </c>
      <c r="Y6" s="118">
        <v>0</v>
      </c>
      <c r="Z6" s="120">
        <v>0</v>
      </c>
      <c r="AA6" s="119">
        <v>-1.6225241430580444</v>
      </c>
      <c r="AB6" s="122">
        <f>SUM(AC6:AM6)</f>
        <v>3.2481462481644012</v>
      </c>
      <c r="AC6" s="123"/>
      <c r="AD6" s="124"/>
      <c r="AE6" s="124">
        <v>-3.529426283211599</v>
      </c>
      <c r="AF6" s="124"/>
      <c r="AG6" s="124"/>
      <c r="AH6" s="124"/>
      <c r="AI6" s="124">
        <v>7.4291305847039997</v>
      </c>
      <c r="AJ6" s="124">
        <v>-0.65155805332799943</v>
      </c>
      <c r="AK6" s="120"/>
      <c r="AL6" s="120"/>
      <c r="AM6" s="118"/>
      <c r="AN6" s="125"/>
      <c r="AO6" s="125"/>
      <c r="AP6" s="122"/>
      <c r="AQ6" s="126">
        <f t="shared" si="0"/>
        <v>220.09762572691056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914.84646717685871</v>
      </c>
      <c r="D7" s="130">
        <f t="shared" si="1"/>
        <v>867.44622451176156</v>
      </c>
      <c r="E7" s="131">
        <f t="shared" si="1"/>
        <v>35.899120372975645</v>
      </c>
      <c r="F7" s="131">
        <f t="shared" si="1"/>
        <v>0</v>
      </c>
      <c r="G7" s="131">
        <f t="shared" si="1"/>
        <v>11.501122292121533</v>
      </c>
      <c r="H7" s="132">
        <f t="shared" si="1"/>
        <v>265.00401155164417</v>
      </c>
      <c r="I7" s="130">
        <f t="shared" si="1"/>
        <v>139.81662440702419</v>
      </c>
      <c r="J7" s="133">
        <f t="shared" si="1"/>
        <v>127.70399999999999</v>
      </c>
      <c r="K7" s="131">
        <f t="shared" si="1"/>
        <v>-2.51661285538</v>
      </c>
      <c r="L7" s="132">
        <f t="shared" si="1"/>
        <v>6738.2485150387956</v>
      </c>
      <c r="M7" s="130">
        <f t="shared" si="1"/>
        <v>3093.1237788859999</v>
      </c>
      <c r="N7" s="130">
        <f t="shared" si="1"/>
        <v>2.9061354216000015</v>
      </c>
      <c r="O7" s="131">
        <f t="shared" si="1"/>
        <v>0</v>
      </c>
      <c r="P7" s="131">
        <f t="shared" si="1"/>
        <v>28.459258966666681</v>
      </c>
      <c r="Q7" s="131">
        <f t="shared" si="1"/>
        <v>377.17724923423998</v>
      </c>
      <c r="R7" s="131">
        <f t="shared" si="1"/>
        <v>749.6410100644797</v>
      </c>
      <c r="S7" s="131">
        <f t="shared" si="1"/>
        <v>-603.11752895847462</v>
      </c>
      <c r="T7" s="131">
        <f t="shared" si="1"/>
        <v>135.0255779888773</v>
      </c>
      <c r="U7" s="131">
        <f t="shared" si="1"/>
        <v>2493.957867355537</v>
      </c>
      <c r="V7" s="131">
        <f t="shared" si="1"/>
        <v>173.71858825949303</v>
      </c>
      <c r="W7" s="131">
        <f t="shared" si="1"/>
        <v>-93.323428141574581</v>
      </c>
      <c r="X7" s="131">
        <f t="shared" si="1"/>
        <v>334.80657532378001</v>
      </c>
      <c r="Y7" s="131">
        <f t="shared" si="1"/>
        <v>0.87435802202245072</v>
      </c>
      <c r="Z7" s="131">
        <f t="shared" si="1"/>
        <v>44.999072616149789</v>
      </c>
      <c r="AA7" s="132">
        <f t="shared" si="1"/>
        <v>4382.1053973721755</v>
      </c>
      <c r="AB7" s="132">
        <f t="shared" si="1"/>
        <v>1650.493429335713</v>
      </c>
      <c r="AC7" s="130">
        <f t="shared" si="1"/>
        <v>64.443382927957998</v>
      </c>
      <c r="AD7" s="131">
        <f t="shared" si="1"/>
        <v>840.7283971325262</v>
      </c>
      <c r="AE7" s="131">
        <f t="shared" si="1"/>
        <v>293.31578339633546</v>
      </c>
      <c r="AF7" s="131">
        <f t="shared" si="1"/>
        <v>143.90327131115362</v>
      </c>
      <c r="AG7" s="131">
        <f t="shared" si="1"/>
        <v>29.401516213591378</v>
      </c>
      <c r="AH7" s="131">
        <f t="shared" si="1"/>
        <v>22.674403886425171</v>
      </c>
      <c r="AI7" s="131">
        <f t="shared" si="1"/>
        <v>153.25016097974401</v>
      </c>
      <c r="AJ7" s="131">
        <f t="shared" si="1"/>
        <v>19.912024541567998</v>
      </c>
      <c r="AK7" s="134">
        <f t="shared" si="1"/>
        <v>7.9963136756834938</v>
      </c>
      <c r="AL7" s="134">
        <f t="shared" si="1"/>
        <v>14.011375971201144</v>
      </c>
      <c r="AM7" s="130">
        <f t="shared" si="1"/>
        <v>60.856799299526209</v>
      </c>
      <c r="AN7" s="132">
        <f t="shared" si="1"/>
        <v>142.81319437013514</v>
      </c>
      <c r="AO7" s="132">
        <f t="shared" si="1"/>
        <v>136.53300746000005</v>
      </c>
      <c r="AP7" s="135">
        <f t="shared" si="1"/>
        <v>0</v>
      </c>
      <c r="AQ7" s="136">
        <f t="shared" si="0"/>
        <v>14230.044022305323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914.84646717685871</v>
      </c>
      <c r="D8" s="140">
        <f t="shared" si="2"/>
        <v>867.44622451176156</v>
      </c>
      <c r="E8" s="141">
        <f t="shared" si="2"/>
        <v>35.899120372975645</v>
      </c>
      <c r="F8" s="142">
        <f t="shared" si="2"/>
        <v>0</v>
      </c>
      <c r="G8" s="142">
        <f t="shared" si="2"/>
        <v>11.501122292121533</v>
      </c>
      <c r="H8" s="143">
        <f t="shared" si="2"/>
        <v>265.00401155164417</v>
      </c>
      <c r="I8" s="140">
        <f t="shared" si="2"/>
        <v>139.81662440702419</v>
      </c>
      <c r="J8" s="144">
        <f t="shared" si="2"/>
        <v>127.70399999999999</v>
      </c>
      <c r="K8" s="141">
        <f t="shared" si="2"/>
        <v>-2.51661285538</v>
      </c>
      <c r="L8" s="143">
        <f t="shared" si="2"/>
        <v>6357.5685090768438</v>
      </c>
      <c r="M8" s="140">
        <f t="shared" si="2"/>
        <v>3093.1237788859999</v>
      </c>
      <c r="N8" s="140">
        <f t="shared" si="2"/>
        <v>2.9061354216000015</v>
      </c>
      <c r="O8" s="141">
        <f t="shared" si="2"/>
        <v>0</v>
      </c>
      <c r="P8" s="141">
        <f t="shared" si="2"/>
        <v>28.459258966666681</v>
      </c>
      <c r="Q8" s="141">
        <f t="shared" si="2"/>
        <v>377.17724923423998</v>
      </c>
      <c r="R8" s="141">
        <f t="shared" si="2"/>
        <v>749.6410100644797</v>
      </c>
      <c r="S8" s="141">
        <f t="shared" si="2"/>
        <v>-603.11752895847462</v>
      </c>
      <c r="T8" s="141">
        <f t="shared" si="2"/>
        <v>135.0255779888773</v>
      </c>
      <c r="U8" s="141">
        <f t="shared" si="2"/>
        <v>2493.957867355537</v>
      </c>
      <c r="V8" s="141">
        <f t="shared" si="2"/>
        <v>173.71858825949303</v>
      </c>
      <c r="W8" s="142">
        <f t="shared" si="2"/>
        <v>-93.323428141574581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4382.1053973721755</v>
      </c>
      <c r="AB8" s="145">
        <f t="shared" si="2"/>
        <v>1650.493429335713</v>
      </c>
      <c r="AC8" s="140">
        <f t="shared" si="2"/>
        <v>64.443382927957998</v>
      </c>
      <c r="AD8" s="141">
        <f t="shared" si="2"/>
        <v>840.7283971325262</v>
      </c>
      <c r="AE8" s="141">
        <f t="shared" si="2"/>
        <v>293.31578339633546</v>
      </c>
      <c r="AF8" s="141">
        <f t="shared" si="2"/>
        <v>143.90327131115362</v>
      </c>
      <c r="AG8" s="141">
        <f t="shared" si="2"/>
        <v>29.401516213591378</v>
      </c>
      <c r="AH8" s="141">
        <f t="shared" si="2"/>
        <v>22.674403886425171</v>
      </c>
      <c r="AI8" s="141">
        <f t="shared" si="2"/>
        <v>153.25016097974401</v>
      </c>
      <c r="AJ8" s="141">
        <f t="shared" si="2"/>
        <v>19.912024541567998</v>
      </c>
      <c r="AK8" s="146">
        <f t="shared" si="2"/>
        <v>7.9963136756834938</v>
      </c>
      <c r="AL8" s="146">
        <f t="shared" si="2"/>
        <v>14.011375971201144</v>
      </c>
      <c r="AM8" s="140">
        <f t="shared" si="2"/>
        <v>60.856799299526209</v>
      </c>
      <c r="AN8" s="143">
        <f t="shared" si="2"/>
        <v>142.81319437013514</v>
      </c>
      <c r="AO8" s="143">
        <f t="shared" si="2"/>
        <v>136.53300746000005</v>
      </c>
      <c r="AP8" s="140">
        <f t="shared" si="2"/>
        <v>0</v>
      </c>
      <c r="AQ8" s="147">
        <f t="shared" si="0"/>
        <v>13849.364016343372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672.78570211449551</v>
      </c>
      <c r="D9" s="134">
        <f t="shared" si="3"/>
        <v>672.78570211449551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129.36175734289282</v>
      </c>
      <c r="I9" s="134">
        <f t="shared" si="3"/>
        <v>129.36175734289282</v>
      </c>
      <c r="J9" s="133">
        <f t="shared" si="3"/>
        <v>0</v>
      </c>
      <c r="K9" s="131">
        <f t="shared" si="3"/>
        <v>0</v>
      </c>
      <c r="L9" s="132">
        <f t="shared" si="3"/>
        <v>3488.1701553068197</v>
      </c>
      <c r="M9" s="131">
        <f t="shared" si="3"/>
        <v>3093.1237788859994</v>
      </c>
      <c r="N9" s="131">
        <f t="shared" ref="N9" si="4">SUM(N10:N14)</f>
        <v>35.136316982680086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328.83388410655067</v>
      </c>
      <c r="T9" s="131">
        <f t="shared" si="3"/>
        <v>0.45660113346239994</v>
      </c>
      <c r="U9" s="131">
        <f t="shared" si="3"/>
        <v>30.61957419812699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2375.4439030971744</v>
      </c>
      <c r="AB9" s="130">
        <f t="shared" si="3"/>
        <v>236.86674836652452</v>
      </c>
      <c r="AC9" s="149">
        <f t="shared" si="3"/>
        <v>0</v>
      </c>
      <c r="AD9" s="131">
        <f t="shared" si="3"/>
        <v>0</v>
      </c>
      <c r="AE9" s="131">
        <f t="shared" si="3"/>
        <v>100.36314458117718</v>
      </c>
      <c r="AF9" s="131">
        <f t="shared" ref="AF9" si="5">SUM(AF10:AF14)</f>
        <v>97.260479359108899</v>
      </c>
      <c r="AG9" s="131">
        <f t="shared" si="3"/>
        <v>29.401516213591378</v>
      </c>
      <c r="AH9" s="131">
        <f t="shared" si="3"/>
        <v>9.8416082126470759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88.900326252915676</v>
      </c>
      <c r="AO9" s="132">
        <f t="shared" si="3"/>
        <v>53.473718120000001</v>
      </c>
      <c r="AP9" s="130">
        <f t="shared" si="3"/>
        <v>0</v>
      </c>
      <c r="AQ9" s="150">
        <f t="shared" si="0"/>
        <v>7045.002310600823</v>
      </c>
    </row>
    <row r="10" spans="1:43" ht="12.75" customHeight="1">
      <c r="A10" s="151" t="s">
        <v>322</v>
      </c>
      <c r="B10" s="152"/>
      <c r="C10" s="153">
        <f>SUM(D10:G10)</f>
        <v>672.78570211449551</v>
      </c>
      <c r="D10" s="154">
        <v>672.78570211449551</v>
      </c>
      <c r="E10" s="155"/>
      <c r="F10" s="156"/>
      <c r="G10" s="156"/>
      <c r="H10" s="157">
        <f>SUM(I10:K10)</f>
        <v>66.477586998939529</v>
      </c>
      <c r="I10" s="154">
        <v>66.477586998939529</v>
      </c>
      <c r="J10" s="158">
        <v>0</v>
      </c>
      <c r="K10" s="155"/>
      <c r="L10" s="157">
        <f>SUM(M10:Z10)</f>
        <v>359.45345830467767</v>
      </c>
      <c r="M10" s="155"/>
      <c r="N10" s="155"/>
      <c r="O10" s="155"/>
      <c r="P10" s="155"/>
      <c r="Q10" s="155"/>
      <c r="R10" s="155"/>
      <c r="S10" s="155">
        <v>328.83388410655067</v>
      </c>
      <c r="T10" s="155"/>
      <c r="U10" s="155">
        <v>30.61957419812699</v>
      </c>
      <c r="V10" s="155"/>
      <c r="W10" s="156"/>
      <c r="X10" s="156"/>
      <c r="Y10" s="156"/>
      <c r="Z10" s="155"/>
      <c r="AA10" s="157">
        <v>2087.6867920143859</v>
      </c>
      <c r="AB10" s="159">
        <f>SUM(AC10:AM10)</f>
        <v>223.38461641444889</v>
      </c>
      <c r="AC10" s="160"/>
      <c r="AD10" s="155"/>
      <c r="AE10" s="155">
        <v>96.722620841748608</v>
      </c>
      <c r="AF10" s="155">
        <v>97.260479359108899</v>
      </c>
      <c r="AG10" s="155">
        <v>29.401516213591378</v>
      </c>
      <c r="AH10" s="155"/>
      <c r="AI10" s="155"/>
      <c r="AJ10" s="155"/>
      <c r="AK10" s="154"/>
      <c r="AL10" s="154"/>
      <c r="AM10" s="156"/>
      <c r="AN10" s="161">
        <v>88.900326252915676</v>
      </c>
      <c r="AO10" s="157"/>
      <c r="AP10" s="159"/>
      <c r="AQ10" s="162">
        <f t="shared" si="0"/>
        <v>3498.688482099863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4.9669183165848452</v>
      </c>
      <c r="I11" s="107">
        <v>4.9669183165848452</v>
      </c>
      <c r="J11" s="108"/>
      <c r="K11" s="109"/>
      <c r="L11" s="106">
        <f>SUM(M11:Z11)</f>
        <v>0.45660113346239994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0.45660113346239994</v>
      </c>
      <c r="U11" s="109">
        <v>0</v>
      </c>
      <c r="V11" s="109"/>
      <c r="W11" s="105"/>
      <c r="X11" s="105"/>
      <c r="Y11" s="105"/>
      <c r="Z11" s="109"/>
      <c r="AA11" s="106">
        <v>254.88005368973529</v>
      </c>
      <c r="AB11" s="110">
        <f>SUM(AC11:AM11)</f>
        <v>13.482131952075648</v>
      </c>
      <c r="AC11" s="111"/>
      <c r="AD11" s="109"/>
      <c r="AE11" s="109">
        <v>3.6405237394285717</v>
      </c>
      <c r="AF11" s="109"/>
      <c r="AG11" s="109"/>
      <c r="AH11" s="109">
        <v>9.8416082126470759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273.78570509185818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44.327411720000001</v>
      </c>
      <c r="AP12" s="110"/>
      <c r="AQ12" s="113">
        <f t="shared" si="0"/>
        <v>44.327411720000001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57.917252027368434</v>
      </c>
      <c r="I13" s="107">
        <v>57.917252027368434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57.917252027368434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3128.2600958686794</v>
      </c>
      <c r="M14" s="168">
        <v>3093.1237788859994</v>
      </c>
      <c r="N14" s="168">
        <v>35.136316982680086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32.877057393053079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9.1463063999999985</v>
      </c>
      <c r="AP14" s="172"/>
      <c r="AQ14" s="175">
        <f t="shared" si="0"/>
        <v>3170.2834596617326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55.021389426000013</v>
      </c>
      <c r="I15" s="179">
        <f t="shared" si="8"/>
        <v>0</v>
      </c>
      <c r="J15" s="183">
        <f t="shared" si="8"/>
        <v>0</v>
      </c>
      <c r="K15" s="180">
        <f t="shared" si="8"/>
        <v>55.021389426000013</v>
      </c>
      <c r="L15" s="182">
        <f t="shared" si="8"/>
        <v>3183.709026417519</v>
      </c>
      <c r="M15" s="180">
        <f t="shared" si="8"/>
        <v>0</v>
      </c>
      <c r="N15" s="180">
        <f t="shared" si="8"/>
        <v>0</v>
      </c>
      <c r="O15" s="180">
        <f t="shared" si="8"/>
        <v>97.440566086436775</v>
      </c>
      <c r="P15" s="180">
        <f t="shared" si="8"/>
        <v>584.61907413333336</v>
      </c>
      <c r="Q15" s="180">
        <f t="shared" si="8"/>
        <v>268.86374956896009</v>
      </c>
      <c r="R15" s="180">
        <f t="shared" si="8"/>
        <v>0</v>
      </c>
      <c r="S15" s="180">
        <f t="shared" si="8"/>
        <v>956.4914553694914</v>
      </c>
      <c r="T15" s="180">
        <f t="shared" si="8"/>
        <v>47.239381054464758</v>
      </c>
      <c r="U15" s="180">
        <f t="shared" si="8"/>
        <v>1135.2489180618768</v>
      </c>
      <c r="V15" s="180">
        <f t="shared" si="8"/>
        <v>0</v>
      </c>
      <c r="W15" s="181">
        <f t="shared" si="8"/>
        <v>93.805882142955795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1842.6931816219669</v>
      </c>
      <c r="AP15" s="184">
        <f t="shared" si="8"/>
        <v>0</v>
      </c>
      <c r="AQ15" s="187">
        <f t="shared" si="0"/>
        <v>5081.4235974654857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1625.7321642262305</v>
      </c>
      <c r="AP16" s="159"/>
      <c r="AQ16" s="188">
        <f>C16+H16+L16+AA16+AO16+AP16</f>
        <v>1625.7321642262305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192.34447394690443</v>
      </c>
      <c r="AP17" s="110"/>
      <c r="AQ17" s="113">
        <f>C17+H17+L17+AA17+AO17+AP17</f>
        <v>192.34447394690443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24.616543448831997</v>
      </c>
      <c r="AP18" s="110"/>
      <c r="AQ18" s="113">
        <f t="shared" si="0"/>
        <v>24.616543448831997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55.021389426000013</v>
      </c>
      <c r="I19" s="107"/>
      <c r="J19" s="109"/>
      <c r="K19" s="109">
        <v>55.021389426000013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55.021389426000013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3183.709026417519</v>
      </c>
      <c r="M20" s="168"/>
      <c r="N20" s="168"/>
      <c r="O20" s="168">
        <v>97.440566086436775</v>
      </c>
      <c r="P20" s="168">
        <v>584.61907413333336</v>
      </c>
      <c r="Q20" s="168">
        <v>268.86374956896009</v>
      </c>
      <c r="R20" s="168">
        <v>0</v>
      </c>
      <c r="S20" s="168">
        <v>956.4914553694914</v>
      </c>
      <c r="T20" s="168">
        <v>47.239381054464758</v>
      </c>
      <c r="U20" s="168">
        <v>1135.2489180618768</v>
      </c>
      <c r="V20" s="168"/>
      <c r="W20" s="169">
        <v>93.805882142955795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3183.709026417519</v>
      </c>
    </row>
    <row r="21" spans="1:43" ht="12.75" customHeight="1">
      <c r="A21" s="190" t="s">
        <v>102</v>
      </c>
      <c r="B21" s="191"/>
      <c r="C21" s="192">
        <f>SUM(C22:C24)</f>
        <v>22.804305404571668</v>
      </c>
      <c r="D21" s="193">
        <f>SUM(D22:D24)</f>
        <v>-21.641990090000004</v>
      </c>
      <c r="E21" s="194">
        <f>SUM(E22:E24)</f>
        <v>44.446295494571672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-34.057524751635938</v>
      </c>
      <c r="M21" s="194">
        <f t="shared" ref="M21:AQ21" si="9">SUM(M22:M24)</f>
        <v>0</v>
      </c>
      <c r="N21" s="194">
        <f t="shared" si="9"/>
        <v>32.20625870827056</v>
      </c>
      <c r="O21" s="194">
        <f t="shared" si="9"/>
        <v>0</v>
      </c>
      <c r="P21" s="194">
        <f t="shared" si="9"/>
        <v>-8.6147849999999995</v>
      </c>
      <c r="Q21" s="194">
        <f t="shared" si="9"/>
        <v>317.24232994272</v>
      </c>
      <c r="R21" s="194">
        <f t="shared" si="9"/>
        <v>-323.60824756991997</v>
      </c>
      <c r="S21" s="194">
        <f t="shared" si="9"/>
        <v>0.12602639435028248</v>
      </c>
      <c r="T21" s="194">
        <f t="shared" si="9"/>
        <v>0</v>
      </c>
      <c r="U21" s="194">
        <f t="shared" si="9"/>
        <v>-28.604801822485136</v>
      </c>
      <c r="V21" s="194">
        <f t="shared" si="9"/>
        <v>-22.804305404571664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-913.16809373616775</v>
      </c>
      <c r="AC21" s="198">
        <f t="shared" si="9"/>
        <v>-64.443382927957998</v>
      </c>
      <c r="AD21" s="194">
        <f t="shared" si="9"/>
        <v>-840.7283971325262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-7.9963136756834938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913.16809373616775</v>
      </c>
      <c r="AP21" s="197">
        <f t="shared" si="9"/>
        <v>0</v>
      </c>
      <c r="AQ21" s="201">
        <f t="shared" si="9"/>
        <v>-11.25321934706427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-913.16809373616775</v>
      </c>
      <c r="AC22" s="160">
        <f>-AC2</f>
        <v>-64.443382927957998</v>
      </c>
      <c r="AD22" s="155">
        <f>-AD2</f>
        <v>-840.7283971325262</v>
      </c>
      <c r="AE22" s="155"/>
      <c r="AF22" s="155"/>
      <c r="AG22" s="163"/>
      <c r="AH22" s="163"/>
      <c r="AI22" s="163"/>
      <c r="AJ22" s="163"/>
      <c r="AK22" s="154">
        <v>-7.9963136756834938</v>
      </c>
      <c r="AL22" s="163"/>
      <c r="AM22" s="156"/>
      <c r="AN22" s="161"/>
      <c r="AO22" s="157">
        <f>-(C22+H22+L22+AA22+AB22)</f>
        <v>913.16809373616775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22.804305404571668</v>
      </c>
      <c r="D24" s="217">
        <v>-21.641990090000004</v>
      </c>
      <c r="E24" s="124">
        <f>-D24-V24</f>
        <v>44.446295494571672</v>
      </c>
      <c r="F24" s="118"/>
      <c r="G24" s="118"/>
      <c r="H24" s="119"/>
      <c r="I24" s="218"/>
      <c r="J24" s="124"/>
      <c r="K24" s="124"/>
      <c r="L24" s="119">
        <f>SUM(N24:Z24)</f>
        <v>-34.057524751635938</v>
      </c>
      <c r="M24" s="124"/>
      <c r="N24" s="124">
        <v>32.20625870827056</v>
      </c>
      <c r="O24" s="124"/>
      <c r="P24" s="124">
        <v>-8.6147849999999995</v>
      </c>
      <c r="Q24" s="124">
        <v>317.24232994272</v>
      </c>
      <c r="R24" s="124">
        <v>-323.60824756991997</v>
      </c>
      <c r="S24" s="124">
        <v>0.12602639435028248</v>
      </c>
      <c r="T24" s="124"/>
      <c r="U24" s="124">
        <v>-28.604801822485136</v>
      </c>
      <c r="V24" s="118">
        <v>-22.804305404571664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-11.25321934706427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10.469112896752314</v>
      </c>
      <c r="I25" s="209">
        <v>10.469112896752314</v>
      </c>
      <c r="J25" s="219"/>
      <c r="K25" s="211"/>
      <c r="L25" s="182">
        <f>SUM(O25:Z25)</f>
        <v>99.993768447536056</v>
      </c>
      <c r="M25" s="211"/>
      <c r="N25" s="211"/>
      <c r="O25" s="211">
        <v>99.385536260942132</v>
      </c>
      <c r="P25" s="211"/>
      <c r="Q25" s="211"/>
      <c r="R25" s="211"/>
      <c r="S25" s="211">
        <v>0</v>
      </c>
      <c r="T25" s="211">
        <v>1.8276471195184864E-3</v>
      </c>
      <c r="U25" s="211">
        <v>0.60640453947441786</v>
      </c>
      <c r="V25" s="211"/>
      <c r="W25" s="209"/>
      <c r="X25" s="209"/>
      <c r="Y25" s="209"/>
      <c r="Z25" s="211"/>
      <c r="AA25" s="182">
        <v>54.817977940294135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279.98691916873361</v>
      </c>
      <c r="AP25" s="184"/>
      <c r="AQ25" s="215">
        <f>C25+H25+L25+AA25+AB25+AN25+AO25+AP25</f>
        <v>445.26777845331611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264.86507046693487</v>
      </c>
      <c r="D26" s="223">
        <f t="shared" si="10"/>
        <v>173.01853230726604</v>
      </c>
      <c r="E26" s="224">
        <f t="shared" si="10"/>
        <v>80.345415867547317</v>
      </c>
      <c r="F26" s="224">
        <f t="shared" si="10"/>
        <v>0</v>
      </c>
      <c r="G26" s="224">
        <f t="shared" si="10"/>
        <v>11.501122292121533</v>
      </c>
      <c r="H26" s="225">
        <f t="shared" si="10"/>
        <v>180.19453073799906</v>
      </c>
      <c r="I26" s="223">
        <f t="shared" si="10"/>
        <v>-1.4245832620936483E-2</v>
      </c>
      <c r="J26" s="226">
        <f t="shared" si="10"/>
        <v>127.70399999999999</v>
      </c>
      <c r="K26" s="224">
        <f t="shared" si="10"/>
        <v>52.50477657062001</v>
      </c>
      <c r="L26" s="225">
        <f t="shared" si="10"/>
        <v>6299.7360929503229</v>
      </c>
      <c r="M26" s="224">
        <f t="shared" si="10"/>
        <v>4.5474735088646412E-13</v>
      </c>
      <c r="N26" s="224">
        <f t="shared" si="10"/>
        <v>-2.3922852809526773E-2</v>
      </c>
      <c r="O26" s="224">
        <f t="shared" si="10"/>
        <v>-1.9449701745053574</v>
      </c>
      <c r="P26" s="224">
        <f t="shared" si="10"/>
        <v>604.46354810000003</v>
      </c>
      <c r="Q26" s="224">
        <f t="shared" si="10"/>
        <v>963.28332874592002</v>
      </c>
      <c r="R26" s="224">
        <f t="shared" si="10"/>
        <v>426.03276249455973</v>
      </c>
      <c r="S26" s="224">
        <f t="shared" si="10"/>
        <v>24.666068698816453</v>
      </c>
      <c r="T26" s="224">
        <f t="shared" si="10"/>
        <v>181.80653026276013</v>
      </c>
      <c r="U26" s="224">
        <f t="shared" si="10"/>
        <v>3569.3760048573272</v>
      </c>
      <c r="V26" s="224">
        <f t="shared" si="10"/>
        <v>150.91428285492137</v>
      </c>
      <c r="W26" s="224">
        <f t="shared" si="10"/>
        <v>0.48245400138121397</v>
      </c>
      <c r="X26" s="224">
        <f t="shared" si="10"/>
        <v>334.80657532378001</v>
      </c>
      <c r="Y26" s="224">
        <f t="shared" si="10"/>
        <v>0.87435802202245072</v>
      </c>
      <c r="Z26" s="224">
        <f t="shared" si="10"/>
        <v>44.999072616149789</v>
      </c>
      <c r="AA26" s="225">
        <f t="shared" si="10"/>
        <v>1951.8435163347069</v>
      </c>
      <c r="AB26" s="227">
        <f t="shared" si="10"/>
        <v>500.45858723302081</v>
     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/c>
      <c r="AF26" s="131">
        <f t="shared" si="10"/>
        <v>46.642791952044718</v>
      </c>
      <c r="AG26" s="131">
        <f t="shared" si="10"/>
        <v>0</v>
      </c>
      <c r="AH26" s="131">
        <f t="shared" si="10"/>
        <v>12.832795673778095</v>
      </c>
      <c r="AI26" s="131">
        <f t="shared" si="10"/>
        <v>153.25016097974401</v>
      </c>
      <c r="AJ26" s="131">
        <f t="shared" si="10"/>
        <v>19.912024541567998</v>
      </c>
      <c r="AK26" s="134">
        <f t="shared" si="10"/>
        <v>0</v>
      </c>
      <c r="AL26" s="134">
        <f t="shared" si="10"/>
        <v>14.011375971201144</v>
      </c>
      <c r="AM26" s="228">
        <f t="shared" si="10"/>
        <v>60.856799299526209</v>
      </c>
      <c r="AN26" s="225">
        <f t="shared" si="10"/>
        <v>53.91286811721946</v>
      </c>
      <c r="AO26" s="225">
        <f t="shared" si="10"/>
        <v>2558.933645529401</v>
      </c>
      <c r="AP26" s="227">
        <f t="shared" si="10"/>
        <v>0</v>
      </c>
      <c r="AQ26" s="229">
        <f>C26+H26+L26+AA26+AB26+AN26+AO26+AP26</f>
        <v>11809.944311369605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380.68000596195225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334.80657532378001</v>
      </c>
      <c r="Y27" s="148">
        <f t="shared" si="12"/>
        <v>0.87435802202245072</v>
      </c>
      <c r="Z27" s="131">
        <f t="shared" si="12"/>
        <v>44.999072616149789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380.68000596195225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380.68000596195225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334.80657532378001</v>
      </c>
      <c r="Y28" s="195">
        <f>Y26</f>
        <v>0.87435802202245072</v>
      </c>
      <c r="Z28" s="194">
        <f>Z26</f>
        <v>44.999072616149789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380.68000596195225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274.75963173432615</v>
      </c>
      <c r="D29" s="134">
        <f t="shared" si="13"/>
        <v>177.39722461962668</v>
      </c>
      <c r="E29" s="131">
        <f t="shared" si="13"/>
        <v>85.322939087575648</v>
      </c>
      <c r="F29" s="148">
        <f t="shared" si="13"/>
        <v>0</v>
      </c>
      <c r="G29" s="148">
        <f t="shared" si="13"/>
        <v>12.039468027123773</v>
      </c>
      <c r="H29" s="132">
        <f t="shared" si="13"/>
        <v>179.95417103</v>
      </c>
      <c r="I29" s="134">
        <f t="shared" si="13"/>
        <v>0</v>
      </c>
      <c r="J29" s="235">
        <f t="shared" si="13"/>
        <v>127.70399999999999</v>
      </c>
      <c r="K29" s="134">
        <f t="shared" si="13"/>
        <v>52.250171030000004</v>
      </c>
      <c r="L29" s="132">
        <f t="shared" si="13"/>
        <v>5976.789978623824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612.74491157777788</v>
      </c>
      <c r="Q29" s="131">
        <f t="shared" si="13"/>
        <v>943.81500350592023</v>
      </c>
      <c r="R29" s="131">
        <f t="shared" si="13"/>
        <v>445.76882293992008</v>
      </c>
      <c r="S29" s="131">
        <f t="shared" si="13"/>
        <v>21.575486332510842</v>
      </c>
      <c r="T29" s="131">
        <f t="shared" si="13"/>
        <v>178.08896330005223</v>
      </c>
      <c r="U29" s="131">
        <f t="shared" si="13"/>
        <v>3624.1679650347</v>
      </c>
      <c r="V29" s="131">
        <f t="shared" si="13"/>
        <v>150.62882593294179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1950.890518641294</v>
      </c>
      <c r="AB29" s="130">
        <f t="shared" si="13"/>
        <v>503.96982518519394</v>
      </c>
      <c r="AC29" s="149">
        <f t="shared" si="13"/>
        <v>0</v>
      </c>
      <c r="AD29" s="131">
        <f t="shared" si="13"/>
        <v>0</v>
      </c>
      <c r="AE29" s="131">
        <f t="shared" si="13"/>
        <v>191.71615695344377</v>
      </c>
      <c r="AF29" s="131">
        <f t="shared" si="13"/>
        <v>46.642791952044703</v>
      </c>
      <c r="AG29" s="131">
        <f t="shared" si="13"/>
        <v>0</v>
      </c>
      <c r="AH29" s="131">
        <f t="shared" si="13"/>
        <v>12.403967775042096</v>
      </c>
      <c r="AI29" s="131">
        <f t="shared" si="13"/>
        <v>158.015300260224</v>
      </c>
      <c r="AJ29" s="131">
        <f t="shared" si="13"/>
        <v>20.323432973711995</v>
      </c>
      <c r="AK29" s="130">
        <f t="shared" si="13"/>
        <v>0</v>
      </c>
      <c r="AL29" s="130">
        <f t="shared" si="13"/>
        <v>14.011375971201142</v>
      </c>
      <c r="AM29" s="130">
        <f t="shared" si="13"/>
        <v>60.856799299526216</v>
      </c>
      <c r="AN29" s="130">
        <f t="shared" si="13"/>
        <v>53.912868117219482</v>
      </c>
      <c r="AO29" s="132">
        <f t="shared" si="13"/>
        <v>2535.0248729169034</v>
      </c>
      <c r="AP29" s="130">
        <f t="shared" si="13"/>
        <v>0</v>
      </c>
      <c r="AQ29" s="229">
        <f t="shared" si="13"/>
        <v>11475.301866248758</v>
      </c>
    </row>
    <row r="30" spans="1:43" s="11" customFormat="1" ht="12.75" customHeight="1">
      <c r="A30" s="236" t="s">
        <v>108</v>
      </c>
      <c r="B30" s="237"/>
      <c r="C30" s="238">
        <f>SUM(C31:C44)</f>
        <v>89.376412526600021</v>
      </c>
      <c r="D30" s="239">
        <v>89.376412526600021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329.0193698303159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6.0969456844200121</v>
      </c>
      <c r="R30" s="239">
        <f>SUM(R31:R44)</f>
        <v>0</v>
      </c>
      <c r="S30" s="347">
        <v>21.366183209552975</v>
      </c>
      <c r="T30" s="347">
        <v>58.123995838461454</v>
      </c>
      <c r="U30" s="347">
        <v>99.48065253177036</v>
      </c>
      <c r="V30" s="239">
        <v>143.95159256611112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1003.6634305490658</v>
      </c>
      <c r="AB30" s="243">
        <f t="shared" ref="AB30:AN30" si="15">SUM(AB31:AB44)</f>
        <v>199.07889552905357</v>
      </c>
      <c r="AC30" s="244">
        <f t="shared" si="15"/>
        <v>0</v>
      </c>
      <c r="AD30" s="239">
        <f t="shared" si="15"/>
        <v>0</v>
      </c>
      <c r="AE30" s="239">
        <f t="shared" si="15"/>
        <v>146.1783075013162</v>
      </c>
      <c r="AF30" s="239">
        <f t="shared" si="15"/>
        <v>46.642791952044703</v>
      </c>
      <c r="AG30" s="239">
        <f t="shared" si="15"/>
        <v>0</v>
      </c>
      <c r="AH30" s="239">
        <f t="shared" si="15"/>
        <v>6.2577960756926894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53.912868117219482</v>
      </c>
      <c r="AO30" s="348">
        <v>533.50606911485693</v>
      </c>
      <c r="AP30" s="243">
        <f>SUM(AP31:AP44)</f>
        <v>0</v>
      </c>
      <c r="AQ30" s="150">
        <f t="shared" ref="AQ30:AQ72" si="16">C30+H30+L30+AA30+AB30+AN30+AO30+AP30</f>
        <v>2208.5570456671117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30.781395452160016</v>
      </c>
      <c r="M31" s="163"/>
      <c r="N31" s="163"/>
      <c r="O31" s="163"/>
      <c r="P31" s="254"/>
      <c r="Q31" s="349">
        <v>0.17531351509141987</v>
      </c>
      <c r="R31" s="249"/>
      <c r="S31" s="349">
        <v>0</v>
      </c>
      <c r="T31" s="349">
        <v>1.6312466623779592E-2</v>
      </c>
      <c r="U31" s="349">
        <v>30.589769470444818</v>
      </c>
      <c r="V31" s="205">
        <v>0</v>
      </c>
      <c r="W31" s="249"/>
      <c r="X31" s="252"/>
      <c r="Y31" s="254"/>
      <c r="Z31" s="163"/>
      <c r="AA31" s="350">
        <v>14.496693804916042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24.370762493115389</v>
      </c>
      <c r="AP31" s="255"/>
      <c r="AQ31" s="162">
        <f t="shared" si="16"/>
        <v>69.648851750191454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65.674183220725553</v>
      </c>
      <c r="M32" s="109"/>
      <c r="N32" s="109"/>
      <c r="O32" s="109"/>
      <c r="P32" s="254"/>
      <c r="Q32" s="351">
        <v>1.6362594741865852</v>
      </c>
      <c r="R32" s="259"/>
      <c r="S32" s="351">
        <v>16.447259565618001</v>
      </c>
      <c r="T32" s="351">
        <v>36.221090662346953</v>
      </c>
      <c r="U32" s="351">
        <v>11.369573518574009</v>
      </c>
      <c r="V32" s="259">
        <v>0</v>
      </c>
      <c r="W32" s="259"/>
      <c r="X32" s="107"/>
      <c r="Y32" s="105"/>
      <c r="Z32" s="109"/>
      <c r="AA32" s="352">
        <v>307.96540496808188</v>
      </c>
      <c r="AB32" s="110">
        <f t="shared" si="20"/>
        <v>26.06264304925261</v>
      </c>
      <c r="AC32" s="111"/>
      <c r="AD32" s="109"/>
      <c r="AE32" s="109">
        <v>19.804846973559922</v>
      </c>
      <c r="AF32" s="109"/>
      <c r="AG32" s="163"/>
      <c r="AH32" s="163">
        <v>6.2577960756926894</v>
      </c>
      <c r="AI32" s="163"/>
      <c r="AJ32" s="163"/>
      <c r="AK32" s="107"/>
      <c r="AL32" s="105"/>
      <c r="AM32" s="109"/>
      <c r="AN32" s="112"/>
      <c r="AO32" s="352">
        <v>91.612971687753827</v>
      </c>
      <c r="AP32" s="110"/>
      <c r="AQ32" s="113">
        <f t="shared" si="16"/>
        <v>491.31520292581388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2.18273487371013</v>
      </c>
      <c r="M33" s="109"/>
      <c r="N33" s="109"/>
      <c r="O33" s="109"/>
      <c r="P33" s="254"/>
      <c r="Q33" s="351">
        <v>9.5625553686229017E-3</v>
      </c>
      <c r="R33" s="259"/>
      <c r="S33" s="351">
        <v>0</v>
      </c>
      <c r="T33" s="351">
        <v>1.8210644558183036</v>
      </c>
      <c r="U33" s="351">
        <v>0.35210786252320331</v>
      </c>
      <c r="V33" s="259">
        <v>0</v>
      </c>
      <c r="W33" s="259"/>
      <c r="X33" s="107"/>
      <c r="Y33" s="105"/>
      <c r="Z33" s="109"/>
      <c r="AA33" s="352">
        <v>12.067612339269951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3.200698065731534</v>
      </c>
      <c r="AP33" s="110"/>
      <c r="AQ33" s="113">
        <f t="shared" si="16"/>
        <v>17.451045278711614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2.6309197225713685</v>
      </c>
      <c r="M34" s="109"/>
      <c r="N34" s="109"/>
      <c r="O34" s="109"/>
      <c r="P34" s="254"/>
      <c r="Q34" s="351">
        <v>0.10412560290278271</v>
      </c>
      <c r="R34" s="259"/>
      <c r="S34" s="351">
        <v>0</v>
      </c>
      <c r="T34" s="351">
        <v>0.61839078019237181</v>
      </c>
      <c r="U34" s="351">
        <v>1.9084033394762139</v>
      </c>
      <c r="V34" s="259">
        <v>0</v>
      </c>
      <c r="W34" s="259"/>
      <c r="X34" s="107"/>
      <c r="Y34" s="105"/>
      <c r="Z34" s="109"/>
      <c r="AA34" s="352">
        <v>9.0463500524848488</v>
      </c>
      <c r="AB34" s="110">
        <f t="shared" si="20"/>
        <v>123.76456927670695</v>
      </c>
      <c r="AC34" s="111"/>
      <c r="AD34" s="109"/>
      <c r="AE34" s="109">
        <v>123.76456927670695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22.075272610744758</v>
      </c>
      <c r="AP34" s="110"/>
      <c r="AQ34" s="113">
        <f t="shared" si="16"/>
        <v>157.51711166250792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0.67667563964850475</v>
      </c>
      <c r="M35" s="109"/>
      <c r="N35" s="109"/>
      <c r="O35" s="109"/>
      <c r="P35" s="254"/>
      <c r="Q35" s="351">
        <v>3.4000196866214763E-2</v>
      </c>
      <c r="R35" s="259"/>
      <c r="S35" s="351">
        <v>0</v>
      </c>
      <c r="T35" s="351">
        <v>0.36184016874565644</v>
      </c>
      <c r="U35" s="351">
        <v>0.2808352740366335</v>
      </c>
      <c r="V35" s="259">
        <v>0</v>
      </c>
      <c r="W35" s="259"/>
      <c r="X35" s="107"/>
      <c r="Y35" s="105"/>
      <c r="Z35" s="109"/>
      <c r="AA35" s="352">
        <v>6.4442418010472906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6.0540716871952442</v>
      </c>
      <c r="AP35" s="110"/>
      <c r="AQ35" s="113">
        <f t="shared" si="16"/>
        <v>13.174989127891038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15.806066183907301</v>
      </c>
      <c r="M36" s="109"/>
      <c r="N36" s="109"/>
      <c r="O36" s="109"/>
      <c r="P36" s="254"/>
      <c r="Q36" s="353">
        <v>0.32618938868524788</v>
      </c>
      <c r="R36" s="259"/>
      <c r="S36" s="353">
        <v>1.1441721186</v>
      </c>
      <c r="T36" s="353">
        <v>3.458242924241274</v>
      </c>
      <c r="U36" s="353">
        <v>4.0370070642766063</v>
      </c>
      <c r="V36" s="249">
        <v>6.8404546881041739</v>
      </c>
      <c r="W36" s="259"/>
      <c r="X36" s="107"/>
      <c r="Y36" s="105"/>
      <c r="Z36" s="109"/>
      <c r="AA36" s="354">
        <v>124.67384692023025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80.491702017614386</v>
      </c>
      <c r="AP36" s="110"/>
      <c r="AQ36" s="113">
        <f t="shared" si="16"/>
        <v>220.97161512175194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3.5674771079434349</v>
      </c>
      <c r="M37" s="109"/>
      <c r="N37" s="109"/>
      <c r="O37" s="109"/>
      <c r="P37" s="254"/>
      <c r="Q37" s="351">
        <v>0.67256639425981068</v>
      </c>
      <c r="R37" s="259"/>
      <c r="S37" s="351">
        <v>0</v>
      </c>
      <c r="T37" s="351">
        <v>2.0524048915737234</v>
      </c>
      <c r="U37" s="351">
        <v>0.84250582210990044</v>
      </c>
      <c r="V37" s="259">
        <v>0</v>
      </c>
      <c r="W37" s="259"/>
      <c r="X37" s="107"/>
      <c r="Y37" s="105"/>
      <c r="Z37" s="109"/>
      <c r="AA37" s="352">
        <v>11.872454220412134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20.134978548149434</v>
      </c>
      <c r="AP37" s="110"/>
      <c r="AQ37" s="113">
        <f t="shared" si="16"/>
        <v>35.574909876505004</v>
      </c>
    </row>
    <row r="38" spans="1:43" ht="12.75" customHeight="1">
      <c r="A38" s="257" t="s">
        <v>123</v>
      </c>
      <c r="B38" s="261" t="s">
        <v>124</v>
      </c>
      <c r="C38" s="102">
        <f t="shared" si="17"/>
        <v>89.376412526600021</v>
      </c>
      <c r="D38" s="111">
        <v>89.376412526600021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152.99278886904418</v>
      </c>
      <c r="M38" s="109"/>
      <c r="N38" s="109"/>
      <c r="O38" s="109"/>
      <c r="P38" s="254"/>
      <c r="Q38" s="351">
        <v>0.98494320296815896</v>
      </c>
      <c r="R38" s="259"/>
      <c r="S38" s="351">
        <v>0</v>
      </c>
      <c r="T38" s="351">
        <v>2.3208191151104605</v>
      </c>
      <c r="U38" s="351">
        <v>12.575888672958639</v>
      </c>
      <c r="V38" s="259">
        <v>137.11113787800693</v>
      </c>
      <c r="W38" s="259"/>
      <c r="X38" s="107"/>
      <c r="Y38" s="105"/>
      <c r="Z38" s="109"/>
      <c r="AA38" s="352">
        <v>33.732846118313844</v>
      </c>
      <c r="AB38" s="110">
        <f t="shared" si="20"/>
        <v>49.251683203094025</v>
      </c>
      <c r="AC38" s="111"/>
      <c r="AD38" s="109"/>
      <c r="AE38" s="109">
        <v>2.6088912510493198</v>
      </c>
      <c r="AF38" s="109">
        <v>46.642791952044703</v>
      </c>
      <c r="AG38" s="163"/>
      <c r="AH38" s="163"/>
      <c r="AI38" s="163"/>
      <c r="AJ38" s="163"/>
      <c r="AK38" s="107"/>
      <c r="AL38" s="105"/>
      <c r="AM38" s="109"/>
      <c r="AN38" s="112">
        <v>53.912868117219482</v>
      </c>
      <c r="AO38" s="352">
        <v>61.96641976074585</v>
      </c>
      <c r="AP38" s="110"/>
      <c r="AQ38" s="113">
        <f t="shared" si="16"/>
        <v>441.23301859501743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4.0417169341852723</v>
      </c>
      <c r="M39" s="109"/>
      <c r="N39" s="109"/>
      <c r="O39" s="109"/>
      <c r="P39" s="254"/>
      <c r="Q39" s="351">
        <v>0.41650241161113083</v>
      </c>
      <c r="R39" s="259"/>
      <c r="S39" s="351">
        <v>0.74378131254000013</v>
      </c>
      <c r="T39" s="351">
        <v>1.2219520452722168</v>
      </c>
      <c r="U39" s="351">
        <v>1.659481164761925</v>
      </c>
      <c r="V39" s="259">
        <v>0</v>
      </c>
      <c r="W39" s="259"/>
      <c r="X39" s="107"/>
      <c r="Y39" s="105"/>
      <c r="Z39" s="109"/>
      <c r="AA39" s="352">
        <v>401.7285430845439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57.864449199407176</v>
      </c>
      <c r="AP39" s="110"/>
      <c r="AQ39" s="113">
        <f t="shared" si="16"/>
        <v>463.63470921813632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3.3919342651208808</v>
      </c>
      <c r="M40" s="109"/>
      <c r="N40" s="109"/>
      <c r="O40" s="109"/>
      <c r="P40" s="254"/>
      <c r="Q40" s="351">
        <v>0.2943142041231715</v>
      </c>
      <c r="R40" s="259"/>
      <c r="S40" s="351">
        <v>0</v>
      </c>
      <c r="T40" s="351">
        <v>1.81364969826204</v>
      </c>
      <c r="U40" s="351">
        <v>1.2839703627356689</v>
      </c>
      <c r="V40" s="259">
        <v>0</v>
      </c>
      <c r="W40" s="259"/>
      <c r="X40" s="107"/>
      <c r="Y40" s="105"/>
      <c r="Z40" s="109"/>
      <c r="AA40" s="352">
        <v>14.592596248203561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16.520049346336446</v>
      </c>
      <c r="AP40" s="110"/>
      <c r="AQ40" s="113">
        <f t="shared" si="16"/>
        <v>34.504579859660893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2.3851524668045321</v>
      </c>
      <c r="M41" s="109"/>
      <c r="N41" s="109"/>
      <c r="O41" s="109"/>
      <c r="P41" s="254"/>
      <c r="Q41" s="353">
        <v>0.25818899495281827</v>
      </c>
      <c r="R41" s="259"/>
      <c r="S41" s="353">
        <v>0</v>
      </c>
      <c r="T41" s="353">
        <v>1.6312466623779593</v>
      </c>
      <c r="U41" s="353">
        <v>0.49571680947375452</v>
      </c>
      <c r="V41" s="249">
        <v>0</v>
      </c>
      <c r="W41" s="259"/>
      <c r="X41" s="107"/>
      <c r="Y41" s="105"/>
      <c r="Z41" s="109"/>
      <c r="AA41" s="354">
        <v>20.035562889612638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90.480477536614259</v>
      </c>
      <c r="AP41" s="110"/>
      <c r="AQ41" s="113">
        <f t="shared" si="16"/>
        <v>112.90119289303144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1.3629959293979583</v>
      </c>
      <c r="M42" s="109"/>
      <c r="N42" s="109"/>
      <c r="O42" s="109"/>
      <c r="P42" s="254"/>
      <c r="Q42" s="351">
        <v>8.1812973709329259E-2</v>
      </c>
      <c r="R42" s="259"/>
      <c r="S42" s="351">
        <v>0</v>
      </c>
      <c r="T42" s="351">
        <v>1.0024752216068187</v>
      </c>
      <c r="U42" s="351">
        <v>0.27870773408181054</v>
      </c>
      <c r="V42" s="259">
        <v>0</v>
      </c>
      <c r="W42" s="259"/>
      <c r="X42" s="107"/>
      <c r="Y42" s="105"/>
      <c r="Z42" s="109"/>
      <c r="AA42" s="352">
        <v>1.2494143485639613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3.4939068033853906</v>
      </c>
      <c r="AP42" s="110"/>
      <c r="AQ42" s="113">
        <f t="shared" si="16"/>
        <v>6.10631708134731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10.073348216446458</v>
      </c>
      <c r="M43" s="109"/>
      <c r="N43" s="109"/>
      <c r="O43" s="109"/>
      <c r="P43" s="105"/>
      <c r="Q43" s="351">
        <v>0.37187715322422382</v>
      </c>
      <c r="R43" s="259"/>
      <c r="S43" s="351">
        <v>3.0309702127950002</v>
      </c>
      <c r="T43" s="351">
        <v>4.9812341262977871</v>
      </c>
      <c r="U43" s="351">
        <v>1.6892667241294468</v>
      </c>
      <c r="V43" s="259">
        <v>0</v>
      </c>
      <c r="W43" s="259"/>
      <c r="X43" s="107"/>
      <c r="Y43" s="105"/>
      <c r="Z43" s="109"/>
      <c r="AA43" s="352">
        <v>42.455273932282111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46.430292352845171</v>
      </c>
      <c r="AP43" s="110"/>
      <c r="AQ43" s="113">
        <f t="shared" si="16"/>
        <v>98.958914501573744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33.451980948650331</v>
      </c>
      <c r="M44" s="168"/>
      <c r="N44" s="168"/>
      <c r="O44" s="168"/>
      <c r="P44" s="169"/>
      <c r="Q44" s="265">
        <v>0.73128961647049617</v>
      </c>
      <c r="R44" s="265"/>
      <c r="S44" s="265">
        <v>0</v>
      </c>
      <c r="T44" s="265">
        <v>0.6032726199921028</v>
      </c>
      <c r="U44" s="265">
        <v>32.117418712187728</v>
      </c>
      <c r="V44" s="265">
        <v>0</v>
      </c>
      <c r="W44" s="265"/>
      <c r="X44" s="167"/>
      <c r="Y44" s="169"/>
      <c r="Z44" s="168"/>
      <c r="AA44" s="174">
        <v>3.3025898211032834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8.8100170052180591</v>
      </c>
      <c r="AP44" s="172"/>
      <c r="AQ44" s="175">
        <f>C44+H44+L44+AA44+AB44+AN44+AO44+AP44</f>
        <v>45.56458777497167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3950.4664140450905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612.74491157777788</v>
      </c>
      <c r="Q45" s="268">
        <f t="shared" si="21"/>
        <v>0</v>
      </c>
      <c r="R45" s="268">
        <f t="shared" si="21"/>
        <v>445.76882293992008</v>
      </c>
      <c r="S45" s="268">
        <f t="shared" si="21"/>
        <v>0</v>
      </c>
      <c r="T45" s="268">
        <f t="shared" si="21"/>
        <v>1.1651176501305485</v>
      </c>
      <c r="U45" s="268">
        <f>SUM(U46:U55)</f>
        <v>2890.7875618772619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16.679762707720784</v>
      </c>
      <c r="AB45" s="273">
        <f t="shared" si="21"/>
        <v>178.33873323393598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158.015300260224</v>
      </c>
      <c r="AJ45" s="268">
        <f t="shared" ref="AJ45" si="24">SUM(AJ46:AJ55)</f>
        <v>20.323432973711995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9.6630369669992078</v>
      </c>
      <c r="AP45" s="273">
        <f t="shared" si="21"/>
        <v>0</v>
      </c>
      <c r="AQ45" s="275">
        <f t="shared" si="16"/>
        <v>4155.1479469537462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750.6885351801825</v>
      </c>
      <c r="M46" s="155"/>
      <c r="N46" s="155"/>
      <c r="O46" s="155"/>
      <c r="P46" s="155"/>
      <c r="Q46" s="155"/>
      <c r="R46" s="155"/>
      <c r="S46" s="155"/>
      <c r="T46" s="155"/>
      <c r="U46" s="155">
        <v>750.6885351801825</v>
      </c>
      <c r="V46" s="155"/>
      <c r="W46" s="156"/>
      <c r="X46" s="156"/>
      <c r="Y46" s="156"/>
      <c r="Z46" s="155"/>
      <c r="AA46" s="161">
        <v>1.5422209556599999</v>
      </c>
      <c r="AB46" s="159">
        <f t="shared" ref="AB46:AB56" si="29">SUM(AC46:AM46)</f>
        <v>43.357464819817523</v>
      </c>
      <c r="AC46" s="160"/>
      <c r="AD46" s="155"/>
      <c r="AE46" s="155"/>
      <c r="AF46" s="155"/>
      <c r="AG46" s="155"/>
      <c r="AH46" s="155"/>
      <c r="AI46" s="155">
        <v>43.357464819817523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795.58822095566006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264.16957015874345</v>
      </c>
      <c r="M47" s="163"/>
      <c r="N47" s="163"/>
      <c r="O47" s="163"/>
      <c r="P47" s="163"/>
      <c r="Q47" s="163"/>
      <c r="R47" s="163"/>
      <c r="S47" s="163"/>
      <c r="T47" s="163"/>
      <c r="U47" s="163">
        <v>264.16957015874345</v>
      </c>
      <c r="V47" s="163"/>
      <c r="W47" s="254"/>
      <c r="X47" s="254"/>
      <c r="Y47" s="254"/>
      <c r="Z47" s="163"/>
      <c r="AA47" s="262"/>
      <c r="AB47" s="255">
        <f t="shared" si="29"/>
        <v>15.257623245671226</v>
      </c>
      <c r="AC47" s="256"/>
      <c r="AD47" s="163"/>
      <c r="AE47" s="163"/>
      <c r="AF47" s="163"/>
      <c r="AG47" s="163"/>
      <c r="AH47" s="163"/>
      <c r="AI47" s="163">
        <v>15.257623245671226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279.42719340441465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1702.5510697247998</v>
      </c>
      <c r="M48" s="109"/>
      <c r="N48" s="109"/>
      <c r="O48" s="109"/>
      <c r="P48" s="109">
        <v>490.32148720695693</v>
      </c>
      <c r="Q48" s="109"/>
      <c r="R48" s="109"/>
      <c r="S48" s="109"/>
      <c r="T48" s="109">
        <v>1.1651176501305485</v>
      </c>
      <c r="U48" s="109">
        <v>1211.0644648677123</v>
      </c>
      <c r="V48" s="109"/>
      <c r="W48" s="105"/>
      <c r="X48" s="105"/>
      <c r="Y48" s="105"/>
      <c r="Z48" s="109"/>
      <c r="AA48" s="112"/>
      <c r="AB48" s="110">
        <f t="shared" si="29"/>
        <v>86.230799945115393</v>
      </c>
      <c r="AC48" s="111"/>
      <c r="AD48" s="109"/>
      <c r="AE48" s="109"/>
      <c r="AF48" s="109"/>
      <c r="AG48" s="109"/>
      <c r="AH48" s="109"/>
      <c r="AI48" s="109">
        <v>69.947364944676664</v>
      </c>
      <c r="AJ48" s="109">
        <v>16.283435000438729</v>
      </c>
      <c r="AK48" s="107"/>
      <c r="AL48" s="105"/>
      <c r="AM48" s="109"/>
      <c r="AN48" s="106"/>
      <c r="AO48" s="112">
        <v>5.4346019529992065</v>
      </c>
      <c r="AP48" s="110"/>
      <c r="AQ48" s="113">
        <f t="shared" si="16"/>
        <v>1794.2164716229145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106.94613292070962</v>
      </c>
      <c r="M49" s="109"/>
      <c r="N49" s="109"/>
      <c r="O49" s="109"/>
      <c r="P49" s="109">
        <v>2.8104851369520385</v>
      </c>
      <c r="Q49" s="109"/>
      <c r="R49" s="109"/>
      <c r="S49" s="109"/>
      <c r="T49" s="109"/>
      <c r="U49" s="109">
        <v>104.13564778375758</v>
      </c>
      <c r="V49" s="109"/>
      <c r="W49" s="105"/>
      <c r="X49" s="105"/>
      <c r="Y49" s="105"/>
      <c r="Z49" s="109"/>
      <c r="AA49" s="112"/>
      <c r="AB49" s="110">
        <f t="shared" si="29"/>
        <v>6.1078906696525159</v>
      </c>
      <c r="AC49" s="111"/>
      <c r="AD49" s="109"/>
      <c r="AE49" s="109"/>
      <c r="AF49" s="109"/>
      <c r="AG49" s="109"/>
      <c r="AH49" s="109"/>
      <c r="AI49" s="109">
        <v>6.0145552698356584</v>
      </c>
      <c r="AJ49" s="109">
        <v>9.3335399816857817E-2</v>
      </c>
      <c r="AK49" s="107"/>
      <c r="AL49" s="105"/>
      <c r="AM49" s="109"/>
      <c r="AN49" s="106"/>
      <c r="AO49" s="112"/>
      <c r="AP49" s="110"/>
      <c r="AQ49" s="113">
        <f t="shared" si="16"/>
        <v>113.05402359036214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34.300961069822492</v>
      </c>
      <c r="M50" s="109"/>
      <c r="N50" s="109"/>
      <c r="O50" s="109"/>
      <c r="P50" s="109"/>
      <c r="Q50" s="109"/>
      <c r="R50" s="281"/>
      <c r="S50" s="109"/>
      <c r="T50" s="109"/>
      <c r="U50" s="109">
        <v>34.300961069822492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4.2284350140000004</v>
      </c>
      <c r="AP50" s="110"/>
      <c r="AQ50" s="113">
        <f t="shared" si="16"/>
        <v>38.52939608382249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2.8676894342374828</v>
      </c>
      <c r="M51" s="109"/>
      <c r="N51" s="109"/>
      <c r="O51" s="109"/>
      <c r="P51" s="109">
        <v>0.77232222222222213</v>
      </c>
      <c r="Q51" s="109"/>
      <c r="R51" s="109">
        <v>2.0953672120152609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2.8676894342374828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443.67345572790481</v>
      </c>
      <c r="M52" s="281"/>
      <c r="N52" s="281"/>
      <c r="O52" s="281"/>
      <c r="P52" s="163"/>
      <c r="Q52" s="281"/>
      <c r="R52" s="281">
        <v>443.67345572790481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443.67345572790481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194.54628765102007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194.54628765102007</v>
      </c>
      <c r="V53" s="281"/>
      <c r="W53" s="283"/>
      <c r="X53" s="283"/>
      <c r="Y53" s="283"/>
      <c r="Z53" s="281"/>
      <c r="AA53" s="262"/>
      <c r="AB53" s="287">
        <f t="shared" si="29"/>
        <v>11.23639622474133</v>
      </c>
      <c r="AC53" s="288"/>
      <c r="AD53" s="281"/>
      <c r="AE53" s="281"/>
      <c r="AF53" s="281"/>
      <c r="AG53" s="281"/>
      <c r="AH53" s="281"/>
      <c r="AI53" s="109">
        <v>11.23639622474133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205.78268387576139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120.61920677599325</v>
      </c>
      <c r="M54" s="281"/>
      <c r="N54" s="281"/>
      <c r="O54" s="281"/>
      <c r="P54" s="281"/>
      <c r="Q54" s="281"/>
      <c r="R54" s="281"/>
      <c r="S54" s="281"/>
      <c r="T54" s="281"/>
      <c r="U54" s="281">
        <v>120.61920677599325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120.61920677599325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330.10350540167678</v>
      </c>
      <c r="M55" s="168"/>
      <c r="N55" s="168"/>
      <c r="O55" s="168"/>
      <c r="P55" s="168">
        <v>118.84061701164666</v>
      </c>
      <c r="Q55" s="168"/>
      <c r="R55" s="168"/>
      <c r="S55" s="168">
        <v>0</v>
      </c>
      <c r="T55" s="168"/>
      <c r="U55" s="168">
        <v>211.26288839003013</v>
      </c>
      <c r="V55" s="168"/>
      <c r="W55" s="169"/>
      <c r="X55" s="169"/>
      <c r="Y55" s="169"/>
      <c r="Z55" s="168"/>
      <c r="AA55" s="174">
        <v>15.137541752060784</v>
      </c>
      <c r="AB55" s="172">
        <f t="shared" si="29"/>
        <v>16.148558328938005</v>
      </c>
      <c r="AC55" s="173"/>
      <c r="AD55" s="168"/>
      <c r="AE55" s="168"/>
      <c r="AF55" s="168"/>
      <c r="AG55" s="168"/>
      <c r="AH55" s="168"/>
      <c r="AI55" s="168">
        <v>12.201895755481598</v>
      </c>
      <c r="AJ55" s="168">
        <v>3.9466625734564071</v>
      </c>
      <c r="AK55" s="167"/>
      <c r="AL55" s="169"/>
      <c r="AM55" s="168"/>
      <c r="AN55" s="170"/>
      <c r="AO55" s="174"/>
      <c r="AP55" s="172"/>
      <c r="AQ55" s="175">
        <f t="shared" si="16"/>
        <v>361.38960548267556</v>
      </c>
    </row>
    <row r="56" spans="1:43" s="11" customFormat="1" ht="12.75" customHeight="1">
      <c r="A56" s="292" t="s">
        <v>146</v>
      </c>
      <c r="B56" s="293"/>
      <c r="C56" s="294">
        <f t="shared" si="26"/>
        <v>184.982279508478</v>
      </c>
      <c r="D56" s="295">
        <v>87.619872393778564</v>
      </c>
      <c r="E56" s="104">
        <v>85.322939087575648</v>
      </c>
      <c r="F56" s="296"/>
      <c r="G56" s="296">
        <v>12.039468027123773</v>
      </c>
      <c r="H56" s="297">
        <f t="shared" si="27"/>
        <v>179.95417103</v>
      </c>
      <c r="I56" s="295"/>
      <c r="J56" s="298">
        <v>127.70399999999999</v>
      </c>
      <c r="K56" s="186">
        <v>52.250171030000004</v>
      </c>
      <c r="L56" s="297">
        <f t="shared" si="28"/>
        <v>1270.3623346487946</v>
      </c>
      <c r="M56" s="186"/>
      <c r="N56" s="186"/>
      <c r="O56" s="186"/>
      <c r="P56" s="186">
        <v>0</v>
      </c>
      <c r="Q56" s="355">
        <v>872.60769683390004</v>
      </c>
      <c r="R56" s="186"/>
      <c r="S56" s="186">
        <v>0</v>
      </c>
      <c r="T56" s="355">
        <v>47.769438325478852</v>
      </c>
      <c r="U56" s="355">
        <v>343.30796612258484</v>
      </c>
      <c r="V56" s="186">
        <v>6.677233366830678</v>
      </c>
      <c r="W56" s="296"/>
      <c r="X56" s="296"/>
      <c r="Y56" s="296"/>
      <c r="Z56" s="186"/>
      <c r="AA56" s="297">
        <v>594.99540666478595</v>
      </c>
      <c r="AB56" s="299">
        <f t="shared" si="29"/>
        <v>85.409201804918865</v>
      </c>
      <c r="AC56" s="300"/>
      <c r="AD56" s="186"/>
      <c r="AE56" s="186">
        <v>26.981024736024086</v>
      </c>
      <c r="AF56" s="186"/>
      <c r="AG56" s="186"/>
      <c r="AH56" s="186"/>
      <c r="AI56" s="186"/>
      <c r="AJ56" s="186"/>
      <c r="AK56" s="295"/>
      <c r="AL56" s="296">
        <v>13.844881309543936</v>
      </c>
      <c r="AM56" s="186">
        <v>44.583295759350854</v>
      </c>
      <c r="AN56" s="297"/>
      <c r="AO56" s="297">
        <v>750.50980776582253</v>
      </c>
      <c r="AP56" s="299"/>
      <c r="AQ56" s="187">
        <f t="shared" si="16"/>
        <v>3066.2132014228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225.31993931711571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65.11036098760016</v>
      </c>
      <c r="R57" s="186">
        <f t="shared" si="30"/>
        <v>0</v>
      </c>
      <c r="S57" s="355">
        <f t="shared" si="30"/>
        <v>0.2093031229578676</v>
      </c>
      <c r="T57" s="355">
        <f t="shared" si="30"/>
        <v>71.030411485981347</v>
      </c>
      <c r="U57" s="355">
        <f t="shared" si="30"/>
        <v>88.969863720576313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335.55191871972141</v>
      </c>
      <c r="AB57" s="299">
        <f t="shared" si="30"/>
        <v>41.14299461728546</v>
      </c>
      <c r="AC57" s="300">
        <f t="shared" si="30"/>
        <v>0</v>
      </c>
      <c r="AD57" s="186">
        <f t="shared" si="30"/>
        <v>0</v>
      </c>
      <c r="AE57" s="186">
        <f t="shared" si="30"/>
        <v>18.556824716103485</v>
      </c>
      <c r="AF57" s="186">
        <f t="shared" si="30"/>
        <v>0</v>
      </c>
      <c r="AG57" s="186">
        <f t="shared" si="30"/>
        <v>0</v>
      </c>
      <c r="AH57" s="186">
        <f t="shared" si="30"/>
        <v>6.1461716993494075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1191.6257668350472</v>
      </c>
      <c r="AP57" s="299">
        <f t="shared" si="30"/>
        <v>0</v>
      </c>
      <c r="AQ57" s="301">
        <f t="shared" si="16"/>
        <v>1794.041559188418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105.69813986669266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18.91437691147916</v>
      </c>
      <c r="R58" s="299">
        <f t="shared" si="31"/>
        <v>0</v>
      </c>
      <c r="S58" s="358">
        <v>0</v>
      </c>
      <c r="T58" s="358">
        <v>45.528094346968842</v>
      </c>
      <c r="U58" s="358">
        <v>41.255668608244662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209.84460560993824</v>
      </c>
      <c r="AB58" s="299">
        <f t="shared" ref="AB58:AB71" si="32">SUM(AC58:AM58)</f>
        <v>22.359947874888334</v>
      </c>
      <c r="AC58" s="300">
        <f t="shared" si="31"/>
        <v>0</v>
      </c>
      <c r="AD58" s="186">
        <f t="shared" si="31"/>
        <v>0</v>
      </c>
      <c r="AE58" s="355">
        <f t="shared" si="31"/>
        <v>3.8821169186557629</v>
      </c>
      <c r="AF58" s="186"/>
      <c r="AG58" s="186">
        <f t="shared" si="31"/>
        <v>0</v>
      </c>
      <c r="AH58" s="186">
        <f t="shared" si="31"/>
        <v>2.0378327544000001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942.52133007157317</v>
      </c>
      <c r="AP58" s="299">
        <f t="shared" ref="AP58" si="34">SUM(AP59:AP64)</f>
        <v>0</v>
      </c>
      <c r="AQ58" s="301">
        <f t="shared" si="16"/>
        <v>1280.8219635734683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28.298812819706448</v>
      </c>
      <c r="M59" s="204"/>
      <c r="N59" s="306"/>
      <c r="O59" s="306"/>
      <c r="P59" s="159"/>
      <c r="Q59" s="351">
        <v>6.1924967210597073</v>
      </c>
      <c r="R59" s="159"/>
      <c r="S59" s="351">
        <v>0</v>
      </c>
      <c r="T59" s="351">
        <v>12.250662434458475</v>
      </c>
      <c r="U59" s="351">
        <v>9.8556536641882673</v>
      </c>
      <c r="V59" s="259">
        <v>0</v>
      </c>
      <c r="W59" s="159"/>
      <c r="X59" s="159"/>
      <c r="Y59" s="306"/>
      <c r="Z59" s="277"/>
      <c r="AA59" s="352">
        <v>53.199700812766935</v>
      </c>
      <c r="AB59" s="159">
        <f t="shared" si="32"/>
        <v>0.85513283545707919</v>
      </c>
      <c r="AC59" s="307"/>
      <c r="AD59" s="204"/>
      <c r="AE59" s="360">
        <v>0.85513283545707919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208.61604899684247</v>
      </c>
      <c r="AP59" s="159"/>
      <c r="AQ59" s="188">
        <f t="shared" si="16"/>
        <v>290.97169516402107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23.118874722380422</v>
      </c>
      <c r="M60" s="114"/>
      <c r="N60" s="104"/>
      <c r="O60" s="104"/>
      <c r="P60" s="110"/>
      <c r="Q60" s="351">
        <v>4.2924554606475143</v>
      </c>
      <c r="R60" s="110"/>
      <c r="S60" s="351">
        <v>0</v>
      </c>
      <c r="T60" s="351">
        <v>3.4048566698361769</v>
      </c>
      <c r="U60" s="351">
        <v>15.421562591896731</v>
      </c>
      <c r="V60" s="259">
        <v>0</v>
      </c>
      <c r="W60" s="110"/>
      <c r="X60" s="110"/>
      <c r="Y60" s="104"/>
      <c r="Z60" s="103"/>
      <c r="AA60" s="352">
        <v>19.600983985764305</v>
      </c>
      <c r="AB60" s="110">
        <f t="shared" si="32"/>
        <v>5.4979837870948831E-2</v>
      </c>
      <c r="AC60" s="310"/>
      <c r="AD60" s="114"/>
      <c r="AE60" s="361">
        <v>5.4979837870948831E-2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61.034645685047195</v>
      </c>
      <c r="AP60" s="110"/>
      <c r="AQ60" s="113">
        <f t="shared" si="16"/>
        <v>103.81548332880723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31.320482426704977</v>
      </c>
      <c r="M61" s="114"/>
      <c r="N61" s="104"/>
      <c r="O61" s="104"/>
      <c r="P61" s="110"/>
      <c r="Q61" s="351">
        <v>4.1722128058696564</v>
      </c>
      <c r="R61" s="110"/>
      <c r="S61" s="351">
        <v>0</v>
      </c>
      <c r="T61" s="351">
        <v>22.752925037150025</v>
      </c>
      <c r="U61" s="351">
        <v>4.3953445836852953</v>
      </c>
      <c r="V61" s="259">
        <v>0</v>
      </c>
      <c r="W61" s="110"/>
      <c r="X61" s="110"/>
      <c r="Y61" s="104"/>
      <c r="Z61" s="103"/>
      <c r="AA61" s="352">
        <v>37.042486381418058</v>
      </c>
      <c r="AB61" s="110">
        <f t="shared" si="32"/>
        <v>1.100578540238101</v>
      </c>
      <c r="AC61" s="310"/>
      <c r="AD61" s="114"/>
      <c r="AE61" s="361">
        <v>1.100578540238101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115.15920759646002</v>
      </c>
      <c r="AP61" s="110"/>
      <c r="AQ61" s="113">
        <f t="shared" si="16"/>
        <v>184.99769855384372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3.3145138724301684</v>
      </c>
      <c r="M62" s="114"/>
      <c r="N62" s="104"/>
      <c r="O62" s="104"/>
      <c r="P62" s="110"/>
      <c r="Q62" s="351">
        <v>0.4944460890434349</v>
      </c>
      <c r="R62" s="110"/>
      <c r="S62" s="351">
        <v>0</v>
      </c>
      <c r="T62" s="351">
        <v>0.94019125813420568</v>
      </c>
      <c r="U62" s="351">
        <v>1.8798765252525278</v>
      </c>
      <c r="V62" s="259">
        <v>0</v>
      </c>
      <c r="W62" s="110"/>
      <c r="X62" s="110"/>
      <c r="Y62" s="104"/>
      <c r="Z62" s="103"/>
      <c r="AA62" s="352">
        <v>19.606349157416755</v>
      </c>
      <c r="AB62" s="110">
        <f t="shared" si="32"/>
        <v>9.4251150635912287E-2</v>
      </c>
      <c r="AC62" s="310"/>
      <c r="AD62" s="114"/>
      <c r="AE62" s="361">
        <v>9.4251150635912287E-2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419.12307099873118</v>
      </c>
      <c r="AP62" s="110"/>
      <c r="AQ62" s="113">
        <f t="shared" si="16"/>
        <v>442.14918352507868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1.1472193816013303</v>
      </c>
      <c r="M63" s="114"/>
      <c r="N63" s="104"/>
      <c r="O63" s="104"/>
      <c r="P63" s="110"/>
      <c r="Q63" s="363">
        <v>0.69139526497268589</v>
      </c>
      <c r="R63" s="110"/>
      <c r="S63" s="363">
        <v>0</v>
      </c>
      <c r="T63" s="363">
        <v>0.1230849754339733</v>
      </c>
      <c r="U63" s="363">
        <v>0.33273914119467107</v>
      </c>
      <c r="V63" s="311">
        <v>0</v>
      </c>
      <c r="W63" s="110"/>
      <c r="X63" s="110"/>
      <c r="Y63" s="104"/>
      <c r="Z63" s="103"/>
      <c r="AA63" s="364">
        <v>12.596081747036134</v>
      </c>
      <c r="AB63" s="110">
        <f t="shared" si="32"/>
        <v>0.52427202541226203</v>
      </c>
      <c r="AC63" s="310"/>
      <c r="AD63" s="114"/>
      <c r="AE63" s="361">
        <v>0.52427202541226203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39.425752073120982</v>
      </c>
      <c r="AP63" s="110"/>
      <c r="AQ63" s="113">
        <f t="shared" si="16"/>
        <v>53.697324625666951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18.498236643869323</v>
      </c>
      <c r="M64" s="291"/>
      <c r="N64" s="316"/>
      <c r="O64" s="316"/>
      <c r="P64" s="172"/>
      <c r="Q64" s="363">
        <v>3.0713705698861591</v>
      </c>
      <c r="R64" s="172"/>
      <c r="S64" s="363">
        <v>0</v>
      </c>
      <c r="T64" s="363">
        <v>6.0563739719559866</v>
      </c>
      <c r="U64" s="363">
        <v>9.3704921020271765</v>
      </c>
      <c r="V64" s="311">
        <v>0</v>
      </c>
      <c r="W64" s="172"/>
      <c r="X64" s="172"/>
      <c r="Y64" s="316"/>
      <c r="Z64" s="290"/>
      <c r="AA64" s="364">
        <v>67.799003525536065</v>
      </c>
      <c r="AB64" s="172">
        <f t="shared" si="32"/>
        <v>19.73073348527403</v>
      </c>
      <c r="AC64" s="317"/>
      <c r="AD64" s="291"/>
      <c r="AE64" s="365">
        <v>1.2529025290414595</v>
      </c>
      <c r="AF64" s="168"/>
      <c r="AG64" s="168"/>
      <c r="AH64" s="168">
        <v>2.0378327544000001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99.162604721371409</v>
      </c>
      <c r="AP64" s="172"/>
      <c r="AQ64" s="175">
        <f t="shared" si="16"/>
        <v>205.19057837605084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119.62179945042304</v>
      </c>
      <c r="M65" s="168"/>
      <c r="N65" s="169"/>
      <c r="O65" s="169"/>
      <c r="P65" s="265"/>
      <c r="Q65" s="358">
        <v>46.195984076121007</v>
      </c>
      <c r="R65" s="265"/>
      <c r="S65" s="358">
        <v>0.2093031229578676</v>
      </c>
      <c r="T65" s="358">
        <v>25.502317139012511</v>
      </c>
      <c r="U65" s="358">
        <v>47.714195112331652</v>
      </c>
      <c r="V65" s="299">
        <f>SUM(V66:V69)</f>
        <v>0</v>
      </c>
      <c r="W65" s="265"/>
      <c r="X65" s="265"/>
      <c r="Y65" s="169"/>
      <c r="Z65" s="168"/>
      <c r="AA65" s="356">
        <v>125.70731310978317</v>
      </c>
      <c r="AB65" s="172">
        <f t="shared" si="32"/>
        <v>18.783046742397126</v>
      </c>
      <c r="AC65" s="173"/>
      <c r="AD65" s="168"/>
      <c r="AE65" s="365">
        <f>SUM(AE66:AE69)</f>
        <v>14.67470779744772</v>
      </c>
      <c r="AF65" s="168"/>
      <c r="AG65" s="168"/>
      <c r="AH65" s="168">
        <v>4.1083389449494074</v>
      </c>
      <c r="AI65" s="168"/>
      <c r="AJ65" s="168"/>
      <c r="AK65" s="168"/>
      <c r="AL65" s="168"/>
      <c r="AM65" s="169"/>
      <c r="AN65" s="170"/>
      <c r="AO65" s="356">
        <v>249.10443676347404</v>
      </c>
      <c r="AP65" s="172"/>
      <c r="AQ65" s="318">
        <f t="shared" si="16"/>
        <v>513.21959561494964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3.339895010168223</v>
      </c>
      <c r="M66" s="203"/>
      <c r="N66" s="205"/>
      <c r="O66" s="156"/>
      <c r="P66" s="205"/>
      <c r="Q66" s="349">
        <v>0.12646210243878211</v>
      </c>
      <c r="R66" s="205"/>
      <c r="S66" s="349">
        <v>1.0374380320092571E-3</v>
      </c>
      <c r="T66" s="349">
        <v>0.76965183434014628</v>
      </c>
      <c r="U66" s="349">
        <v>2.4427436353572856</v>
      </c>
      <c r="V66" s="205">
        <v>0</v>
      </c>
      <c r="W66" s="205"/>
      <c r="X66" s="205"/>
      <c r="Y66" s="156"/>
      <c r="Z66" s="155"/>
      <c r="AA66" s="350">
        <v>7.8418690165101443</v>
      </c>
      <c r="AB66" s="159">
        <f t="shared" si="32"/>
        <v>4.1083389449494074</v>
      </c>
      <c r="AC66" s="160"/>
      <c r="AD66" s="155"/>
      <c r="AE66" s="360">
        <v>0</v>
      </c>
      <c r="AF66" s="155"/>
      <c r="AG66" s="155"/>
      <c r="AH66" s="155">
        <v>4.1083389449494074</v>
      </c>
      <c r="AI66" s="155"/>
      <c r="AJ66" s="155"/>
      <c r="AK66" s="155"/>
      <c r="AL66" s="155"/>
      <c r="AM66" s="156"/>
      <c r="AN66" s="157"/>
      <c r="AO66" s="350">
        <v>76.026664260992888</v>
      </c>
      <c r="AP66" s="159"/>
      <c r="AQ66" s="188">
        <f t="shared" si="16"/>
        <v>91.316767232620663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34.826195356904009</v>
      </c>
      <c r="M67" s="324"/>
      <c r="N67" s="259"/>
      <c r="O67" s="105"/>
      <c r="P67" s="259"/>
      <c r="Q67" s="353">
        <v>7.0082809392508674</v>
      </c>
      <c r="R67" s="259"/>
      <c r="S67" s="353">
        <v>0.11783566980238479</v>
      </c>
      <c r="T67" s="353">
        <v>6.2224645412162882</v>
      </c>
      <c r="U67" s="353">
        <v>21.47761420663447</v>
      </c>
      <c r="V67" s="249">
        <v>0</v>
      </c>
      <c r="W67" s="259"/>
      <c r="X67" s="259"/>
      <c r="Y67" s="105"/>
      <c r="Z67" s="109"/>
      <c r="AA67" s="354">
        <v>48.494445273569532</v>
      </c>
      <c r="AB67" s="110">
        <f t="shared" si="32"/>
        <v>2.964984113754741</v>
      </c>
      <c r="AC67" s="111"/>
      <c r="AD67" s="109"/>
      <c r="AE67" s="361">
        <v>2.964984113754741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88.469341094451551</v>
      </c>
      <c r="AP67" s="110"/>
      <c r="AQ67" s="113">
        <f t="shared" si="16"/>
        <v>174.75696553792795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55.379346700753132</v>
      </c>
      <c r="M68" s="324"/>
      <c r="N68" s="259"/>
      <c r="O68" s="105"/>
      <c r="P68" s="259"/>
      <c r="Q68" s="353">
        <v>24.079628193876292</v>
      </c>
      <c r="R68" s="259"/>
      <c r="S68" s="353">
        <v>1.7636446544157369E-2</v>
      </c>
      <c r="T68" s="353">
        <v>15.554678401529468</v>
      </c>
      <c r="U68" s="353">
        <v>15.72740365880321</v>
      </c>
      <c r="V68" s="249">
        <v>0</v>
      </c>
      <c r="W68" s="259"/>
      <c r="X68" s="259"/>
      <c r="Y68" s="105"/>
      <c r="Z68" s="109"/>
      <c r="AA68" s="354">
        <v>29.523868956967942</v>
      </c>
      <c r="AB68" s="110">
        <f t="shared" si="32"/>
        <v>10.336209519738382</v>
      </c>
      <c r="AC68" s="111"/>
      <c r="AD68" s="109"/>
      <c r="AE68" s="361">
        <v>10.336209519738382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52.276756511030477</v>
      </c>
      <c r="AP68" s="110"/>
      <c r="AQ68" s="113">
        <f t="shared" si="16"/>
        <v>147.51718153811399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26.076362382597672</v>
      </c>
      <c r="M69" s="326"/>
      <c r="N69" s="265"/>
      <c r="O69" s="169"/>
      <c r="P69" s="265"/>
      <c r="Q69" s="369">
        <v>14.981612840555064</v>
      </c>
      <c r="R69" s="265"/>
      <c r="S69" s="369">
        <v>7.2793568579316195E-2</v>
      </c>
      <c r="T69" s="369">
        <v>2.9555223619266116</v>
      </c>
      <c r="U69" s="369">
        <v>8.0664336115366808</v>
      </c>
      <c r="V69" s="265">
        <v>0</v>
      </c>
      <c r="W69" s="265"/>
      <c r="X69" s="265"/>
      <c r="Y69" s="169"/>
      <c r="Z69" s="168"/>
      <c r="AA69" s="370">
        <v>39.847129862735549</v>
      </c>
      <c r="AB69" s="287">
        <f t="shared" si="32"/>
        <v>1.3735141639545967</v>
      </c>
      <c r="AC69" s="288"/>
      <c r="AD69" s="281"/>
      <c r="AE69" s="371">
        <v>1.3735141639545967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32.331674896999139</v>
      </c>
      <c r="AP69" s="287"/>
      <c r="AQ69" s="289">
        <f t="shared" si="16"/>
        <v>99.62868130628695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182.59186374784878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182.59186374784878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49.72019223417734</v>
      </c>
      <c r="AP70" s="197"/>
      <c r="AQ70" s="187">
        <f t="shared" si="16"/>
        <v>232.31205598202612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19.030057034657652</v>
      </c>
      <c r="M71" s="168"/>
      <c r="N71" s="168"/>
      <c r="O71" s="168"/>
      <c r="P71" s="168"/>
      <c r="Q71" s="168"/>
      <c r="R71" s="168"/>
      <c r="S71" s="168"/>
      <c r="T71" s="168"/>
      <c r="U71" s="291">
        <v>19.030057034657652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19.030057034657652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-9.8945612673912819</v>
      </c>
      <c r="D72" s="223">
        <f t="shared" si="38"/>
        <v>-4.3786923123606414</v>
      </c>
      <c r="E72" s="224">
        <f t="shared" si="38"/>
        <v>-4.9775232200283313</v>
      </c>
      <c r="F72" s="228">
        <f t="shared" si="38"/>
        <v>0</v>
      </c>
      <c r="G72" s="228">
        <f t="shared" si="38"/>
        <v>-0.53834573500224003</v>
      </c>
      <c r="H72" s="225">
        <f t="shared" si="38"/>
        <v>0.24035970799906181</v>
      </c>
      <c r="I72" s="223">
        <f t="shared" si="38"/>
        <v>-1.4245832620936483E-2</v>
      </c>
      <c r="J72" s="226">
        <f t="shared" si="38"/>
        <v>0</v>
      </c>
      <c r="K72" s="224">
        <f t="shared" si="38"/>
        <v>0.2546055406200054</v>
      </c>
      <c r="L72" s="225">
        <f t="shared" si="38"/>
        <v>-57.733891635453801</v>
      </c>
      <c r="M72" s="224">
        <f t="shared" si="38"/>
        <v>4.5474735088646412E-13</v>
      </c>
      <c r="N72" s="224">
        <f t="shared" si="38"/>
        <v>-2.3922852809526773E-2</v>
      </c>
      <c r="O72" s="224">
        <f t="shared" si="38"/>
        <v>-1.9449701745053574</v>
      </c>
      <c r="P72" s="224">
        <f t="shared" si="38"/>
        <v>-8.2813634777778589</v>
      </c>
      <c r="Q72" s="224">
        <f t="shared" si="38"/>
        <v>19.468325239999785</v>
      </c>
      <c r="R72" s="224">
        <f t="shared" si="38"/>
        <v>-19.736060445360351</v>
      </c>
      <c r="S72" s="224">
        <f t="shared" si="38"/>
        <v>3.0905823663056111</v>
      </c>
      <c r="T72" s="224">
        <f t="shared" si="38"/>
        <v>3.717566962707906</v>
      </c>
      <c r="U72" s="224">
        <f t="shared" si="38"/>
        <v>-54.791960177372857</v>
      </c>
      <c r="V72" s="224">
        <f t="shared" si="38"/>
        <v>0.28545692197957351</v>
      </c>
      <c r="W72" s="228">
        <f t="shared" si="38"/>
        <v>0.48245400138121397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0.95299769341295359</v>
      </c>
      <c r="AB72" s="227">
        <f t="shared" si="38"/>
        <v>-3.5112379521731327</v>
      </c>
      <c r="AC72" s="334">
        <f t="shared" si="38"/>
        <v>0</v>
      </c>
      <c r="AD72" s="224">
        <f t="shared" si="38"/>
        <v>0</v>
      </c>
      <c r="AE72" s="224">
        <f t="shared" si="38"/>
        <v>1.236481861714509</v>
      </c>
      <c r="AF72" s="224">
        <f t="shared" si="38"/>
        <v>0</v>
      </c>
      <c r="AG72" s="224">
        <f t="shared" si="38"/>
        <v>0</v>
      </c>
      <c r="AH72" s="224">
        <f t="shared" si="38"/>
        <v>0.42882789873599947</v>
      </c>
      <c r="AI72" s="224">
        <f t="shared" si="38"/>
        <v>-4.7651392804799855</v>
      </c>
      <c r="AJ72" s="224">
        <f t="shared" si="38"/>
        <v>-0.41140843214399681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23.908772612497614</v>
      </c>
      <c r="AP72" s="227">
        <f t="shared" si="38"/>
        <v>0</v>
      </c>
      <c r="AQ72" s="229">
        <f t="shared" si="16"/>
        <v>-46.037560841108586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347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348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349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350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Regions</vt:lpstr>
      <vt:lpstr>Commodities</vt:lpstr>
      <vt:lpstr>Processes</vt:lpstr>
      <vt:lpstr>FT</vt:lpstr>
      <vt:lpstr>DMD</vt:lpstr>
      <vt:lpstr>Techs</vt:lpstr>
      <vt:lpstr>Demands</vt:lpstr>
      <vt:lpstr>EMI</vt:lpstr>
      <vt:lpstr>NRG_shares</vt:lpstr>
      <vt:lpstr>Conversions</vt:lpstr>
      <vt:lpstr>EB2018</vt:lpstr>
      <vt:lpstr>EB2019</vt:lpstr>
      <vt:lpstr>EB2020</vt:lpstr>
      <vt:lpstr>EB2021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Martyn, Eabha</cp:lastModifiedBy>
  <dcterms:created xsi:type="dcterms:W3CDTF">2015-06-05T18:19:34Z</dcterms:created>
  <dcterms:modified xsi:type="dcterms:W3CDTF">2026-10-21T15:59:04Z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474692940711975</vt:r8>
  </property>
</Properties>
</file>