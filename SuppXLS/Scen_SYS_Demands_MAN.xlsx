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uigalwayie-my.sharepoint.com/personal/e_martyn10_universityofgalway_ie/Documents/Documents/Desktop/Masters/Thesis/VEDA/times-ireland-model/SuppXLS/"/>
    </mc:Choice>
  </mc:AlternateContent>
  <xr:revisionPtr revIDLastSave="20" documentId="11_FBEE964A8EE8E60963DD421595A7792CEDC9895C" xr6:coauthVersionLast="47" xr6:coauthVersionMax="47" xr10:uidLastSave="{BD2AF965-A1DB-48AC-9F63-42618B02760D}"/>
  <bookViews>
    <workbookView xWindow="9600" yWindow="0" windowWidth="9600" windowHeight="11400" activeTab="3" xr2:uid="{00000000-000D-0000-FFFF-FFFF00000000}"/>
  </bookViews>
  <sheets>
    <sheet name="Cover" sheetId="5" r:id="rId1"/>
    <sheet name="BY-Demands" sheetId="4" r:id="rId2"/>
    <sheet name="REG_TRA_DEMANDS" sheetId="3" r:id="rId3"/>
    <sheet name="DEMANDS" sheetId="1" r:id="rId4"/>
    <sheet name="Regions" sheetId="2" r:id="rId5"/>
    <sheet name="TRA-2021" sheetId="6" r:id="rId6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N17" i="6"/>
  <c r="C17" i="6"/>
  <c r="N16" i="6"/>
  <c r="C16" i="6"/>
  <c r="M15" i="6"/>
  <c r="C15" i="6"/>
  <c r="C14" i="6"/>
  <c r="C13" i="6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 a="1"/>
  <c r="AD3" i="2"/>
  <c r="AC3" i="2" a="1"/>
  <c r="AC3" i="2"/>
  <c r="AB3" i="2" a="1"/>
  <c r="AB3" i="2"/>
  <c r="AA3" i="2" a="1"/>
  <c r="AA3" i="2"/>
  <c r="Z3" i="2" a="1"/>
  <c r="Z3" i="2"/>
  <c r="Y3" i="2" a="1"/>
  <c r="Y3" i="2"/>
  <c r="X3" i="2" a="1"/>
  <c r="X3" i="2"/>
  <c r="W3" i="2" a="1"/>
  <c r="W3" i="2"/>
  <c r="V3" i="2" a="1"/>
  <c r="V3" i="2"/>
  <c r="U3" i="2" a="1"/>
  <c r="U3" i="2"/>
  <c r="T3" i="2" a="1"/>
  <c r="T3" i="2"/>
  <c r="S3" i="2" a="1"/>
  <c r="S3" i="2"/>
  <c r="R3" i="2" a="1"/>
  <c r="R3" i="2"/>
  <c r="Q3" i="2" a="1"/>
  <c r="Q3" i="2"/>
  <c r="P3" i="2" a="1"/>
  <c r="P3" i="2"/>
  <c r="O3" i="2" a="1"/>
  <c r="O3" i="2"/>
  <c r="N3" i="2" a="1"/>
  <c r="N3" i="2"/>
  <c r="M3" i="2" a="1"/>
  <c r="M3" i="2"/>
  <c r="L3" i="2" a="1"/>
  <c r="L3" i="2"/>
  <c r="K3" i="2" a="1"/>
  <c r="K3" i="2"/>
  <c r="J3" i="2" a="1"/>
  <c r="J3" i="2"/>
  <c r="I3" i="2" a="1"/>
  <c r="I3" i="2"/>
  <c r="H3" i="2" a="1"/>
  <c r="H3" i="2"/>
  <c r="G3" i="2" a="1"/>
  <c r="G3" i="2"/>
  <c r="F3" i="2" a="1"/>
  <c r="F3" i="2"/>
  <c r="E3" i="2" a="1"/>
  <c r="E3" i="2"/>
  <c r="D3" i="2" a="1"/>
  <c r="D3" i="2"/>
  <c r="C3" i="2" a="1"/>
  <c r="C3" i="2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AF227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AB163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R118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T84" i="3"/>
  <c r="E84" i="3"/>
  <c r="E83" i="3"/>
  <c r="E82" i="3"/>
  <c r="E81" i="3"/>
  <c r="E80" i="3"/>
  <c r="J79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O65" i="3"/>
  <c r="M65" i="3"/>
  <c r="E65" i="3"/>
  <c r="E64" i="3"/>
  <c r="E63" i="3"/>
  <c r="E62" i="3"/>
  <c r="AB61" i="3"/>
  <c r="E61" i="3"/>
  <c r="E60" i="3"/>
  <c r="E59" i="3"/>
  <c r="AB58" i="3"/>
  <c r="U58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Z29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AF4" i="3"/>
  <c r="AC4" i="3"/>
  <c r="R4" i="3"/>
  <c r="H4" i="3"/>
  <c r="G4" i="3"/>
  <c r="E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E68" i="4"/>
  <c r="E67" i="4"/>
  <c r="E66" i="4"/>
  <c r="E65" i="4"/>
  <c r="E64" i="4"/>
  <c r="E63" i="4"/>
  <c r="E62" i="4"/>
  <c r="E61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G48" i="1"/>
  <c r="T45" i="1"/>
  <c r="S45" i="1"/>
  <c r="T44" i="1"/>
  <c r="S44" i="1"/>
  <c r="CA39" i="1"/>
  <c r="BV39" i="1"/>
  <c r="BP39" i="1"/>
  <c r="AZ39" i="1"/>
  <c r="AQ39" i="1"/>
  <c r="AP39" i="1"/>
  <c r="V39" i="1"/>
  <c r="O39" i="1"/>
  <c r="K39" i="1"/>
  <c r="G39" i="1"/>
  <c r="CD38" i="1"/>
  <c r="BU38" i="1"/>
  <c r="BS38" i="1"/>
  <c r="AZ38" i="1"/>
  <c r="AS38" i="1"/>
  <c r="AO38" i="1"/>
  <c r="W38" i="1"/>
  <c r="R38" i="1"/>
  <c r="M38" i="1"/>
  <c r="G38" i="1"/>
  <c r="CB37" i="1"/>
  <c r="BS37" i="1"/>
  <c r="BQ37" i="1"/>
  <c r="AW37" i="1"/>
  <c r="AP37" i="1"/>
  <c r="AM37" i="1"/>
  <c r="U37" i="1"/>
  <c r="P37" i="1"/>
  <c r="J37" i="1"/>
  <c r="G37" i="1"/>
  <c r="BH37" i="1" s="1"/>
  <c r="BY36" i="1"/>
  <c r="BP36" i="1"/>
  <c r="BO36" i="1"/>
  <c r="AZ36" i="1"/>
  <c r="AV36" i="1"/>
  <c r="AS36" i="1"/>
  <c r="AJ36" i="1"/>
  <c r="AF36" i="1"/>
  <c r="AC36" i="1"/>
  <c r="T36" i="1"/>
  <c r="P36" i="1"/>
  <c r="M36" i="1"/>
  <c r="G36" i="1"/>
  <c r="CJ35" i="1"/>
  <c r="CF35" i="1"/>
  <c r="CE35" i="1"/>
  <c r="BT35" i="1"/>
  <c r="BP35" i="1"/>
  <c r="BO35" i="1"/>
  <c r="BD35" i="1"/>
  <c r="AZ35" i="1"/>
  <c r="AY35" i="1"/>
  <c r="AN35" i="1"/>
  <c r="AJ35" i="1"/>
  <c r="AI35" i="1"/>
  <c r="X35" i="1"/>
  <c r="T35" i="1"/>
  <c r="S35" i="1"/>
  <c r="H35" i="1"/>
  <c r="G35" i="1"/>
  <c r="CH34" i="1"/>
  <c r="BR34" i="1"/>
  <c r="BB34" i="1"/>
  <c r="AL34" i="1"/>
  <c r="W34" i="1"/>
  <c r="V34" i="1"/>
  <c r="G34" i="1"/>
  <c r="CK33" i="1"/>
  <c r="BZ33" i="1"/>
  <c r="BV33" i="1"/>
  <c r="BU33" i="1"/>
  <c r="BJ33" i="1"/>
  <c r="BF33" i="1"/>
  <c r="BE33" i="1"/>
  <c r="AT33" i="1"/>
  <c r="AP33" i="1"/>
  <c r="AO33" i="1"/>
  <c r="AD33" i="1"/>
  <c r="Z33" i="1"/>
  <c r="Y33" i="1"/>
  <c r="N33" i="1"/>
  <c r="J33" i="1"/>
  <c r="I33" i="1"/>
  <c r="G33" i="1"/>
  <c r="G32" i="1"/>
  <c r="D32" i="1"/>
  <c r="CK31" i="1"/>
  <c r="CA31" i="1"/>
  <c r="BQ31" i="1"/>
  <c r="BG31" i="1"/>
  <c r="AW31" i="1"/>
  <c r="AM31" i="1"/>
  <c r="AC31" i="1"/>
  <c r="T31" i="1"/>
  <c r="S31" i="1"/>
  <c r="K31" i="1"/>
  <c r="J31" i="1"/>
  <c r="I31" i="1"/>
  <c r="G31" i="1"/>
  <c r="D31" i="1"/>
  <c r="G30" i="1"/>
  <c r="D30" i="1"/>
  <c r="G29" i="1"/>
  <c r="D29" i="1"/>
  <c r="G28" i="1"/>
  <c r="D28" i="1"/>
  <c r="AD27" i="1"/>
  <c r="G27" i="1"/>
  <c r="D27" i="1"/>
  <c r="G26" i="1"/>
  <c r="BK39" i="1" s="1"/>
  <c r="D26" i="1"/>
  <c r="G25" i="1"/>
  <c r="D25" i="1"/>
  <c r="G24" i="1"/>
  <c r="D24" i="1"/>
  <c r="G23" i="1"/>
  <c r="D23" i="1"/>
  <c r="G22" i="1"/>
  <c r="D22" i="1"/>
  <c r="R21" i="1"/>
  <c r="Q21" i="1"/>
  <c r="P21" i="1"/>
  <c r="O21" i="1"/>
  <c r="N21" i="1"/>
  <c r="M21" i="1"/>
  <c r="L21" i="1"/>
  <c r="G21" i="1"/>
  <c r="D21" i="1"/>
  <c r="K20" i="1"/>
  <c r="G20" i="1"/>
  <c r="D20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D19" i="1"/>
  <c r="I18" i="1"/>
  <c r="H18" i="1"/>
  <c r="G18" i="1"/>
  <c r="V55" i="3" s="1"/>
  <c r="D18" i="1"/>
  <c r="J17" i="1"/>
  <c r="G17" i="1"/>
  <c r="J28" i="3" s="1"/>
  <c r="D17" i="1"/>
  <c r="H16" i="1"/>
  <c r="I16" i="1" s="1"/>
  <c r="J16" i="1" s="1"/>
  <c r="K16" i="1" s="1"/>
  <c r="L16" i="1" s="1"/>
  <c r="M16" i="1" s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AL16" i="1" s="1"/>
  <c r="AM16" i="1" s="1"/>
  <c r="AN16" i="1" s="1"/>
  <c r="AO16" i="1" s="1"/>
  <c r="AP16" i="1" s="1"/>
  <c r="AQ16" i="1" s="1"/>
  <c r="AR16" i="1" s="1"/>
  <c r="AS16" i="1" s="1"/>
  <c r="AT16" i="1" s="1"/>
  <c r="AU16" i="1" s="1"/>
  <c r="AV16" i="1" s="1"/>
  <c r="AW16" i="1" s="1"/>
  <c r="AX16" i="1" s="1"/>
  <c r="AY16" i="1" s="1"/>
  <c r="AZ16" i="1" s="1"/>
  <c r="BA16" i="1" s="1"/>
  <c r="BB16" i="1" s="1"/>
  <c r="BC16" i="1" s="1"/>
  <c r="BD16" i="1" s="1"/>
  <c r="BE16" i="1" s="1"/>
  <c r="BF16" i="1" s="1"/>
  <c r="BG16" i="1" s="1"/>
  <c r="BH16" i="1" s="1"/>
  <c r="BI16" i="1" s="1"/>
  <c r="BJ16" i="1" s="1"/>
  <c r="BK16" i="1" s="1"/>
  <c r="BL16" i="1" s="1"/>
  <c r="BM16" i="1" s="1"/>
  <c r="BN16" i="1" s="1"/>
  <c r="BO16" i="1" s="1"/>
  <c r="BP16" i="1" s="1"/>
  <c r="BQ16" i="1" s="1"/>
  <c r="BR16" i="1" s="1"/>
  <c r="BS16" i="1" s="1"/>
  <c r="BT16" i="1" s="1"/>
  <c r="BU16" i="1" s="1"/>
  <c r="BV16" i="1" s="1"/>
  <c r="BW16" i="1" s="1"/>
  <c r="BX16" i="1" s="1"/>
  <c r="BY16" i="1" s="1"/>
  <c r="BZ16" i="1" s="1"/>
  <c r="CA16" i="1" s="1"/>
  <c r="CB16" i="1" s="1"/>
  <c r="CC16" i="1" s="1"/>
  <c r="CD16" i="1" s="1"/>
  <c r="CE16" i="1" s="1"/>
  <c r="CF16" i="1" s="1"/>
  <c r="CG16" i="1" s="1"/>
  <c r="CH16" i="1" s="1"/>
  <c r="CI16" i="1" s="1"/>
  <c r="CJ16" i="1" s="1"/>
  <c r="CK16" i="1" s="1"/>
  <c r="G16" i="1"/>
  <c r="D16" i="1"/>
  <c r="G15" i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AL15" i="1" s="1"/>
  <c r="AM15" i="1" s="1"/>
  <c r="AN15" i="1" s="1"/>
  <c r="AO15" i="1" s="1"/>
  <c r="AP15" i="1" s="1"/>
  <c r="AQ15" i="1" s="1"/>
  <c r="AR15" i="1" s="1"/>
  <c r="AS15" i="1" s="1"/>
  <c r="AT15" i="1" s="1"/>
  <c r="AU15" i="1" s="1"/>
  <c r="AV15" i="1" s="1"/>
  <c r="AW15" i="1" s="1"/>
  <c r="AX15" i="1" s="1"/>
  <c r="AY15" i="1" s="1"/>
  <c r="AZ15" i="1" s="1"/>
  <c r="BA15" i="1" s="1"/>
  <c r="BB15" i="1" s="1"/>
  <c r="BC15" i="1" s="1"/>
  <c r="BD15" i="1" s="1"/>
  <c r="BE15" i="1" s="1"/>
  <c r="BF15" i="1" s="1"/>
  <c r="BG15" i="1" s="1"/>
  <c r="BH15" i="1" s="1"/>
  <c r="BI15" i="1" s="1"/>
  <c r="BJ15" i="1" s="1"/>
  <c r="BK15" i="1" s="1"/>
  <c r="BL15" i="1" s="1"/>
  <c r="BM15" i="1" s="1"/>
  <c r="BN15" i="1" s="1"/>
  <c r="BO15" i="1" s="1"/>
  <c r="BP15" i="1" s="1"/>
  <c r="BQ15" i="1" s="1"/>
  <c r="BR15" i="1" s="1"/>
  <c r="BS15" i="1" s="1"/>
  <c r="BT15" i="1" s="1"/>
  <c r="BU15" i="1" s="1"/>
  <c r="BV15" i="1" s="1"/>
  <c r="BW15" i="1" s="1"/>
  <c r="BX15" i="1" s="1"/>
  <c r="BY15" i="1" s="1"/>
  <c r="BZ15" i="1" s="1"/>
  <c r="CA15" i="1" s="1"/>
  <c r="CB15" i="1" s="1"/>
  <c r="CC15" i="1" s="1"/>
  <c r="CD15" i="1" s="1"/>
  <c r="CE15" i="1" s="1"/>
  <c r="CF15" i="1" s="1"/>
  <c r="CG15" i="1" s="1"/>
  <c r="CH15" i="1" s="1"/>
  <c r="CI15" i="1" s="1"/>
  <c r="CJ15" i="1" s="1"/>
  <c r="CK15" i="1" s="1"/>
  <c r="D15" i="1"/>
  <c r="K14" i="1"/>
  <c r="L14" i="1" s="1"/>
  <c r="M14" i="1" s="1"/>
  <c r="N14" i="1" s="1"/>
  <c r="O14" i="1" s="1"/>
  <c r="P14" i="1" s="1"/>
  <c r="Q14" i="1" s="1"/>
  <c r="R14" i="1" s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AL14" i="1" s="1"/>
  <c r="AM14" i="1" s="1"/>
  <c r="AN14" i="1" s="1"/>
  <c r="AO14" i="1" s="1"/>
  <c r="AP14" i="1" s="1"/>
  <c r="AQ14" i="1" s="1"/>
  <c r="AR14" i="1" s="1"/>
  <c r="AS14" i="1" s="1"/>
  <c r="AT14" i="1" s="1"/>
  <c r="AU14" i="1" s="1"/>
  <c r="AV14" i="1" s="1"/>
  <c r="AW14" i="1" s="1"/>
  <c r="AX14" i="1" s="1"/>
  <c r="AY14" i="1" s="1"/>
  <c r="AZ14" i="1" s="1"/>
  <c r="BA14" i="1" s="1"/>
  <c r="BB14" i="1" s="1"/>
  <c r="BC14" i="1" s="1"/>
  <c r="BD14" i="1" s="1"/>
  <c r="BE14" i="1" s="1"/>
  <c r="BF14" i="1" s="1"/>
  <c r="BG14" i="1" s="1"/>
  <c r="BH14" i="1" s="1"/>
  <c r="BI14" i="1" s="1"/>
  <c r="BJ14" i="1" s="1"/>
  <c r="BK14" i="1" s="1"/>
  <c r="BL14" i="1" s="1"/>
  <c r="BM14" i="1" s="1"/>
  <c r="BN14" i="1" s="1"/>
  <c r="BO14" i="1" s="1"/>
  <c r="BP14" i="1" s="1"/>
  <c r="BQ14" i="1" s="1"/>
  <c r="BR14" i="1" s="1"/>
  <c r="BS14" i="1" s="1"/>
  <c r="BT14" i="1" s="1"/>
  <c r="BU14" i="1" s="1"/>
  <c r="BV14" i="1" s="1"/>
  <c r="BW14" i="1" s="1"/>
  <c r="BX14" i="1" s="1"/>
  <c r="BY14" i="1" s="1"/>
  <c r="BZ14" i="1" s="1"/>
  <c r="CA14" i="1" s="1"/>
  <c r="CB14" i="1" s="1"/>
  <c r="CC14" i="1" s="1"/>
  <c r="CD14" i="1" s="1"/>
  <c r="CE14" i="1" s="1"/>
  <c r="CF14" i="1" s="1"/>
  <c r="CG14" i="1" s="1"/>
  <c r="CH14" i="1" s="1"/>
  <c r="CI14" i="1" s="1"/>
  <c r="CJ14" i="1" s="1"/>
  <c r="CK14" i="1" s="1"/>
  <c r="H14" i="1"/>
  <c r="I14" i="1" s="1"/>
  <c r="J14" i="1" s="1"/>
  <c r="G14" i="1"/>
  <c r="D14" i="1"/>
  <c r="G13" i="1"/>
  <c r="H13" i="1" s="1"/>
  <c r="I13" i="1" s="1"/>
  <c r="J13" i="1" s="1"/>
  <c r="K13" i="1" s="1"/>
  <c r="L13" i="1" s="1"/>
  <c r="M13" i="1" s="1"/>
  <c r="N13" i="1" s="1"/>
  <c r="O13" i="1" s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s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AX13" i="1" s="1"/>
  <c r="AY13" i="1" s="1"/>
  <c r="AZ13" i="1" s="1"/>
  <c r="BA13" i="1" s="1"/>
  <c r="BB13" i="1" s="1"/>
  <c r="BC13" i="1" s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3" i="1" s="1"/>
  <c r="CD13" i="1" s="1"/>
  <c r="CE13" i="1" s="1"/>
  <c r="CF13" i="1" s="1"/>
  <c r="CG13" i="1" s="1"/>
  <c r="CH13" i="1" s="1"/>
  <c r="CI13" i="1" s="1"/>
  <c r="CJ13" i="1" s="1"/>
  <c r="CK13" i="1" s="1"/>
  <c r="D13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D12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D11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D10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D9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D8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D7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D6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D5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D4" i="1"/>
  <c r="AM3" i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H3" i="1"/>
  <c r="I3" i="1" s="1"/>
  <c r="J3" i="1" s="1"/>
  <c r="K3" i="1" s="1"/>
  <c r="CG34" i="1" l="1"/>
  <c r="BY34" i="1"/>
  <c r="BQ34" i="1"/>
  <c r="BI34" i="1"/>
  <c r="BA34" i="1"/>
  <c r="AS34" i="1"/>
  <c r="AK34" i="1"/>
  <c r="AC34" i="1"/>
  <c r="U34" i="1"/>
  <c r="M34" i="1"/>
  <c r="CF34" i="1"/>
  <c r="BX34" i="1"/>
  <c r="BP34" i="1"/>
  <c r="BH34" i="1"/>
  <c r="AZ34" i="1"/>
  <c r="AR34" i="1"/>
  <c r="AJ34" i="1"/>
  <c r="AB34" i="1"/>
  <c r="T34" i="1"/>
  <c r="L34" i="1"/>
  <c r="CK34" i="1"/>
  <c r="CC34" i="1"/>
  <c r="BU34" i="1"/>
  <c r="BM34" i="1"/>
  <c r="BE34" i="1"/>
  <c r="AW34" i="1"/>
  <c r="AO34" i="1"/>
  <c r="AG34" i="1"/>
  <c r="Y34" i="1"/>
  <c r="Q34" i="1"/>
  <c r="I34" i="1"/>
  <c r="CJ34" i="1"/>
  <c r="CB34" i="1"/>
  <c r="BT34" i="1"/>
  <c r="BL34" i="1"/>
  <c r="BD34" i="1"/>
  <c r="AV34" i="1"/>
  <c r="AN34" i="1"/>
  <c r="AF34" i="1"/>
  <c r="X34" i="1"/>
  <c r="P34" i="1"/>
  <c r="H34" i="1"/>
  <c r="BC34" i="1"/>
  <c r="CI34" i="1"/>
  <c r="M33" i="1"/>
  <c r="AC33" i="1"/>
  <c r="AS33" i="1"/>
  <c r="BI33" i="1"/>
  <c r="BY33" i="1"/>
  <c r="J34" i="1"/>
  <c r="Z34" i="1"/>
  <c r="AP34" i="1"/>
  <c r="BF34" i="1"/>
  <c r="BV34" i="1"/>
  <c r="CD35" i="1"/>
  <c r="BV35" i="1"/>
  <c r="BN35" i="1"/>
  <c r="BF35" i="1"/>
  <c r="AX35" i="1"/>
  <c r="AP35" i="1"/>
  <c r="AH35" i="1"/>
  <c r="Z35" i="1"/>
  <c r="R35" i="1"/>
  <c r="J35" i="1"/>
  <c r="CK35" i="1"/>
  <c r="CC35" i="1"/>
  <c r="BU35" i="1"/>
  <c r="BM35" i="1"/>
  <c r="BE35" i="1"/>
  <c r="AW35" i="1"/>
  <c r="AO35" i="1"/>
  <c r="AG35" i="1"/>
  <c r="Y35" i="1"/>
  <c r="Q35" i="1"/>
  <c r="I35" i="1"/>
  <c r="CH35" i="1"/>
  <c r="BZ35" i="1"/>
  <c r="BR35" i="1"/>
  <c r="BJ35" i="1"/>
  <c r="BB35" i="1"/>
  <c r="AT35" i="1"/>
  <c r="AL35" i="1"/>
  <c r="AD35" i="1"/>
  <c r="V35" i="1"/>
  <c r="N35" i="1"/>
  <c r="CG35" i="1"/>
  <c r="BY35" i="1"/>
  <c r="BQ35" i="1"/>
  <c r="BI35" i="1"/>
  <c r="BA35" i="1"/>
  <c r="AS35" i="1"/>
  <c r="AK35" i="1"/>
  <c r="AC35" i="1"/>
  <c r="U35" i="1"/>
  <c r="M35" i="1"/>
  <c r="W35" i="1"/>
  <c r="AM35" i="1"/>
  <c r="BC35" i="1"/>
  <c r="BS35" i="1"/>
  <c r="CI35" i="1"/>
  <c r="Q36" i="1"/>
  <c r="AG36" i="1"/>
  <c r="AW36" i="1"/>
  <c r="BT36" i="1"/>
  <c r="Q37" i="1"/>
  <c r="AV37" i="1"/>
  <c r="BV37" i="1"/>
  <c r="T38" i="1"/>
  <c r="AX38" i="1"/>
  <c r="BY38" i="1"/>
  <c r="T39" i="1"/>
  <c r="AU39" i="1"/>
  <c r="BW39" i="1"/>
  <c r="AA29" i="3"/>
  <c r="AD5" i="3"/>
  <c r="V5" i="3"/>
  <c r="N5" i="3"/>
  <c r="AB5" i="3"/>
  <c r="T5" i="3"/>
  <c r="L5" i="3"/>
  <c r="AA5" i="3"/>
  <c r="S5" i="3"/>
  <c r="K5" i="3"/>
  <c r="Y5" i="3"/>
  <c r="M5" i="3"/>
  <c r="X5" i="3"/>
  <c r="J5" i="3"/>
  <c r="W5" i="3"/>
  <c r="I5" i="3"/>
  <c r="U5" i="3"/>
  <c r="H5" i="3"/>
  <c r="AF5" i="3"/>
  <c r="R5" i="3"/>
  <c r="G5" i="3"/>
  <c r="AE5" i="3"/>
  <c r="Q5" i="3"/>
  <c r="K18" i="1"/>
  <c r="K34" i="1"/>
  <c r="AQ34" i="1"/>
  <c r="BW34" i="1"/>
  <c r="O5" i="3"/>
  <c r="AA34" i="1"/>
  <c r="BG34" i="1"/>
  <c r="Q33" i="1"/>
  <c r="AG33" i="1"/>
  <c r="AW33" i="1"/>
  <c r="BM33" i="1"/>
  <c r="CC33" i="1"/>
  <c r="N34" i="1"/>
  <c r="AD34" i="1"/>
  <c r="AT34" i="1"/>
  <c r="BJ34" i="1"/>
  <c r="BZ34" i="1"/>
  <c r="K35" i="1"/>
  <c r="AA35" i="1"/>
  <c r="AQ35" i="1"/>
  <c r="BG35" i="1"/>
  <c r="BW35" i="1"/>
  <c r="CG36" i="1"/>
  <c r="U36" i="1"/>
  <c r="AK36" i="1"/>
  <c r="BA36" i="1"/>
  <c r="CA36" i="1"/>
  <c r="Z37" i="1"/>
  <c r="BA37" i="1"/>
  <c r="CC37" i="1"/>
  <c r="AC38" i="1"/>
  <c r="BC38" i="1"/>
  <c r="CF38" i="1"/>
  <c r="Z39" i="1"/>
  <c r="BB39" i="1"/>
  <c r="CF39" i="1"/>
  <c r="L4" i="3"/>
  <c r="P5" i="3"/>
  <c r="AD57" i="3"/>
  <c r="V57" i="3"/>
  <c r="N57" i="3"/>
  <c r="Y56" i="3"/>
  <c r="Q56" i="3"/>
  <c r="I56" i="3"/>
  <c r="AB55" i="3"/>
  <c r="T55" i="3"/>
  <c r="L55" i="3"/>
  <c r="AE54" i="3"/>
  <c r="W54" i="3"/>
  <c r="O54" i="3"/>
  <c r="G54" i="3"/>
  <c r="AB31" i="3"/>
  <c r="T31" i="3"/>
  <c r="L31" i="3"/>
  <c r="AC57" i="3"/>
  <c r="U57" i="3"/>
  <c r="M57" i="3"/>
  <c r="AF56" i="3"/>
  <c r="X56" i="3"/>
  <c r="P56" i="3"/>
  <c r="H56" i="3"/>
  <c r="AA55" i="3"/>
  <c r="S55" i="3"/>
  <c r="K55" i="3"/>
  <c r="AD54" i="3"/>
  <c r="V54" i="3"/>
  <c r="N54" i="3"/>
  <c r="AA31" i="3"/>
  <c r="S31" i="3"/>
  <c r="K31" i="3"/>
  <c r="AB57" i="3"/>
  <c r="T57" i="3"/>
  <c r="L57" i="3"/>
  <c r="AE56" i="3"/>
  <c r="W56" i="3"/>
  <c r="O56" i="3"/>
  <c r="G56" i="3"/>
  <c r="Z55" i="3"/>
  <c r="R55" i="3"/>
  <c r="J55" i="3"/>
  <c r="AC54" i="3"/>
  <c r="U54" i="3"/>
  <c r="M54" i="3"/>
  <c r="AA57" i="3"/>
  <c r="S57" i="3"/>
  <c r="K57" i="3"/>
  <c r="AD56" i="3"/>
  <c r="V56" i="3"/>
  <c r="N56" i="3"/>
  <c r="Y55" i="3"/>
  <c r="Q55" i="3"/>
  <c r="I55" i="3"/>
  <c r="AB54" i="3"/>
  <c r="T54" i="3"/>
  <c r="L54" i="3"/>
  <c r="Z57" i="3"/>
  <c r="R57" i="3"/>
  <c r="J57" i="3"/>
  <c r="AC56" i="3"/>
  <c r="U56" i="3"/>
  <c r="M56" i="3"/>
  <c r="AF55" i="3"/>
  <c r="X55" i="3"/>
  <c r="P55" i="3"/>
  <c r="H55" i="3"/>
  <c r="AA54" i="3"/>
  <c r="S54" i="3"/>
  <c r="K54" i="3"/>
  <c r="Y57" i="3"/>
  <c r="Q57" i="3"/>
  <c r="I57" i="3"/>
  <c r="AB56" i="3"/>
  <c r="T56" i="3"/>
  <c r="L56" i="3"/>
  <c r="AE55" i="3"/>
  <c r="W55" i="3"/>
  <c r="O55" i="3"/>
  <c r="G55" i="3"/>
  <c r="Z54" i="3"/>
  <c r="R54" i="3"/>
  <c r="J54" i="3"/>
  <c r="AE31" i="3"/>
  <c r="W31" i="3"/>
  <c r="O31" i="3"/>
  <c r="G31" i="3"/>
  <c r="P57" i="3"/>
  <c r="R56" i="3"/>
  <c r="N55" i="3"/>
  <c r="I54" i="3"/>
  <c r="AC31" i="3"/>
  <c r="P31" i="3"/>
  <c r="O57" i="3"/>
  <c r="K56" i="3"/>
  <c r="M55" i="3"/>
  <c r="H54" i="3"/>
  <c r="Z31" i="3"/>
  <c r="N31" i="3"/>
  <c r="H57" i="3"/>
  <c r="J56" i="3"/>
  <c r="Y31" i="3"/>
  <c r="M31" i="3"/>
  <c r="G57" i="3"/>
  <c r="AF54" i="3"/>
  <c r="X31" i="3"/>
  <c r="J31" i="3"/>
  <c r="AF57" i="3"/>
  <c r="AD55" i="3"/>
  <c r="Y54" i="3"/>
  <c r="V31" i="3"/>
  <c r="I31" i="3"/>
  <c r="AE57" i="3"/>
  <c r="AA56" i="3"/>
  <c r="AC55" i="3"/>
  <c r="X54" i="3"/>
  <c r="U31" i="3"/>
  <c r="H31" i="3"/>
  <c r="U55" i="3"/>
  <c r="X57" i="3"/>
  <c r="W57" i="3"/>
  <c r="Q54" i="3"/>
  <c r="P54" i="3"/>
  <c r="AF31" i="3"/>
  <c r="Z56" i="3"/>
  <c r="AD31" i="3"/>
  <c r="J18" i="1"/>
  <c r="S56" i="3"/>
  <c r="R31" i="3"/>
  <c r="AB219" i="3"/>
  <c r="T219" i="3"/>
  <c r="L219" i="3"/>
  <c r="AE218" i="3"/>
  <c r="W218" i="3"/>
  <c r="O218" i="3"/>
  <c r="G218" i="3"/>
  <c r="Z217" i="3"/>
  <c r="AA219" i="3"/>
  <c r="S219" i="3"/>
  <c r="K219" i="3"/>
  <c r="AD218" i="3"/>
  <c r="V218" i="3"/>
  <c r="N218" i="3"/>
  <c r="Y217" i="3"/>
  <c r="Q217" i="3"/>
  <c r="I217" i="3"/>
  <c r="AB216" i="3"/>
  <c r="T216" i="3"/>
  <c r="L216" i="3"/>
  <c r="AE215" i="3"/>
  <c r="W215" i="3"/>
  <c r="O215" i="3"/>
  <c r="G215" i="3"/>
  <c r="Z214" i="3"/>
  <c r="R214" i="3"/>
  <c r="J214" i="3"/>
  <c r="AC213" i="3"/>
  <c r="U213" i="3"/>
  <c r="M213" i="3"/>
  <c r="AF212" i="3"/>
  <c r="X212" i="3"/>
  <c r="P212" i="3"/>
  <c r="H212" i="3"/>
  <c r="AA211" i="3"/>
  <c r="S211" i="3"/>
  <c r="K211" i="3"/>
  <c r="AD210" i="3"/>
  <c r="V210" i="3"/>
  <c r="N210" i="3"/>
  <c r="Y209" i="3"/>
  <c r="Q209" i="3"/>
  <c r="I209" i="3"/>
  <c r="AB208" i="3"/>
  <c r="T208" i="3"/>
  <c r="L208" i="3"/>
  <c r="AE207" i="3"/>
  <c r="W207" i="3"/>
  <c r="O207" i="3"/>
  <c r="G207" i="3"/>
  <c r="Z206" i="3"/>
  <c r="R206" i="3"/>
  <c r="J206" i="3"/>
  <c r="AC205" i="3"/>
  <c r="U205" i="3"/>
  <c r="M205" i="3"/>
  <c r="AF204" i="3"/>
  <c r="Z219" i="3"/>
  <c r="R219" i="3"/>
  <c r="J219" i="3"/>
  <c r="AC218" i="3"/>
  <c r="U218" i="3"/>
  <c r="M218" i="3"/>
  <c r="AF217" i="3"/>
  <c r="X217" i="3"/>
  <c r="Y219" i="3"/>
  <c r="Q219" i="3"/>
  <c r="I219" i="3"/>
  <c r="AB218" i="3"/>
  <c r="T218" i="3"/>
  <c r="L218" i="3"/>
  <c r="AE217" i="3"/>
  <c r="W217" i="3"/>
  <c r="O217" i="3"/>
  <c r="G217" i="3"/>
  <c r="Z216" i="3"/>
  <c r="R216" i="3"/>
  <c r="J216" i="3"/>
  <c r="AC215" i="3"/>
  <c r="U219" i="3"/>
  <c r="AF218" i="3"/>
  <c r="P218" i="3"/>
  <c r="AB217" i="3"/>
  <c r="N217" i="3"/>
  <c r="AE216" i="3"/>
  <c r="U216" i="3"/>
  <c r="I216" i="3"/>
  <c r="Z215" i="3"/>
  <c r="Q215" i="3"/>
  <c r="H215" i="3"/>
  <c r="Y214" i="3"/>
  <c r="P214" i="3"/>
  <c r="G214" i="3"/>
  <c r="Y213" i="3"/>
  <c r="P213" i="3"/>
  <c r="G213" i="3"/>
  <c r="Y212" i="3"/>
  <c r="O212" i="3"/>
  <c r="X211" i="3"/>
  <c r="O211" i="3"/>
  <c r="X210" i="3"/>
  <c r="O210" i="3"/>
  <c r="X209" i="3"/>
  <c r="O209" i="3"/>
  <c r="X208" i="3"/>
  <c r="O208" i="3"/>
  <c r="X207" i="3"/>
  <c r="N207" i="3"/>
  <c r="AF206" i="3"/>
  <c r="W206" i="3"/>
  <c r="N206" i="3"/>
  <c r="AF205" i="3"/>
  <c r="W205" i="3"/>
  <c r="N205" i="3"/>
  <c r="AE204" i="3"/>
  <c r="W204" i="3"/>
  <c r="O204" i="3"/>
  <c r="G204" i="3"/>
  <c r="Z203" i="3"/>
  <c r="R203" i="3"/>
  <c r="J203" i="3"/>
  <c r="AC202" i="3"/>
  <c r="U202" i="3"/>
  <c r="M202" i="3"/>
  <c r="AF201" i="3"/>
  <c r="X201" i="3"/>
  <c r="P201" i="3"/>
  <c r="H201" i="3"/>
  <c r="AA200" i="3"/>
  <c r="S200" i="3"/>
  <c r="K200" i="3"/>
  <c r="AD199" i="3"/>
  <c r="V199" i="3"/>
  <c r="N199" i="3"/>
  <c r="Y198" i="3"/>
  <c r="Q198" i="3"/>
  <c r="I198" i="3"/>
  <c r="AB197" i="3"/>
  <c r="T197" i="3"/>
  <c r="L197" i="3"/>
  <c r="AE196" i="3"/>
  <c r="W196" i="3"/>
  <c r="O196" i="3"/>
  <c r="G196" i="3"/>
  <c r="Z195" i="3"/>
  <c r="AF219" i="3"/>
  <c r="P219" i="3"/>
  <c r="AA218" i="3"/>
  <c r="K218" i="3"/>
  <c r="AA217" i="3"/>
  <c r="M217" i="3"/>
  <c r="AD216" i="3"/>
  <c r="S216" i="3"/>
  <c r="H216" i="3"/>
  <c r="Y215" i="3"/>
  <c r="P215" i="3"/>
  <c r="X214" i="3"/>
  <c r="O214" i="3"/>
  <c r="X213" i="3"/>
  <c r="O213" i="3"/>
  <c r="W212" i="3"/>
  <c r="N212" i="3"/>
  <c r="AF211" i="3"/>
  <c r="W211" i="3"/>
  <c r="N211" i="3"/>
  <c r="AF210" i="3"/>
  <c r="W210" i="3"/>
  <c r="M210" i="3"/>
  <c r="AF209" i="3"/>
  <c r="W209" i="3"/>
  <c r="N209" i="3"/>
  <c r="AF208" i="3"/>
  <c r="W208" i="3"/>
  <c r="N208" i="3"/>
  <c r="AF207" i="3"/>
  <c r="V207" i="3"/>
  <c r="M207" i="3"/>
  <c r="AE206" i="3"/>
  <c r="V206" i="3"/>
  <c r="M206" i="3"/>
  <c r="AE205" i="3"/>
  <c r="V205" i="3"/>
  <c r="L205" i="3"/>
  <c r="AD204" i="3"/>
  <c r="V204" i="3"/>
  <c r="N204" i="3"/>
  <c r="Y203" i="3"/>
  <c r="Q203" i="3"/>
  <c r="I203" i="3"/>
  <c r="AB202" i="3"/>
  <c r="T202" i="3"/>
  <c r="L202" i="3"/>
  <c r="AE201" i="3"/>
  <c r="W201" i="3"/>
  <c r="O201" i="3"/>
  <c r="G201" i="3"/>
  <c r="Z200" i="3"/>
  <c r="R200" i="3"/>
  <c r="J200" i="3"/>
  <c r="AC199" i="3"/>
  <c r="U199" i="3"/>
  <c r="M199" i="3"/>
  <c r="AF198" i="3"/>
  <c r="X198" i="3"/>
  <c r="P198" i="3"/>
  <c r="H198" i="3"/>
  <c r="AA197" i="3"/>
  <c r="S197" i="3"/>
  <c r="K197" i="3"/>
  <c r="AD196" i="3"/>
  <c r="V196" i="3"/>
  <c r="N196" i="3"/>
  <c r="Y195" i="3"/>
  <c r="Q195" i="3"/>
  <c r="I195" i="3"/>
  <c r="AB194" i="3"/>
  <c r="T194" i="3"/>
  <c r="L194" i="3"/>
  <c r="AE193" i="3"/>
  <c r="W193" i="3"/>
  <c r="O193" i="3"/>
  <c r="G193" i="3"/>
  <c r="AE219" i="3"/>
  <c r="O219" i="3"/>
  <c r="Z218" i="3"/>
  <c r="J218" i="3"/>
  <c r="V217" i="3"/>
  <c r="L217" i="3"/>
  <c r="AC216" i="3"/>
  <c r="Q216" i="3"/>
  <c r="G216" i="3"/>
  <c r="X215" i="3"/>
  <c r="N215" i="3"/>
  <c r="AF214" i="3"/>
  <c r="W214" i="3"/>
  <c r="N214" i="3"/>
  <c r="AF213" i="3"/>
  <c r="W213" i="3"/>
  <c r="N213" i="3"/>
  <c r="AE212" i="3"/>
  <c r="V212" i="3"/>
  <c r="M212" i="3"/>
  <c r="AE211" i="3"/>
  <c r="V211" i="3"/>
  <c r="M211" i="3"/>
  <c r="AE210" i="3"/>
  <c r="U210" i="3"/>
  <c r="L210" i="3"/>
  <c r="AE209" i="3"/>
  <c r="V209" i="3"/>
  <c r="M209" i="3"/>
  <c r="AE208" i="3"/>
  <c r="V208" i="3"/>
  <c r="M208" i="3"/>
  <c r="AD207" i="3"/>
  <c r="U207" i="3"/>
  <c r="L207" i="3"/>
  <c r="AD206" i="3"/>
  <c r="U206" i="3"/>
  <c r="L206" i="3"/>
  <c r="AD205" i="3"/>
  <c r="T205" i="3"/>
  <c r="K205" i="3"/>
  <c r="AC204" i="3"/>
  <c r="U204" i="3"/>
  <c r="M204" i="3"/>
  <c r="AF203" i="3"/>
  <c r="X203" i="3"/>
  <c r="P203" i="3"/>
  <c r="H203" i="3"/>
  <c r="AA202" i="3"/>
  <c r="S202" i="3"/>
  <c r="K202" i="3"/>
  <c r="AD201" i="3"/>
  <c r="V201" i="3"/>
  <c r="N201" i="3"/>
  <c r="Y200" i="3"/>
  <c r="Q200" i="3"/>
  <c r="I200" i="3"/>
  <c r="AB199" i="3"/>
  <c r="T199" i="3"/>
  <c r="L199" i="3"/>
  <c r="AE198" i="3"/>
  <c r="W198" i="3"/>
  <c r="O198" i="3"/>
  <c r="G198" i="3"/>
  <c r="Z197" i="3"/>
  <c r="R197" i="3"/>
  <c r="J197" i="3"/>
  <c r="AC196" i="3"/>
  <c r="U196" i="3"/>
  <c r="M196" i="3"/>
  <c r="AF195" i="3"/>
  <c r="X195" i="3"/>
  <c r="AD219" i="3"/>
  <c r="N219" i="3"/>
  <c r="Y218" i="3"/>
  <c r="I218" i="3"/>
  <c r="U217" i="3"/>
  <c r="K217" i="3"/>
  <c r="AA216" i="3"/>
  <c r="P216" i="3"/>
  <c r="V215" i="3"/>
  <c r="M215" i="3"/>
  <c r="AE214" i="3"/>
  <c r="V214" i="3"/>
  <c r="M214" i="3"/>
  <c r="AE213" i="3"/>
  <c r="V213" i="3"/>
  <c r="L213" i="3"/>
  <c r="AD212" i="3"/>
  <c r="U212" i="3"/>
  <c r="L212" i="3"/>
  <c r="AD211" i="3"/>
  <c r="U211" i="3"/>
  <c r="L211" i="3"/>
  <c r="AC210" i="3"/>
  <c r="T210" i="3"/>
  <c r="K210" i="3"/>
  <c r="AD209" i="3"/>
  <c r="U209" i="3"/>
  <c r="L209" i="3"/>
  <c r="AD208" i="3"/>
  <c r="U208" i="3"/>
  <c r="K208" i="3"/>
  <c r="AC207" i="3"/>
  <c r="T207" i="3"/>
  <c r="K207" i="3"/>
  <c r="AC206" i="3"/>
  <c r="T206" i="3"/>
  <c r="K206" i="3"/>
  <c r="AB205" i="3"/>
  <c r="S205" i="3"/>
  <c r="J205" i="3"/>
  <c r="AB204" i="3"/>
  <c r="T204" i="3"/>
  <c r="L204" i="3"/>
  <c r="AE203" i="3"/>
  <c r="W203" i="3"/>
  <c r="O203" i="3"/>
  <c r="G203" i="3"/>
  <c r="Z202" i="3"/>
  <c r="R202" i="3"/>
  <c r="J202" i="3"/>
  <c r="AC201" i="3"/>
  <c r="U201" i="3"/>
  <c r="M201" i="3"/>
  <c r="AF200" i="3"/>
  <c r="X200" i="3"/>
  <c r="P200" i="3"/>
  <c r="H200" i="3"/>
  <c r="AA199" i="3"/>
  <c r="AC219" i="3"/>
  <c r="M219" i="3"/>
  <c r="X218" i="3"/>
  <c r="H218" i="3"/>
  <c r="T217" i="3"/>
  <c r="J217" i="3"/>
  <c r="Y216" i="3"/>
  <c r="O216" i="3"/>
  <c r="AF215" i="3"/>
  <c r="U215" i="3"/>
  <c r="L215" i="3"/>
  <c r="AD214" i="3"/>
  <c r="U214" i="3"/>
  <c r="L214" i="3"/>
  <c r="AD213" i="3"/>
  <c r="T213" i="3"/>
  <c r="K213" i="3"/>
  <c r="AC212" i="3"/>
  <c r="T212" i="3"/>
  <c r="K212" i="3"/>
  <c r="AC211" i="3"/>
  <c r="T211" i="3"/>
  <c r="J211" i="3"/>
  <c r="AB210" i="3"/>
  <c r="S210" i="3"/>
  <c r="J210" i="3"/>
  <c r="AC209" i="3"/>
  <c r="T209" i="3"/>
  <c r="K209" i="3"/>
  <c r="AC208" i="3"/>
  <c r="S208" i="3"/>
  <c r="J208" i="3"/>
  <c r="AB207" i="3"/>
  <c r="S207" i="3"/>
  <c r="J207" i="3"/>
  <c r="AB206" i="3"/>
  <c r="S206" i="3"/>
  <c r="I206" i="3"/>
  <c r="AA205" i="3"/>
  <c r="R205" i="3"/>
  <c r="I205" i="3"/>
  <c r="AA204" i="3"/>
  <c r="S204" i="3"/>
  <c r="K204" i="3"/>
  <c r="AD203" i="3"/>
  <c r="V203" i="3"/>
  <c r="N203" i="3"/>
  <c r="Y202" i="3"/>
  <c r="Q202" i="3"/>
  <c r="I202" i="3"/>
  <c r="AB201" i="3"/>
  <c r="T201" i="3"/>
  <c r="L201" i="3"/>
  <c r="AE200" i="3"/>
  <c r="W200" i="3"/>
  <c r="O200" i="3"/>
  <c r="G200" i="3"/>
  <c r="Z199" i="3"/>
  <c r="X219" i="3"/>
  <c r="H219" i="3"/>
  <c r="S218" i="3"/>
  <c r="S217" i="3"/>
  <c r="H217" i="3"/>
  <c r="X216" i="3"/>
  <c r="N216" i="3"/>
  <c r="AD215" i="3"/>
  <c r="T215" i="3"/>
  <c r="K215" i="3"/>
  <c r="AC214" i="3"/>
  <c r="T214" i="3"/>
  <c r="K214" i="3"/>
  <c r="AB213" i="3"/>
  <c r="S213" i="3"/>
  <c r="J213" i="3"/>
  <c r="AB212" i="3"/>
  <c r="S212" i="3"/>
  <c r="J212" i="3"/>
  <c r="AB211" i="3"/>
  <c r="R211" i="3"/>
  <c r="I211" i="3"/>
  <c r="AA210" i="3"/>
  <c r="R210" i="3"/>
  <c r="I210" i="3"/>
  <c r="AB209" i="3"/>
  <c r="S209" i="3"/>
  <c r="J209" i="3"/>
  <c r="AA208" i="3"/>
  <c r="R208" i="3"/>
  <c r="I208" i="3"/>
  <c r="AA207" i="3"/>
  <c r="R207" i="3"/>
  <c r="I207" i="3"/>
  <c r="AA206" i="3"/>
  <c r="Q206" i="3"/>
  <c r="H206" i="3"/>
  <c r="Z205" i="3"/>
  <c r="Q205" i="3"/>
  <c r="H205" i="3"/>
  <c r="Z204" i="3"/>
  <c r="R204" i="3"/>
  <c r="J204" i="3"/>
  <c r="AC203" i="3"/>
  <c r="AA215" i="3"/>
  <c r="S214" i="3"/>
  <c r="Q213" i="3"/>
  <c r="I212" i="3"/>
  <c r="G211" i="3"/>
  <c r="Z208" i="3"/>
  <c r="Y207" i="3"/>
  <c r="O206" i="3"/>
  <c r="AB203" i="3"/>
  <c r="O202" i="3"/>
  <c r="S201" i="3"/>
  <c r="AC200" i="3"/>
  <c r="Q199" i="3"/>
  <c r="T198" i="3"/>
  <c r="V197" i="3"/>
  <c r="H197" i="3"/>
  <c r="X196" i="3"/>
  <c r="J196" i="3"/>
  <c r="AA195" i="3"/>
  <c r="O195" i="3"/>
  <c r="X194" i="3"/>
  <c r="O194" i="3"/>
  <c r="X193" i="3"/>
  <c r="N193" i="3"/>
  <c r="R218" i="3"/>
  <c r="AF216" i="3"/>
  <c r="S215" i="3"/>
  <c r="Q214" i="3"/>
  <c r="I213" i="3"/>
  <c r="G212" i="3"/>
  <c r="AA209" i="3"/>
  <c r="Y208" i="3"/>
  <c r="Q207" i="3"/>
  <c r="G206" i="3"/>
  <c r="Y204" i="3"/>
  <c r="AA203" i="3"/>
  <c r="AF202" i="3"/>
  <c r="N202" i="3"/>
  <c r="R201" i="3"/>
  <c r="AB200" i="3"/>
  <c r="AF199" i="3"/>
  <c r="P199" i="3"/>
  <c r="AD198" i="3"/>
  <c r="S198" i="3"/>
  <c r="AF197" i="3"/>
  <c r="U197" i="3"/>
  <c r="G197" i="3"/>
  <c r="T196" i="3"/>
  <c r="I196" i="3"/>
  <c r="W195" i="3"/>
  <c r="N195" i="3"/>
  <c r="AF194" i="3"/>
  <c r="W194" i="3"/>
  <c r="N194" i="3"/>
  <c r="AF193" i="3"/>
  <c r="V193" i="3"/>
  <c r="M193" i="3"/>
  <c r="Q218" i="3"/>
  <c r="W216" i="3"/>
  <c r="R215" i="3"/>
  <c r="I214" i="3"/>
  <c r="H213" i="3"/>
  <c r="Z210" i="3"/>
  <c r="Z209" i="3"/>
  <c r="Q208" i="3"/>
  <c r="P207" i="3"/>
  <c r="X204" i="3"/>
  <c r="U203" i="3"/>
  <c r="AE202" i="3"/>
  <c r="H202" i="3"/>
  <c r="Q201" i="3"/>
  <c r="V200" i="3"/>
  <c r="AE199" i="3"/>
  <c r="O199" i="3"/>
  <c r="AC198" i="3"/>
  <c r="R198" i="3"/>
  <c r="AE197" i="3"/>
  <c r="Q197" i="3"/>
  <c r="S196" i="3"/>
  <c r="H196" i="3"/>
  <c r="V195" i="3"/>
  <c r="M195" i="3"/>
  <c r="AE194" i="3"/>
  <c r="V194" i="3"/>
  <c r="M194" i="3"/>
  <c r="AD193" i="3"/>
  <c r="U193" i="3"/>
  <c r="L193" i="3"/>
  <c r="V216" i="3"/>
  <c r="J215" i="3"/>
  <c r="H214" i="3"/>
  <c r="Z211" i="3"/>
  <c r="Y210" i="3"/>
  <c r="R209" i="3"/>
  <c r="P208" i="3"/>
  <c r="H207" i="3"/>
  <c r="Y205" i="3"/>
  <c r="Q204" i="3"/>
  <c r="T203" i="3"/>
  <c r="AD202" i="3"/>
  <c r="G202" i="3"/>
  <c r="K201" i="3"/>
  <c r="U200" i="3"/>
  <c r="Y199" i="3"/>
  <c r="K199" i="3"/>
  <c r="AB198" i="3"/>
  <c r="N198" i="3"/>
  <c r="AD197" i="3"/>
  <c r="P197" i="3"/>
  <c r="AF196" i="3"/>
  <c r="R196" i="3"/>
  <c r="U195" i="3"/>
  <c r="L195" i="3"/>
  <c r="AD194" i="3"/>
  <c r="U194" i="3"/>
  <c r="K194" i="3"/>
  <c r="AC193" i="3"/>
  <c r="T193" i="3"/>
  <c r="K193" i="3"/>
  <c r="AD217" i="3"/>
  <c r="M216" i="3"/>
  <c r="I215" i="3"/>
  <c r="AA212" i="3"/>
  <c r="Y211" i="3"/>
  <c r="Q210" i="3"/>
  <c r="P209" i="3"/>
  <c r="H208" i="3"/>
  <c r="X205" i="3"/>
  <c r="P204" i="3"/>
  <c r="S203" i="3"/>
  <c r="X202" i="3"/>
  <c r="J201" i="3"/>
  <c r="T200" i="3"/>
  <c r="X199" i="3"/>
  <c r="J199" i="3"/>
  <c r="AA198" i="3"/>
  <c r="M198" i="3"/>
  <c r="AC197" i="3"/>
  <c r="O197" i="3"/>
  <c r="AB196" i="3"/>
  <c r="Q196" i="3"/>
  <c r="AE195" i="3"/>
  <c r="T195" i="3"/>
  <c r="K195" i="3"/>
  <c r="AC194" i="3"/>
  <c r="S194" i="3"/>
  <c r="J194" i="3"/>
  <c r="AB193" i="3"/>
  <c r="S193" i="3"/>
  <c r="J193" i="3"/>
  <c r="W219" i="3"/>
  <c r="AC217" i="3"/>
  <c r="K216" i="3"/>
  <c r="AA213" i="3"/>
  <c r="Z212" i="3"/>
  <c r="Q211" i="3"/>
  <c r="P210" i="3"/>
  <c r="H209" i="3"/>
  <c r="G208" i="3"/>
  <c r="Y206" i="3"/>
  <c r="P205" i="3"/>
  <c r="I204" i="3"/>
  <c r="M203" i="3"/>
  <c r="W202" i="3"/>
  <c r="AA201" i="3"/>
  <c r="I201" i="3"/>
  <c r="N200" i="3"/>
  <c r="W199" i="3"/>
  <c r="I199" i="3"/>
  <c r="Z198" i="3"/>
  <c r="L198" i="3"/>
  <c r="Y197" i="3"/>
  <c r="N197" i="3"/>
  <c r="AA196" i="3"/>
  <c r="P196" i="3"/>
  <c r="AD195" i="3"/>
  <c r="S195" i="3"/>
  <c r="J195" i="3"/>
  <c r="AA194" i="3"/>
  <c r="R194" i="3"/>
  <c r="I194" i="3"/>
  <c r="AA193" i="3"/>
  <c r="R193" i="3"/>
  <c r="I193" i="3"/>
  <c r="AA214" i="3"/>
  <c r="P211" i="3"/>
  <c r="S199" i="3"/>
  <c r="J198" i="3"/>
  <c r="Y196" i="3"/>
  <c r="H195" i="3"/>
  <c r="G194" i="3"/>
  <c r="R217" i="3"/>
  <c r="H211" i="3"/>
  <c r="Z207" i="3"/>
  <c r="H204" i="3"/>
  <c r="Z201" i="3"/>
  <c r="R199" i="3"/>
  <c r="L196" i="3"/>
  <c r="G195" i="3"/>
  <c r="P217" i="3"/>
  <c r="Z213" i="3"/>
  <c r="Y201" i="3"/>
  <c r="H199" i="3"/>
  <c r="X197" i="3"/>
  <c r="K196" i="3"/>
  <c r="Z193" i="3"/>
  <c r="R213" i="3"/>
  <c r="H210" i="3"/>
  <c r="X206" i="3"/>
  <c r="L203" i="3"/>
  <c r="G199" i="3"/>
  <c r="W197" i="3"/>
  <c r="Z194" i="3"/>
  <c r="Y193" i="3"/>
  <c r="G210" i="3"/>
  <c r="P206" i="3"/>
  <c r="K203" i="3"/>
  <c r="AD200" i="3"/>
  <c r="M197" i="3"/>
  <c r="AC195" i="3"/>
  <c r="Y194" i="3"/>
  <c r="Q193" i="3"/>
  <c r="V219" i="3"/>
  <c r="AB215" i="3"/>
  <c r="R212" i="3"/>
  <c r="M200" i="3"/>
  <c r="V198" i="3"/>
  <c r="I197" i="3"/>
  <c r="AB195" i="3"/>
  <c r="Q194" i="3"/>
  <c r="P193" i="3"/>
  <c r="V202" i="3"/>
  <c r="K198" i="3"/>
  <c r="P194" i="3"/>
  <c r="G219" i="3"/>
  <c r="P202" i="3"/>
  <c r="H194" i="3"/>
  <c r="Q212" i="3"/>
  <c r="O205" i="3"/>
  <c r="Z196" i="3"/>
  <c r="H193" i="3"/>
  <c r="G205" i="3"/>
  <c r="L200" i="3"/>
  <c r="R195" i="3"/>
  <c r="G209" i="3"/>
  <c r="P195" i="3"/>
  <c r="AB214" i="3"/>
  <c r="U198" i="3"/>
  <c r="AM34" i="1"/>
  <c r="AC111" i="3"/>
  <c r="U111" i="3"/>
  <c r="M111" i="3"/>
  <c r="AF110" i="3"/>
  <c r="X110" i="3"/>
  <c r="P110" i="3"/>
  <c r="H110" i="3"/>
  <c r="AA109" i="3"/>
  <c r="S109" i="3"/>
  <c r="K109" i="3"/>
  <c r="AD108" i="3"/>
  <c r="V108" i="3"/>
  <c r="N108" i="3"/>
  <c r="Y107" i="3"/>
  <c r="AA111" i="3"/>
  <c r="S111" i="3"/>
  <c r="K111" i="3"/>
  <c r="AD110" i="3"/>
  <c r="V110" i="3"/>
  <c r="N110" i="3"/>
  <c r="Y109" i="3"/>
  <c r="Q109" i="3"/>
  <c r="I109" i="3"/>
  <c r="AB108" i="3"/>
  <c r="T108" i="3"/>
  <c r="L108" i="3"/>
  <c r="AE107" i="3"/>
  <c r="W107" i="3"/>
  <c r="O107" i="3"/>
  <c r="G107" i="3"/>
  <c r="Z106" i="3"/>
  <c r="R106" i="3"/>
  <c r="J106" i="3"/>
  <c r="AC105" i="3"/>
  <c r="U105" i="3"/>
  <c r="M105" i="3"/>
  <c r="AF104" i="3"/>
  <c r="X104" i="3"/>
  <c r="P104" i="3"/>
  <c r="H104" i="3"/>
  <c r="AA103" i="3"/>
  <c r="S103" i="3"/>
  <c r="K103" i="3"/>
  <c r="AD102" i="3"/>
  <c r="V102" i="3"/>
  <c r="N102" i="3"/>
  <c r="Y101" i="3"/>
  <c r="Q101" i="3"/>
  <c r="I101" i="3"/>
  <c r="AB100" i="3"/>
  <c r="T100" i="3"/>
  <c r="L100" i="3"/>
  <c r="AE99" i="3"/>
  <c r="W99" i="3"/>
  <c r="O99" i="3"/>
  <c r="G99" i="3"/>
  <c r="Z98" i="3"/>
  <c r="R98" i="3"/>
  <c r="J98" i="3"/>
  <c r="AC97" i="3"/>
  <c r="U97" i="3"/>
  <c r="M97" i="3"/>
  <c r="AF96" i="3"/>
  <c r="X96" i="3"/>
  <c r="P96" i="3"/>
  <c r="H96" i="3"/>
  <c r="AA95" i="3"/>
  <c r="S95" i="3"/>
  <c r="K95" i="3"/>
  <c r="Z111" i="3"/>
  <c r="R111" i="3"/>
  <c r="J111" i="3"/>
  <c r="AC110" i="3"/>
  <c r="U110" i="3"/>
  <c r="M110" i="3"/>
  <c r="AF109" i="3"/>
  <c r="X109" i="3"/>
  <c r="Y111" i="3"/>
  <c r="Q111" i="3"/>
  <c r="I111" i="3"/>
  <c r="AB110" i="3"/>
  <c r="T110" i="3"/>
  <c r="L110" i="3"/>
  <c r="AE109" i="3"/>
  <c r="W109" i="3"/>
  <c r="O109" i="3"/>
  <c r="G109" i="3"/>
  <c r="Z108" i="3"/>
  <c r="R108" i="3"/>
  <c r="J108" i="3"/>
  <c r="AC107" i="3"/>
  <c r="U107" i="3"/>
  <c r="M107" i="3"/>
  <c r="AF106" i="3"/>
  <c r="X106" i="3"/>
  <c r="P106" i="3"/>
  <c r="H106" i="3"/>
  <c r="AA105" i="3"/>
  <c r="S105" i="3"/>
  <c r="K105" i="3"/>
  <c r="AD104" i="3"/>
  <c r="V104" i="3"/>
  <c r="N104" i="3"/>
  <c r="Y103" i="3"/>
  <c r="Q103" i="3"/>
  <c r="I103" i="3"/>
  <c r="AB102" i="3"/>
  <c r="T102" i="3"/>
  <c r="L102" i="3"/>
  <c r="AE101" i="3"/>
  <c r="W101" i="3"/>
  <c r="O101" i="3"/>
  <c r="G101" i="3"/>
  <c r="Z100" i="3"/>
  <c r="R100" i="3"/>
  <c r="J100" i="3"/>
  <c r="AC99" i="3"/>
  <c r="U99" i="3"/>
  <c r="M99" i="3"/>
  <c r="AF111" i="3"/>
  <c r="X111" i="3"/>
  <c r="P111" i="3"/>
  <c r="H111" i="3"/>
  <c r="AA110" i="3"/>
  <c r="S110" i="3"/>
  <c r="K110" i="3"/>
  <c r="AD109" i="3"/>
  <c r="V109" i="3"/>
  <c r="N109" i="3"/>
  <c r="Y108" i="3"/>
  <c r="Q108" i="3"/>
  <c r="I108" i="3"/>
  <c r="AB107" i="3"/>
  <c r="T107" i="3"/>
  <c r="L107" i="3"/>
  <c r="AE106" i="3"/>
  <c r="W106" i="3"/>
  <c r="O106" i="3"/>
  <c r="G106" i="3"/>
  <c r="Z105" i="3"/>
  <c r="R105" i="3"/>
  <c r="AB111" i="3"/>
  <c r="J110" i="3"/>
  <c r="T109" i="3"/>
  <c r="AF108" i="3"/>
  <c r="P108" i="3"/>
  <c r="AD107" i="3"/>
  <c r="P107" i="3"/>
  <c r="AC106" i="3"/>
  <c r="Q106" i="3"/>
  <c r="AE105" i="3"/>
  <c r="Q105" i="3"/>
  <c r="G105" i="3"/>
  <c r="W104" i="3"/>
  <c r="L104" i="3"/>
  <c r="AD103" i="3"/>
  <c r="T103" i="3"/>
  <c r="H103" i="3"/>
  <c r="Y102" i="3"/>
  <c r="O102" i="3"/>
  <c r="AF101" i="3"/>
  <c r="U101" i="3"/>
  <c r="K101" i="3"/>
  <c r="AA100" i="3"/>
  <c r="P100" i="3"/>
  <c r="V99" i="3"/>
  <c r="K99" i="3"/>
  <c r="AC98" i="3"/>
  <c r="T98" i="3"/>
  <c r="K98" i="3"/>
  <c r="AB97" i="3"/>
  <c r="S97" i="3"/>
  <c r="J97" i="3"/>
  <c r="AB96" i="3"/>
  <c r="S96" i="3"/>
  <c r="J96" i="3"/>
  <c r="AB95" i="3"/>
  <c r="R95" i="3"/>
  <c r="I95" i="3"/>
  <c r="AB94" i="3"/>
  <c r="T94" i="3"/>
  <c r="L94" i="3"/>
  <c r="AE93" i="3"/>
  <c r="W93" i="3"/>
  <c r="O93" i="3"/>
  <c r="G93" i="3"/>
  <c r="Z92" i="3"/>
  <c r="R92" i="3"/>
  <c r="J92" i="3"/>
  <c r="AC91" i="3"/>
  <c r="U91" i="3"/>
  <c r="M91" i="3"/>
  <c r="AF90" i="3"/>
  <c r="X90" i="3"/>
  <c r="P90" i="3"/>
  <c r="H90" i="3"/>
  <c r="AA89" i="3"/>
  <c r="S89" i="3"/>
  <c r="K89" i="3"/>
  <c r="AD88" i="3"/>
  <c r="V88" i="3"/>
  <c r="N88" i="3"/>
  <c r="Y87" i="3"/>
  <c r="Q87" i="3"/>
  <c r="I87" i="3"/>
  <c r="AB86" i="3"/>
  <c r="T86" i="3"/>
  <c r="L86" i="3"/>
  <c r="AE85" i="3"/>
  <c r="W85" i="3"/>
  <c r="O85" i="3"/>
  <c r="G85" i="3"/>
  <c r="W111" i="3"/>
  <c r="AE110" i="3"/>
  <c r="I110" i="3"/>
  <c r="R109" i="3"/>
  <c r="AE108" i="3"/>
  <c r="O108" i="3"/>
  <c r="AA107" i="3"/>
  <c r="N107" i="3"/>
  <c r="AB106" i="3"/>
  <c r="N106" i="3"/>
  <c r="AD105" i="3"/>
  <c r="P105" i="3"/>
  <c r="U104" i="3"/>
  <c r="K104" i="3"/>
  <c r="AC103" i="3"/>
  <c r="R103" i="3"/>
  <c r="G103" i="3"/>
  <c r="X102" i="3"/>
  <c r="M102" i="3"/>
  <c r="AD101" i="3"/>
  <c r="T101" i="3"/>
  <c r="J101" i="3"/>
  <c r="Y100" i="3"/>
  <c r="O100" i="3"/>
  <c r="AF99" i="3"/>
  <c r="T99" i="3"/>
  <c r="J99" i="3"/>
  <c r="AB98" i="3"/>
  <c r="S98" i="3"/>
  <c r="I98" i="3"/>
  <c r="AA97" i="3"/>
  <c r="R97" i="3"/>
  <c r="I97" i="3"/>
  <c r="AA96" i="3"/>
  <c r="R96" i="3"/>
  <c r="I96" i="3"/>
  <c r="Z95" i="3"/>
  <c r="Q95" i="3"/>
  <c r="H95" i="3"/>
  <c r="AA94" i="3"/>
  <c r="S94" i="3"/>
  <c r="K94" i="3"/>
  <c r="AD93" i="3"/>
  <c r="V93" i="3"/>
  <c r="N93" i="3"/>
  <c r="Y92" i="3"/>
  <c r="Q92" i="3"/>
  <c r="I92" i="3"/>
  <c r="AB91" i="3"/>
  <c r="T91" i="3"/>
  <c r="L91" i="3"/>
  <c r="AE90" i="3"/>
  <c r="W90" i="3"/>
  <c r="O90" i="3"/>
  <c r="G90" i="3"/>
  <c r="Z89" i="3"/>
  <c r="R89" i="3"/>
  <c r="J89" i="3"/>
  <c r="AC88" i="3"/>
  <c r="U88" i="3"/>
  <c r="M88" i="3"/>
  <c r="AF87" i="3"/>
  <c r="X87" i="3"/>
  <c r="P87" i="3"/>
  <c r="H87" i="3"/>
  <c r="AA86" i="3"/>
  <c r="S86" i="3"/>
  <c r="K86" i="3"/>
  <c r="AD85" i="3"/>
  <c r="V85" i="3"/>
  <c r="N85" i="3"/>
  <c r="V111" i="3"/>
  <c r="Z110" i="3"/>
  <c r="G110" i="3"/>
  <c r="P109" i="3"/>
  <c r="AC108" i="3"/>
  <c r="M108" i="3"/>
  <c r="Z107" i="3"/>
  <c r="K107" i="3"/>
  <c r="AA106" i="3"/>
  <c r="M106" i="3"/>
  <c r="AB105" i="3"/>
  <c r="O105" i="3"/>
  <c r="AE104" i="3"/>
  <c r="T104" i="3"/>
  <c r="J104" i="3"/>
  <c r="AB103" i="3"/>
  <c r="P103" i="3"/>
  <c r="W102" i="3"/>
  <c r="K102" i="3"/>
  <c r="AC101" i="3"/>
  <c r="S101" i="3"/>
  <c r="H101" i="3"/>
  <c r="X100" i="3"/>
  <c r="N100" i="3"/>
  <c r="AD99" i="3"/>
  <c r="S99" i="3"/>
  <c r="I99" i="3"/>
  <c r="AA98" i="3"/>
  <c r="Q98" i="3"/>
  <c r="H98" i="3"/>
  <c r="Z97" i="3"/>
  <c r="Q97" i="3"/>
  <c r="H97" i="3"/>
  <c r="Z96" i="3"/>
  <c r="Q96" i="3"/>
  <c r="G96" i="3"/>
  <c r="Y95" i="3"/>
  <c r="P95" i="3"/>
  <c r="G95" i="3"/>
  <c r="Z94" i="3"/>
  <c r="R94" i="3"/>
  <c r="J94" i="3"/>
  <c r="AC93" i="3"/>
  <c r="U93" i="3"/>
  <c r="M93" i="3"/>
  <c r="AF92" i="3"/>
  <c r="X92" i="3"/>
  <c r="P92" i="3"/>
  <c r="H92" i="3"/>
  <c r="AA91" i="3"/>
  <c r="S91" i="3"/>
  <c r="K91" i="3"/>
  <c r="AD90" i="3"/>
  <c r="V90" i="3"/>
  <c r="N90" i="3"/>
  <c r="Y89" i="3"/>
  <c r="Q89" i="3"/>
  <c r="I89" i="3"/>
  <c r="AB88" i="3"/>
  <c r="T88" i="3"/>
  <c r="L88" i="3"/>
  <c r="AE87" i="3"/>
  <c r="W87" i="3"/>
  <c r="O87" i="3"/>
  <c r="G87" i="3"/>
  <c r="Z86" i="3"/>
  <c r="R86" i="3"/>
  <c r="J86" i="3"/>
  <c r="AC85" i="3"/>
  <c r="U85" i="3"/>
  <c r="M85" i="3"/>
  <c r="T111" i="3"/>
  <c r="Y110" i="3"/>
  <c r="M109" i="3"/>
  <c r="AA108" i="3"/>
  <c r="K108" i="3"/>
  <c r="X107" i="3"/>
  <c r="J107" i="3"/>
  <c r="Y106" i="3"/>
  <c r="L106" i="3"/>
  <c r="Y105" i="3"/>
  <c r="N105" i="3"/>
  <c r="AC104" i="3"/>
  <c r="S104" i="3"/>
  <c r="I104" i="3"/>
  <c r="Z103" i="3"/>
  <c r="O103" i="3"/>
  <c r="AF102" i="3"/>
  <c r="U102" i="3"/>
  <c r="J102" i="3"/>
  <c r="AB101" i="3"/>
  <c r="R101" i="3"/>
  <c r="W100" i="3"/>
  <c r="M100" i="3"/>
  <c r="AB99" i="3"/>
  <c r="R99" i="3"/>
  <c r="H99" i="3"/>
  <c r="Y98" i="3"/>
  <c r="P98" i="3"/>
  <c r="G98" i="3"/>
  <c r="Y97" i="3"/>
  <c r="P97" i="3"/>
  <c r="G97" i="3"/>
  <c r="Y96" i="3"/>
  <c r="O96" i="3"/>
  <c r="X95" i="3"/>
  <c r="O95" i="3"/>
  <c r="Y94" i="3"/>
  <c r="Q94" i="3"/>
  <c r="I94" i="3"/>
  <c r="AB93" i="3"/>
  <c r="T93" i="3"/>
  <c r="L93" i="3"/>
  <c r="AE92" i="3"/>
  <c r="W92" i="3"/>
  <c r="O92" i="3"/>
  <c r="G92" i="3"/>
  <c r="Z91" i="3"/>
  <c r="R91" i="3"/>
  <c r="J91" i="3"/>
  <c r="AC90" i="3"/>
  <c r="U90" i="3"/>
  <c r="M90" i="3"/>
  <c r="AF89" i="3"/>
  <c r="X89" i="3"/>
  <c r="P89" i="3"/>
  <c r="H89" i="3"/>
  <c r="AA88" i="3"/>
  <c r="S88" i="3"/>
  <c r="K88" i="3"/>
  <c r="AD87" i="3"/>
  <c r="V87" i="3"/>
  <c r="N87" i="3"/>
  <c r="Y86" i="3"/>
  <c r="Q86" i="3"/>
  <c r="I86" i="3"/>
  <c r="AB85" i="3"/>
  <c r="T85" i="3"/>
  <c r="L85" i="3"/>
  <c r="O111" i="3"/>
  <c r="W110" i="3"/>
  <c r="AC109" i="3"/>
  <c r="L109" i="3"/>
  <c r="X108" i="3"/>
  <c r="H108" i="3"/>
  <c r="V107" i="3"/>
  <c r="I107" i="3"/>
  <c r="V106" i="3"/>
  <c r="K106" i="3"/>
  <c r="X105" i="3"/>
  <c r="L105" i="3"/>
  <c r="AB104" i="3"/>
  <c r="R104" i="3"/>
  <c r="G104" i="3"/>
  <c r="X103" i="3"/>
  <c r="N103" i="3"/>
  <c r="AE102" i="3"/>
  <c r="S102" i="3"/>
  <c r="I102" i="3"/>
  <c r="AA101" i="3"/>
  <c r="P101" i="3"/>
  <c r="AF100" i="3"/>
  <c r="V100" i="3"/>
  <c r="K100" i="3"/>
  <c r="AA99" i="3"/>
  <c r="Q99" i="3"/>
  <c r="X98" i="3"/>
  <c r="O98" i="3"/>
  <c r="X97" i="3"/>
  <c r="O97" i="3"/>
  <c r="W96" i="3"/>
  <c r="N96" i="3"/>
  <c r="AF95" i="3"/>
  <c r="W95" i="3"/>
  <c r="N95" i="3"/>
  <c r="AF94" i="3"/>
  <c r="X94" i="3"/>
  <c r="P94" i="3"/>
  <c r="H94" i="3"/>
  <c r="AA93" i="3"/>
  <c r="S93" i="3"/>
  <c r="K93" i="3"/>
  <c r="AD92" i="3"/>
  <c r="V92" i="3"/>
  <c r="N92" i="3"/>
  <c r="Y91" i="3"/>
  <c r="Q91" i="3"/>
  <c r="I91" i="3"/>
  <c r="AB90" i="3"/>
  <c r="T90" i="3"/>
  <c r="L90" i="3"/>
  <c r="AE89" i="3"/>
  <c r="W89" i="3"/>
  <c r="O89" i="3"/>
  <c r="G89" i="3"/>
  <c r="Z88" i="3"/>
  <c r="R88" i="3"/>
  <c r="J88" i="3"/>
  <c r="AC87" i="3"/>
  <c r="U87" i="3"/>
  <c r="M87" i="3"/>
  <c r="AF86" i="3"/>
  <c r="X86" i="3"/>
  <c r="P86" i="3"/>
  <c r="H86" i="3"/>
  <c r="AA85" i="3"/>
  <c r="S85" i="3"/>
  <c r="K85" i="3"/>
  <c r="N111" i="3"/>
  <c r="R110" i="3"/>
  <c r="AB109" i="3"/>
  <c r="J109" i="3"/>
  <c r="W108" i="3"/>
  <c r="G108" i="3"/>
  <c r="S107" i="3"/>
  <c r="H107" i="3"/>
  <c r="U106" i="3"/>
  <c r="I106" i="3"/>
  <c r="W105" i="3"/>
  <c r="J105" i="3"/>
  <c r="AA104" i="3"/>
  <c r="Q104" i="3"/>
  <c r="W103" i="3"/>
  <c r="M103" i="3"/>
  <c r="AC102" i="3"/>
  <c r="R102" i="3"/>
  <c r="H102" i="3"/>
  <c r="Z101" i="3"/>
  <c r="N101" i="3"/>
  <c r="AE100" i="3"/>
  <c r="U100" i="3"/>
  <c r="I100" i="3"/>
  <c r="Z99" i="3"/>
  <c r="P99" i="3"/>
  <c r="AF98" i="3"/>
  <c r="W98" i="3"/>
  <c r="N98" i="3"/>
  <c r="AF97" i="3"/>
  <c r="W97" i="3"/>
  <c r="N97" i="3"/>
  <c r="AE96" i="3"/>
  <c r="V96" i="3"/>
  <c r="M96" i="3"/>
  <c r="AE95" i="3"/>
  <c r="V95" i="3"/>
  <c r="M95" i="3"/>
  <c r="AE94" i="3"/>
  <c r="W94" i="3"/>
  <c r="O94" i="3"/>
  <c r="G94" i="3"/>
  <c r="Z93" i="3"/>
  <c r="R93" i="3"/>
  <c r="J93" i="3"/>
  <c r="AC92" i="3"/>
  <c r="U92" i="3"/>
  <c r="M92" i="3"/>
  <c r="AF91" i="3"/>
  <c r="X91" i="3"/>
  <c r="P91" i="3"/>
  <c r="H91" i="3"/>
  <c r="AA90" i="3"/>
  <c r="S90" i="3"/>
  <c r="K90" i="3"/>
  <c r="AD89" i="3"/>
  <c r="V89" i="3"/>
  <c r="N89" i="3"/>
  <c r="Y88" i="3"/>
  <c r="Q88" i="3"/>
  <c r="I88" i="3"/>
  <c r="AB87" i="3"/>
  <c r="T87" i="3"/>
  <c r="L87" i="3"/>
  <c r="AE86" i="3"/>
  <c r="W86" i="3"/>
  <c r="O86" i="3"/>
  <c r="G86" i="3"/>
  <c r="Z85" i="3"/>
  <c r="R85" i="3"/>
  <c r="J85" i="3"/>
  <c r="G111" i="3"/>
  <c r="AD106" i="3"/>
  <c r="H105" i="3"/>
  <c r="AE103" i="3"/>
  <c r="Q102" i="3"/>
  <c r="Y99" i="3"/>
  <c r="U98" i="3"/>
  <c r="L97" i="3"/>
  <c r="K96" i="3"/>
  <c r="AF93" i="3"/>
  <c r="AB92" i="3"/>
  <c r="AD91" i="3"/>
  <c r="Y90" i="3"/>
  <c r="U89" i="3"/>
  <c r="W88" i="3"/>
  <c r="S87" i="3"/>
  <c r="U86" i="3"/>
  <c r="P85" i="3"/>
  <c r="U108" i="3"/>
  <c r="T106" i="3"/>
  <c r="V103" i="3"/>
  <c r="P102" i="3"/>
  <c r="AD100" i="3"/>
  <c r="X99" i="3"/>
  <c r="M98" i="3"/>
  <c r="K97" i="3"/>
  <c r="AD94" i="3"/>
  <c r="Y93" i="3"/>
  <c r="AA92" i="3"/>
  <c r="W91" i="3"/>
  <c r="R90" i="3"/>
  <c r="T89" i="3"/>
  <c r="P88" i="3"/>
  <c r="R87" i="3"/>
  <c r="N86" i="3"/>
  <c r="I85" i="3"/>
  <c r="Q110" i="3"/>
  <c r="S108" i="3"/>
  <c r="S106" i="3"/>
  <c r="Z104" i="3"/>
  <c r="U103" i="3"/>
  <c r="G102" i="3"/>
  <c r="AC100" i="3"/>
  <c r="N99" i="3"/>
  <c r="L98" i="3"/>
  <c r="AD95" i="3"/>
  <c r="AC94" i="3"/>
  <c r="X93" i="3"/>
  <c r="T92" i="3"/>
  <c r="V91" i="3"/>
  <c r="Q90" i="3"/>
  <c r="M89" i="3"/>
  <c r="O88" i="3"/>
  <c r="K87" i="3"/>
  <c r="M86" i="3"/>
  <c r="H85" i="3"/>
  <c r="O110" i="3"/>
  <c r="Y104" i="3"/>
  <c r="L103" i="3"/>
  <c r="S100" i="3"/>
  <c r="L99" i="3"/>
  <c r="AD96" i="3"/>
  <c r="AC95" i="3"/>
  <c r="V94" i="3"/>
  <c r="Q93" i="3"/>
  <c r="S92" i="3"/>
  <c r="O91" i="3"/>
  <c r="J90" i="3"/>
  <c r="L89" i="3"/>
  <c r="H88" i="3"/>
  <c r="J87" i="3"/>
  <c r="AF107" i="3"/>
  <c r="AF105" i="3"/>
  <c r="O104" i="3"/>
  <c r="J103" i="3"/>
  <c r="X101" i="3"/>
  <c r="Q100" i="3"/>
  <c r="AE97" i="3"/>
  <c r="AC96" i="3"/>
  <c r="U95" i="3"/>
  <c r="U94" i="3"/>
  <c r="P93" i="3"/>
  <c r="L92" i="3"/>
  <c r="N91" i="3"/>
  <c r="I90" i="3"/>
  <c r="G88" i="3"/>
  <c r="AF85" i="3"/>
  <c r="AE111" i="3"/>
  <c r="Z109" i="3"/>
  <c r="R107" i="3"/>
  <c r="V105" i="3"/>
  <c r="M104" i="3"/>
  <c r="V101" i="3"/>
  <c r="H100" i="3"/>
  <c r="AE98" i="3"/>
  <c r="AD97" i="3"/>
  <c r="U96" i="3"/>
  <c r="T95" i="3"/>
  <c r="N94" i="3"/>
  <c r="I93" i="3"/>
  <c r="K92" i="3"/>
  <c r="G91" i="3"/>
  <c r="AF88" i="3"/>
  <c r="AD86" i="3"/>
  <c r="Y85" i="3"/>
  <c r="AD111" i="3"/>
  <c r="Q107" i="3"/>
  <c r="T96" i="3"/>
  <c r="H93" i="3"/>
  <c r="AB89" i="3"/>
  <c r="AC86" i="3"/>
  <c r="L111" i="3"/>
  <c r="AA102" i="3"/>
  <c r="L96" i="3"/>
  <c r="V86" i="3"/>
  <c r="Z102" i="3"/>
  <c r="AD98" i="3"/>
  <c r="AE88" i="3"/>
  <c r="T105" i="3"/>
  <c r="V98" i="3"/>
  <c r="L95" i="3"/>
  <c r="AE91" i="3"/>
  <c r="X88" i="3"/>
  <c r="X85" i="3"/>
  <c r="U109" i="3"/>
  <c r="I105" i="3"/>
  <c r="M101" i="3"/>
  <c r="J95" i="3"/>
  <c r="Q85" i="3"/>
  <c r="H109" i="3"/>
  <c r="L101" i="3"/>
  <c r="V97" i="3"/>
  <c r="Z90" i="3"/>
  <c r="AA87" i="3"/>
  <c r="AC89" i="3"/>
  <c r="G100" i="3"/>
  <c r="M94" i="3"/>
  <c r="Z87" i="3"/>
  <c r="T97" i="3"/>
  <c r="AF103" i="3"/>
  <c r="AX33" i="1"/>
  <c r="AU34" i="1"/>
  <c r="AR35" i="1"/>
  <c r="X36" i="1"/>
  <c r="AB37" i="1"/>
  <c r="BF39" i="1"/>
  <c r="AB165" i="3"/>
  <c r="T165" i="3"/>
  <c r="L165" i="3"/>
  <c r="AE164" i="3"/>
  <c r="W164" i="3"/>
  <c r="O164" i="3"/>
  <c r="G164" i="3"/>
  <c r="Z163" i="3"/>
  <c r="R163" i="3"/>
  <c r="J163" i="3"/>
  <c r="AC162" i="3"/>
  <c r="U162" i="3"/>
  <c r="M162" i="3"/>
  <c r="AF161" i="3"/>
  <c r="X161" i="3"/>
  <c r="P161" i="3"/>
  <c r="H161" i="3"/>
  <c r="AA160" i="3"/>
  <c r="S160" i="3"/>
  <c r="K160" i="3"/>
  <c r="AD159" i="3"/>
  <c r="V159" i="3"/>
  <c r="N159" i="3"/>
  <c r="Y158" i="3"/>
  <c r="Q158" i="3"/>
  <c r="I158" i="3"/>
  <c r="AB157" i="3"/>
  <c r="T157" i="3"/>
  <c r="AE165" i="3"/>
  <c r="V165" i="3"/>
  <c r="AD165" i="3"/>
  <c r="U165" i="3"/>
  <c r="AC165" i="3"/>
  <c r="S165" i="3"/>
  <c r="J165" i="3"/>
  <c r="AB164" i="3"/>
  <c r="AA165" i="3"/>
  <c r="R165" i="3"/>
  <c r="I165" i="3"/>
  <c r="AA164" i="3"/>
  <c r="Y165" i="3"/>
  <c r="P165" i="3"/>
  <c r="G165" i="3"/>
  <c r="Y164" i="3"/>
  <c r="P164" i="3"/>
  <c r="X163" i="3"/>
  <c r="O163" i="3"/>
  <c r="X162" i="3"/>
  <c r="O162" i="3"/>
  <c r="W161" i="3"/>
  <c r="N161" i="3"/>
  <c r="AF160" i="3"/>
  <c r="W160" i="3"/>
  <c r="N160" i="3"/>
  <c r="AF159" i="3"/>
  <c r="W159" i="3"/>
  <c r="M159" i="3"/>
  <c r="AF158" i="3"/>
  <c r="W158" i="3"/>
  <c r="N158" i="3"/>
  <c r="AF157" i="3"/>
  <c r="W157" i="3"/>
  <c r="N157" i="3"/>
  <c r="Y156" i="3"/>
  <c r="Q156" i="3"/>
  <c r="I156" i="3"/>
  <c r="AB155" i="3"/>
  <c r="T155" i="3"/>
  <c r="L155" i="3"/>
  <c r="AE154" i="3"/>
  <c r="W154" i="3"/>
  <c r="Q165" i="3"/>
  <c r="AD164" i="3"/>
  <c r="R164" i="3"/>
  <c r="H164" i="3"/>
  <c r="Y163" i="3"/>
  <c r="N163" i="3"/>
  <c r="AF162" i="3"/>
  <c r="V162" i="3"/>
  <c r="K162" i="3"/>
  <c r="AC161" i="3"/>
  <c r="S161" i="3"/>
  <c r="I161" i="3"/>
  <c r="Y160" i="3"/>
  <c r="O160" i="3"/>
  <c r="AE159" i="3"/>
  <c r="T159" i="3"/>
  <c r="J159" i="3"/>
  <c r="AB158" i="3"/>
  <c r="R158" i="3"/>
  <c r="G158" i="3"/>
  <c r="X157" i="3"/>
  <c r="M157" i="3"/>
  <c r="AF156" i="3"/>
  <c r="W156" i="3"/>
  <c r="N156" i="3"/>
  <c r="AF155" i="3"/>
  <c r="W155" i="3"/>
  <c r="N155" i="3"/>
  <c r="AF154" i="3"/>
  <c r="V154" i="3"/>
  <c r="N154" i="3"/>
  <c r="Y153" i="3"/>
  <c r="Q153" i="3"/>
  <c r="I153" i="3"/>
  <c r="AB152" i="3"/>
  <c r="T152" i="3"/>
  <c r="L152" i="3"/>
  <c r="AE151" i="3"/>
  <c r="W151" i="3"/>
  <c r="O151" i="3"/>
  <c r="G151" i="3"/>
  <c r="Z150" i="3"/>
  <c r="R150" i="3"/>
  <c r="J150" i="3"/>
  <c r="AC149" i="3"/>
  <c r="U149" i="3"/>
  <c r="M149" i="3"/>
  <c r="AF148" i="3"/>
  <c r="X148" i="3"/>
  <c r="P148" i="3"/>
  <c r="H148" i="3"/>
  <c r="AA147" i="3"/>
  <c r="S147" i="3"/>
  <c r="K147" i="3"/>
  <c r="AD146" i="3"/>
  <c r="V146" i="3"/>
  <c r="N146" i="3"/>
  <c r="Y145" i="3"/>
  <c r="Q145" i="3"/>
  <c r="I145" i="3"/>
  <c r="AB144" i="3"/>
  <c r="T144" i="3"/>
  <c r="L144" i="3"/>
  <c r="AE143" i="3"/>
  <c r="W143" i="3"/>
  <c r="O143" i="3"/>
  <c r="O165" i="3"/>
  <c r="AC164" i="3"/>
  <c r="Q164" i="3"/>
  <c r="W163" i="3"/>
  <c r="M163" i="3"/>
  <c r="AE162" i="3"/>
  <c r="T162" i="3"/>
  <c r="J162" i="3"/>
  <c r="AB161" i="3"/>
  <c r="R161" i="3"/>
  <c r="G161" i="3"/>
  <c r="X160" i="3"/>
  <c r="M160" i="3"/>
  <c r="AC159" i="3"/>
  <c r="S159" i="3"/>
  <c r="I159" i="3"/>
  <c r="AA158" i="3"/>
  <c r="P158" i="3"/>
  <c r="V157" i="3"/>
  <c r="L157" i="3"/>
  <c r="AE156" i="3"/>
  <c r="V156" i="3"/>
  <c r="M156" i="3"/>
  <c r="AE155" i="3"/>
  <c r="V155" i="3"/>
  <c r="M155" i="3"/>
  <c r="AD154" i="3"/>
  <c r="U154" i="3"/>
  <c r="M154" i="3"/>
  <c r="AF153" i="3"/>
  <c r="X153" i="3"/>
  <c r="P153" i="3"/>
  <c r="H153" i="3"/>
  <c r="AA152" i="3"/>
  <c r="S152" i="3"/>
  <c r="K152" i="3"/>
  <c r="AD151" i="3"/>
  <c r="V151" i="3"/>
  <c r="N151" i="3"/>
  <c r="Y150" i="3"/>
  <c r="Q150" i="3"/>
  <c r="I150" i="3"/>
  <c r="AB149" i="3"/>
  <c r="T149" i="3"/>
  <c r="L149" i="3"/>
  <c r="AE148" i="3"/>
  <c r="W148" i="3"/>
  <c r="O148" i="3"/>
  <c r="G148" i="3"/>
  <c r="Z147" i="3"/>
  <c r="R147" i="3"/>
  <c r="J147" i="3"/>
  <c r="AC146" i="3"/>
  <c r="U146" i="3"/>
  <c r="M146" i="3"/>
  <c r="AF145" i="3"/>
  <c r="X145" i="3"/>
  <c r="P145" i="3"/>
  <c r="H145" i="3"/>
  <c r="AA144" i="3"/>
  <c r="S144" i="3"/>
  <c r="K144" i="3"/>
  <c r="AD143" i="3"/>
  <c r="V143" i="3"/>
  <c r="N143" i="3"/>
  <c r="N165" i="3"/>
  <c r="Z164" i="3"/>
  <c r="N164" i="3"/>
  <c r="AF163" i="3"/>
  <c r="V163" i="3"/>
  <c r="L163" i="3"/>
  <c r="AD162" i="3"/>
  <c r="S162" i="3"/>
  <c r="I162" i="3"/>
  <c r="AA161" i="3"/>
  <c r="Q161" i="3"/>
  <c r="V160" i="3"/>
  <c r="L160" i="3"/>
  <c r="AB159" i="3"/>
  <c r="R159" i="3"/>
  <c r="H159" i="3"/>
  <c r="Z158" i="3"/>
  <c r="O158" i="3"/>
  <c r="AE157" i="3"/>
  <c r="U157" i="3"/>
  <c r="K157" i="3"/>
  <c r="AD156" i="3"/>
  <c r="U156" i="3"/>
  <c r="L156" i="3"/>
  <c r="AD155" i="3"/>
  <c r="U155" i="3"/>
  <c r="K155" i="3"/>
  <c r="AC154" i="3"/>
  <c r="T154" i="3"/>
  <c r="L154" i="3"/>
  <c r="AE153" i="3"/>
  <c r="W153" i="3"/>
  <c r="O153" i="3"/>
  <c r="G153" i="3"/>
  <c r="Z152" i="3"/>
  <c r="R152" i="3"/>
  <c r="J152" i="3"/>
  <c r="AC151" i="3"/>
  <c r="U151" i="3"/>
  <c r="M151" i="3"/>
  <c r="AF150" i="3"/>
  <c r="X150" i="3"/>
  <c r="P150" i="3"/>
  <c r="H150" i="3"/>
  <c r="AA149" i="3"/>
  <c r="S149" i="3"/>
  <c r="K149" i="3"/>
  <c r="AD148" i="3"/>
  <c r="V148" i="3"/>
  <c r="N148" i="3"/>
  <c r="Y147" i="3"/>
  <c r="Q147" i="3"/>
  <c r="I147" i="3"/>
  <c r="AB146" i="3"/>
  <c r="T146" i="3"/>
  <c r="L146" i="3"/>
  <c r="AE145" i="3"/>
  <c r="W145" i="3"/>
  <c r="O145" i="3"/>
  <c r="G145" i="3"/>
  <c r="Z144" i="3"/>
  <c r="R144" i="3"/>
  <c r="J144" i="3"/>
  <c r="AC143" i="3"/>
  <c r="U143" i="3"/>
  <c r="M143" i="3"/>
  <c r="AF142" i="3"/>
  <c r="X142" i="3"/>
  <c r="P142" i="3"/>
  <c r="H142" i="3"/>
  <c r="AA141" i="3"/>
  <c r="S141" i="3"/>
  <c r="K141" i="3"/>
  <c r="M165" i="3"/>
  <c r="X164" i="3"/>
  <c r="M164" i="3"/>
  <c r="AE163" i="3"/>
  <c r="U163" i="3"/>
  <c r="K163" i="3"/>
  <c r="AB162" i="3"/>
  <c r="R162" i="3"/>
  <c r="H162" i="3"/>
  <c r="Z161" i="3"/>
  <c r="O161" i="3"/>
  <c r="AE160" i="3"/>
  <c r="U160" i="3"/>
  <c r="J160" i="3"/>
  <c r="AA159" i="3"/>
  <c r="Q159" i="3"/>
  <c r="G159" i="3"/>
  <c r="X158" i="3"/>
  <c r="M158" i="3"/>
  <c r="AD157" i="3"/>
  <c r="S157" i="3"/>
  <c r="J157" i="3"/>
  <c r="AC156" i="3"/>
  <c r="T156" i="3"/>
  <c r="K156" i="3"/>
  <c r="AC155" i="3"/>
  <c r="S155" i="3"/>
  <c r="J155" i="3"/>
  <c r="AB154" i="3"/>
  <c r="S154" i="3"/>
  <c r="K154" i="3"/>
  <c r="AD153" i="3"/>
  <c r="V153" i="3"/>
  <c r="N153" i="3"/>
  <c r="Y152" i="3"/>
  <c r="Q152" i="3"/>
  <c r="I152" i="3"/>
  <c r="AB151" i="3"/>
  <c r="T151" i="3"/>
  <c r="L151" i="3"/>
  <c r="AE150" i="3"/>
  <c r="W150" i="3"/>
  <c r="O150" i="3"/>
  <c r="G150" i="3"/>
  <c r="Z149" i="3"/>
  <c r="R149" i="3"/>
  <c r="J149" i="3"/>
  <c r="AC148" i="3"/>
  <c r="U148" i="3"/>
  <c r="M148" i="3"/>
  <c r="AF147" i="3"/>
  <c r="X147" i="3"/>
  <c r="P147" i="3"/>
  <c r="H147" i="3"/>
  <c r="AA146" i="3"/>
  <c r="S146" i="3"/>
  <c r="K146" i="3"/>
  <c r="AD145" i="3"/>
  <c r="V145" i="3"/>
  <c r="N145" i="3"/>
  <c r="Y144" i="3"/>
  <c r="Q144" i="3"/>
  <c r="I144" i="3"/>
  <c r="AB143" i="3"/>
  <c r="T143" i="3"/>
  <c r="L143" i="3"/>
  <c r="AF165" i="3"/>
  <c r="K165" i="3"/>
  <c r="V164" i="3"/>
  <c r="L164" i="3"/>
  <c r="AD163" i="3"/>
  <c r="T163" i="3"/>
  <c r="I163" i="3"/>
  <c r="AA162" i="3"/>
  <c r="Q162" i="3"/>
  <c r="G162" i="3"/>
  <c r="Y161" i="3"/>
  <c r="M161" i="3"/>
  <c r="AD160" i="3"/>
  <c r="T160" i="3"/>
  <c r="I160" i="3"/>
  <c r="Z159" i="3"/>
  <c r="P159" i="3"/>
  <c r="V158" i="3"/>
  <c r="L158" i="3"/>
  <c r="AC157" i="3"/>
  <c r="R157" i="3"/>
  <c r="I157" i="3"/>
  <c r="AB156" i="3"/>
  <c r="S156" i="3"/>
  <c r="J156" i="3"/>
  <c r="AA155" i="3"/>
  <c r="R155" i="3"/>
  <c r="I155" i="3"/>
  <c r="AA154" i="3"/>
  <c r="R154" i="3"/>
  <c r="J154" i="3"/>
  <c r="AC153" i="3"/>
  <c r="U153" i="3"/>
  <c r="M153" i="3"/>
  <c r="AF152" i="3"/>
  <c r="X152" i="3"/>
  <c r="P152" i="3"/>
  <c r="H152" i="3"/>
  <c r="AA151" i="3"/>
  <c r="S151" i="3"/>
  <c r="K151" i="3"/>
  <c r="AD150" i="3"/>
  <c r="V150" i="3"/>
  <c r="N150" i="3"/>
  <c r="Y149" i="3"/>
  <c r="Q149" i="3"/>
  <c r="I149" i="3"/>
  <c r="AB148" i="3"/>
  <c r="T148" i="3"/>
  <c r="L148" i="3"/>
  <c r="AE147" i="3"/>
  <c r="W147" i="3"/>
  <c r="O147" i="3"/>
  <c r="G147" i="3"/>
  <c r="Z146" i="3"/>
  <c r="R146" i="3"/>
  <c r="J146" i="3"/>
  <c r="AC145" i="3"/>
  <c r="U145" i="3"/>
  <c r="M145" i="3"/>
  <c r="AF144" i="3"/>
  <c r="X144" i="3"/>
  <c r="P144" i="3"/>
  <c r="H144" i="3"/>
  <c r="AA143" i="3"/>
  <c r="S143" i="3"/>
  <c r="K143" i="3"/>
  <c r="AD142" i="3"/>
  <c r="V142" i="3"/>
  <c r="N142" i="3"/>
  <c r="Y141" i="3"/>
  <c r="Q141" i="3"/>
  <c r="I141" i="3"/>
  <c r="Z165" i="3"/>
  <c r="H165" i="3"/>
  <c r="U164" i="3"/>
  <c r="K164" i="3"/>
  <c r="AC163" i="3"/>
  <c r="S163" i="3"/>
  <c r="H163" i="3"/>
  <c r="Z162" i="3"/>
  <c r="P162" i="3"/>
  <c r="V161" i="3"/>
  <c r="L161" i="3"/>
  <c r="AC160" i="3"/>
  <c r="R160" i="3"/>
  <c r="H160" i="3"/>
  <c r="Y159" i="3"/>
  <c r="O159" i="3"/>
  <c r="AE158" i="3"/>
  <c r="U158" i="3"/>
  <c r="K158" i="3"/>
  <c r="AA157" i="3"/>
  <c r="Q157" i="3"/>
  <c r="H157" i="3"/>
  <c r="AA156" i="3"/>
  <c r="R156" i="3"/>
  <c r="H156" i="3"/>
  <c r="Z155" i="3"/>
  <c r="Q155" i="3"/>
  <c r="H155" i="3"/>
  <c r="Z154" i="3"/>
  <c r="Q154" i="3"/>
  <c r="I154" i="3"/>
  <c r="AB153" i="3"/>
  <c r="T153" i="3"/>
  <c r="L153" i="3"/>
  <c r="AE152" i="3"/>
  <c r="W152" i="3"/>
  <c r="O152" i="3"/>
  <c r="G152" i="3"/>
  <c r="Z151" i="3"/>
  <c r="R151" i="3"/>
  <c r="J151" i="3"/>
  <c r="AC150" i="3"/>
  <c r="U150" i="3"/>
  <c r="M150" i="3"/>
  <c r="AF149" i="3"/>
  <c r="X149" i="3"/>
  <c r="P149" i="3"/>
  <c r="H149" i="3"/>
  <c r="AA148" i="3"/>
  <c r="S148" i="3"/>
  <c r="K148" i="3"/>
  <c r="AD147" i="3"/>
  <c r="V147" i="3"/>
  <c r="N147" i="3"/>
  <c r="Y146" i="3"/>
  <c r="Q146" i="3"/>
  <c r="I146" i="3"/>
  <c r="AB145" i="3"/>
  <c r="T145" i="3"/>
  <c r="L145" i="3"/>
  <c r="AE144" i="3"/>
  <c r="W144" i="3"/>
  <c r="O144" i="3"/>
  <c r="G144" i="3"/>
  <c r="Z143" i="3"/>
  <c r="R143" i="3"/>
  <c r="J143" i="3"/>
  <c r="AC142" i="3"/>
  <c r="U142" i="3"/>
  <c r="M142" i="3"/>
  <c r="AF141" i="3"/>
  <c r="X141" i="3"/>
  <c r="P141" i="3"/>
  <c r="H141" i="3"/>
  <c r="AA140" i="3"/>
  <c r="S140" i="3"/>
  <c r="K140" i="3"/>
  <c r="AD139" i="3"/>
  <c r="V139" i="3"/>
  <c r="N139" i="3"/>
  <c r="AA163" i="3"/>
  <c r="L162" i="3"/>
  <c r="U159" i="3"/>
  <c r="J158" i="3"/>
  <c r="X155" i="3"/>
  <c r="O154" i="3"/>
  <c r="K153" i="3"/>
  <c r="M152" i="3"/>
  <c r="H151" i="3"/>
  <c r="AC147" i="3"/>
  <c r="AE146" i="3"/>
  <c r="AA145" i="3"/>
  <c r="AC144" i="3"/>
  <c r="X143" i="3"/>
  <c r="AB142" i="3"/>
  <c r="Q142" i="3"/>
  <c r="AE141" i="3"/>
  <c r="T141" i="3"/>
  <c r="X140" i="3"/>
  <c r="O140" i="3"/>
  <c r="X139" i="3"/>
  <c r="O139" i="3"/>
  <c r="AF164" i="3"/>
  <c r="Q163" i="3"/>
  <c r="AB160" i="3"/>
  <c r="L159" i="3"/>
  <c r="H158" i="3"/>
  <c r="Z156" i="3"/>
  <c r="P155" i="3"/>
  <c r="H154" i="3"/>
  <c r="J153" i="3"/>
  <c r="AE149" i="3"/>
  <c r="Z148" i="3"/>
  <c r="AB147" i="3"/>
  <c r="X146" i="3"/>
  <c r="Z145" i="3"/>
  <c r="V144" i="3"/>
  <c r="Q143" i="3"/>
  <c r="AA142" i="3"/>
  <c r="O142" i="3"/>
  <c r="AD141" i="3"/>
  <c r="R141" i="3"/>
  <c r="AF140" i="3"/>
  <c r="W140" i="3"/>
  <c r="N140" i="3"/>
  <c r="AF139" i="3"/>
  <c r="W139" i="3"/>
  <c r="M139" i="3"/>
  <c r="T164" i="3"/>
  <c r="P163" i="3"/>
  <c r="AE161" i="3"/>
  <c r="Z160" i="3"/>
  <c r="K159" i="3"/>
  <c r="X156" i="3"/>
  <c r="O155" i="3"/>
  <c r="G154" i="3"/>
  <c r="AF151" i="3"/>
  <c r="AB150" i="3"/>
  <c r="AD149" i="3"/>
  <c r="Y148" i="3"/>
  <c r="U147" i="3"/>
  <c r="W146" i="3"/>
  <c r="S145" i="3"/>
  <c r="U144" i="3"/>
  <c r="P143" i="3"/>
  <c r="Z142" i="3"/>
  <c r="L142" i="3"/>
  <c r="AC141" i="3"/>
  <c r="O141" i="3"/>
  <c r="AE140" i="3"/>
  <c r="V140" i="3"/>
  <c r="M140" i="3"/>
  <c r="AE139" i="3"/>
  <c r="U139" i="3"/>
  <c r="L139" i="3"/>
  <c r="S164" i="3"/>
  <c r="G163" i="3"/>
  <c r="AD161" i="3"/>
  <c r="Q160" i="3"/>
  <c r="Z157" i="3"/>
  <c r="P156" i="3"/>
  <c r="G155" i="3"/>
  <c r="AD152" i="3"/>
  <c r="Y151" i="3"/>
  <c r="AA150" i="3"/>
  <c r="W149" i="3"/>
  <c r="R148" i="3"/>
  <c r="T147" i="3"/>
  <c r="P146" i="3"/>
  <c r="R145" i="3"/>
  <c r="N144" i="3"/>
  <c r="I143" i="3"/>
  <c r="Y142" i="3"/>
  <c r="K142" i="3"/>
  <c r="AB141" i="3"/>
  <c r="N141" i="3"/>
  <c r="AD140" i="3"/>
  <c r="U140" i="3"/>
  <c r="L140" i="3"/>
  <c r="AC139" i="3"/>
  <c r="T139" i="3"/>
  <c r="K139" i="3"/>
  <c r="J164" i="3"/>
  <c r="U161" i="3"/>
  <c r="P160" i="3"/>
  <c r="AD158" i="3"/>
  <c r="Y157" i="3"/>
  <c r="O156" i="3"/>
  <c r="AA153" i="3"/>
  <c r="AC152" i="3"/>
  <c r="X151" i="3"/>
  <c r="T150" i="3"/>
  <c r="V149" i="3"/>
  <c r="Q148" i="3"/>
  <c r="M147" i="3"/>
  <c r="O146" i="3"/>
  <c r="K145" i="3"/>
  <c r="M144" i="3"/>
  <c r="H143" i="3"/>
  <c r="W142" i="3"/>
  <c r="J142" i="3"/>
  <c r="Z141" i="3"/>
  <c r="M141" i="3"/>
  <c r="AC140" i="3"/>
  <c r="T140" i="3"/>
  <c r="J140" i="3"/>
  <c r="AB139" i="3"/>
  <c r="S139" i="3"/>
  <c r="J139" i="3"/>
  <c r="I164" i="3"/>
  <c r="Y162" i="3"/>
  <c r="T161" i="3"/>
  <c r="G160" i="3"/>
  <c r="AC158" i="3"/>
  <c r="P157" i="3"/>
  <c r="G156" i="3"/>
  <c r="Y154" i="3"/>
  <c r="Z153" i="3"/>
  <c r="V152" i="3"/>
  <c r="Q151" i="3"/>
  <c r="S150" i="3"/>
  <c r="O149" i="3"/>
  <c r="J148" i="3"/>
  <c r="L147" i="3"/>
  <c r="H146" i="3"/>
  <c r="J145" i="3"/>
  <c r="G143" i="3"/>
  <c r="T142" i="3"/>
  <c r="I142" i="3"/>
  <c r="W141" i="3"/>
  <c r="L141" i="3"/>
  <c r="AB140" i="3"/>
  <c r="R140" i="3"/>
  <c r="I140" i="3"/>
  <c r="AA139" i="3"/>
  <c r="R139" i="3"/>
  <c r="I139" i="3"/>
  <c r="W162" i="3"/>
  <c r="Y155" i="3"/>
  <c r="U152" i="3"/>
  <c r="G146" i="3"/>
  <c r="AE142" i="3"/>
  <c r="G141" i="3"/>
  <c r="N162" i="3"/>
  <c r="T158" i="3"/>
  <c r="N152" i="3"/>
  <c r="N149" i="3"/>
  <c r="S142" i="3"/>
  <c r="Z139" i="3"/>
  <c r="X165" i="3"/>
  <c r="S158" i="3"/>
  <c r="X154" i="3"/>
  <c r="G149" i="3"/>
  <c r="R142" i="3"/>
  <c r="Z140" i="3"/>
  <c r="Y139" i="3"/>
  <c r="W165" i="3"/>
  <c r="K161" i="3"/>
  <c r="P154" i="3"/>
  <c r="P151" i="3"/>
  <c r="AD144" i="3"/>
  <c r="G142" i="3"/>
  <c r="Y140" i="3"/>
  <c r="Q139" i="3"/>
  <c r="J161" i="3"/>
  <c r="O157" i="3"/>
  <c r="I151" i="3"/>
  <c r="I148" i="3"/>
  <c r="Q140" i="3"/>
  <c r="P139" i="3"/>
  <c r="G157" i="3"/>
  <c r="S153" i="3"/>
  <c r="AF143" i="3"/>
  <c r="V141" i="3"/>
  <c r="P140" i="3"/>
  <c r="H139" i="3"/>
  <c r="K150" i="3"/>
  <c r="G140" i="3"/>
  <c r="Y143" i="3"/>
  <c r="G139" i="3"/>
  <c r="R153" i="3"/>
  <c r="X159" i="3"/>
  <c r="U141" i="3"/>
  <c r="AF146" i="3"/>
  <c r="J141" i="3"/>
  <c r="H140" i="3"/>
  <c r="L150" i="3"/>
  <c r="R33" i="1"/>
  <c r="CD33" i="1"/>
  <c r="AE34" i="1"/>
  <c r="CA34" i="1"/>
  <c r="AB35" i="1"/>
  <c r="BX35" i="1"/>
  <c r="AN36" i="1"/>
  <c r="CG37" i="1"/>
  <c r="U33" i="1"/>
  <c r="AK33" i="1"/>
  <c r="BA33" i="1"/>
  <c r="BQ33" i="1"/>
  <c r="CG33" i="1"/>
  <c r="R34" i="1"/>
  <c r="AH34" i="1"/>
  <c r="AX34" i="1"/>
  <c r="BN34" i="1"/>
  <c r="CD34" i="1"/>
  <c r="O35" i="1"/>
  <c r="AE35" i="1"/>
  <c r="AU35" i="1"/>
  <c r="BK35" i="1"/>
  <c r="CA35" i="1"/>
  <c r="I36" i="1"/>
  <c r="Y36" i="1"/>
  <c r="AO36" i="1"/>
  <c r="BF36" i="1"/>
  <c r="CJ36" i="1"/>
  <c r="AF37" i="1"/>
  <c r="CE38" i="1"/>
  <c r="BW38" i="1"/>
  <c r="BO38" i="1"/>
  <c r="BG38" i="1"/>
  <c r="AY38" i="1"/>
  <c r="AQ38" i="1"/>
  <c r="AI38" i="1"/>
  <c r="AA38" i="1"/>
  <c r="S38" i="1"/>
  <c r="K38" i="1"/>
  <c r="CJ38" i="1"/>
  <c r="CB38" i="1"/>
  <c r="BT38" i="1"/>
  <c r="BL38" i="1"/>
  <c r="BD38" i="1"/>
  <c r="AV38" i="1"/>
  <c r="AN38" i="1"/>
  <c r="AF38" i="1"/>
  <c r="X38" i="1"/>
  <c r="P38" i="1"/>
  <c r="H38" i="1"/>
  <c r="CC38" i="1"/>
  <c r="BR38" i="1"/>
  <c r="BH38" i="1"/>
  <c r="AW38" i="1"/>
  <c r="AL38" i="1"/>
  <c r="AB38" i="1"/>
  <c r="Q38" i="1"/>
  <c r="BZ38" i="1"/>
  <c r="AT38" i="1"/>
  <c r="Y38" i="1"/>
  <c r="CA38" i="1"/>
  <c r="BQ38" i="1"/>
  <c r="BF38" i="1"/>
  <c r="AU38" i="1"/>
  <c r="AK38" i="1"/>
  <c r="Z38" i="1"/>
  <c r="O38" i="1"/>
  <c r="CK38" i="1"/>
  <c r="BE38" i="1"/>
  <c r="AJ38" i="1"/>
  <c r="N38" i="1"/>
  <c r="BP38" i="1"/>
  <c r="CH38" i="1"/>
  <c r="BX38" i="1"/>
  <c r="BM38" i="1"/>
  <c r="BB38" i="1"/>
  <c r="AR38" i="1"/>
  <c r="AG38" i="1"/>
  <c r="V38" i="1"/>
  <c r="L38" i="1"/>
  <c r="CG38" i="1"/>
  <c r="BV38" i="1"/>
  <c r="BK38" i="1"/>
  <c r="BA38" i="1"/>
  <c r="AP38" i="1"/>
  <c r="AE38" i="1"/>
  <c r="U38" i="1"/>
  <c r="J38" i="1"/>
  <c r="AH38" i="1"/>
  <c r="BJ38" i="1"/>
  <c r="CK39" i="1"/>
  <c r="AG39" i="1"/>
  <c r="S4" i="3"/>
  <c r="AC5" i="3"/>
  <c r="BS34" i="1"/>
  <c r="AW39" i="1"/>
  <c r="Q39" i="1"/>
  <c r="BV36" i="1"/>
  <c r="AD36" i="1"/>
  <c r="V36" i="1"/>
  <c r="N36" i="1"/>
  <c r="BG39" i="1"/>
  <c r="AA39" i="1"/>
  <c r="BK36" i="1"/>
  <c r="CC39" i="1"/>
  <c r="BR39" i="1"/>
  <c r="AL39" i="1"/>
  <c r="CF36" i="1"/>
  <c r="AH33" i="1"/>
  <c r="BN33" i="1"/>
  <c r="O34" i="1"/>
  <c r="BK34" i="1"/>
  <c r="L35" i="1"/>
  <c r="BH35" i="1"/>
  <c r="H36" i="1"/>
  <c r="BD36" i="1"/>
  <c r="CE36" i="1"/>
  <c r="BF37" i="1"/>
  <c r="AD38" i="1"/>
  <c r="BI38" i="1"/>
  <c r="CI38" i="1"/>
  <c r="AE39" i="1"/>
  <c r="CH39" i="1"/>
  <c r="Z5" i="3"/>
  <c r="Q31" i="3"/>
  <c r="AE30" i="3"/>
  <c r="W30" i="3"/>
  <c r="AD30" i="3"/>
  <c r="V30" i="3"/>
  <c r="N30" i="3"/>
  <c r="Y29" i="3"/>
  <c r="Q29" i="3"/>
  <c r="I29" i="3"/>
  <c r="AB28" i="3"/>
  <c r="T28" i="3"/>
  <c r="L28" i="3"/>
  <c r="AE27" i="3"/>
  <c r="W27" i="3"/>
  <c r="O27" i="3"/>
  <c r="Z30" i="3"/>
  <c r="R30" i="3"/>
  <c r="J30" i="3"/>
  <c r="AC29" i="3"/>
  <c r="U29" i="3"/>
  <c r="M29" i="3"/>
  <c r="AF28" i="3"/>
  <c r="X28" i="3"/>
  <c r="P28" i="3"/>
  <c r="H28" i="3"/>
  <c r="AA27" i="3"/>
  <c r="S27" i="3"/>
  <c r="K27" i="3"/>
  <c r="AC30" i="3"/>
  <c r="Q30" i="3"/>
  <c r="G30" i="3"/>
  <c r="X29" i="3"/>
  <c r="N29" i="3"/>
  <c r="AD28" i="3"/>
  <c r="S28" i="3"/>
  <c r="I28" i="3"/>
  <c r="Y27" i="3"/>
  <c r="N27" i="3"/>
  <c r="AB30" i="3"/>
  <c r="P30" i="3"/>
  <c r="W29" i="3"/>
  <c r="L29" i="3"/>
  <c r="AC28" i="3"/>
  <c r="R28" i="3"/>
  <c r="G28" i="3"/>
  <c r="X27" i="3"/>
  <c r="M27" i="3"/>
  <c r="Y4" i="3"/>
  <c r="Q4" i="3"/>
  <c r="I4" i="3"/>
  <c r="AA30" i="3"/>
  <c r="O30" i="3"/>
  <c r="AF29" i="3"/>
  <c r="V29" i="3"/>
  <c r="K29" i="3"/>
  <c r="AA28" i="3"/>
  <c r="Q28" i="3"/>
  <c r="V27" i="3"/>
  <c r="L27" i="3"/>
  <c r="Y30" i="3"/>
  <c r="M30" i="3"/>
  <c r="AE29" i="3"/>
  <c r="T29" i="3"/>
  <c r="J29" i="3"/>
  <c r="Z28" i="3"/>
  <c r="O28" i="3"/>
  <c r="AF27" i="3"/>
  <c r="U27" i="3"/>
  <c r="J27" i="3"/>
  <c r="AE4" i="3"/>
  <c r="W4" i="3"/>
  <c r="X30" i="3"/>
  <c r="L30" i="3"/>
  <c r="AD29" i="3"/>
  <c r="S29" i="3"/>
  <c r="H29" i="3"/>
  <c r="Y28" i="3"/>
  <c r="N28" i="3"/>
  <c r="AD27" i="3"/>
  <c r="T27" i="3"/>
  <c r="I27" i="3"/>
  <c r="AD4" i="3"/>
  <c r="V4" i="3"/>
  <c r="N4" i="3"/>
  <c r="U30" i="3"/>
  <c r="K30" i="3"/>
  <c r="AB29" i="3"/>
  <c r="R29" i="3"/>
  <c r="G29" i="3"/>
  <c r="W28" i="3"/>
  <c r="M28" i="3"/>
  <c r="AC27" i="3"/>
  <c r="R27" i="3"/>
  <c r="H27" i="3"/>
  <c r="AF30" i="3"/>
  <c r="P29" i="3"/>
  <c r="AB4" i="3"/>
  <c r="P4" i="3"/>
  <c r="T30" i="3"/>
  <c r="O29" i="3"/>
  <c r="AB27" i="3"/>
  <c r="AA4" i="3"/>
  <c r="O4" i="3"/>
  <c r="S30" i="3"/>
  <c r="Z27" i="3"/>
  <c r="Z4" i="3"/>
  <c r="M4" i="3"/>
  <c r="I30" i="3"/>
  <c r="AE28" i="3"/>
  <c r="Q27" i="3"/>
  <c r="H30" i="3"/>
  <c r="V28" i="3"/>
  <c r="P27" i="3"/>
  <c r="U4" i="3"/>
  <c r="K4" i="3"/>
  <c r="U28" i="3"/>
  <c r="G27" i="3"/>
  <c r="T4" i="3"/>
  <c r="J4" i="3"/>
  <c r="K17" i="1"/>
  <c r="CJ33" i="1"/>
  <c r="V33" i="1"/>
  <c r="AL33" i="1"/>
  <c r="BB33" i="1"/>
  <c r="BR33" i="1"/>
  <c r="CH33" i="1"/>
  <c r="S34" i="1"/>
  <c r="AI34" i="1"/>
  <c r="AY34" i="1"/>
  <c r="BO34" i="1"/>
  <c r="CE34" i="1"/>
  <c r="P35" i="1"/>
  <c r="AF35" i="1"/>
  <c r="AV35" i="1"/>
  <c r="BL35" i="1"/>
  <c r="CB35" i="1"/>
  <c r="L36" i="1"/>
  <c r="AB36" i="1"/>
  <c r="AR36" i="1"/>
  <c r="BI36" i="1"/>
  <c r="CH37" i="1"/>
  <c r="BZ37" i="1"/>
  <c r="BR37" i="1"/>
  <c r="BJ37" i="1"/>
  <c r="BB37" i="1"/>
  <c r="AT37" i="1"/>
  <c r="AL37" i="1"/>
  <c r="AD37" i="1"/>
  <c r="V37" i="1"/>
  <c r="N37" i="1"/>
  <c r="CE37" i="1"/>
  <c r="BW37" i="1"/>
  <c r="BO37" i="1"/>
  <c r="BG37" i="1"/>
  <c r="AY37" i="1"/>
  <c r="AQ37" i="1"/>
  <c r="AI37" i="1"/>
  <c r="AA37" i="1"/>
  <c r="S37" i="1"/>
  <c r="K37" i="1"/>
  <c r="CK37" i="1"/>
  <c r="CA37" i="1"/>
  <c r="BP37" i="1"/>
  <c r="BE37" i="1"/>
  <c r="AU37" i="1"/>
  <c r="AJ37" i="1"/>
  <c r="Y37" i="1"/>
  <c r="O37" i="1"/>
  <c r="CI37" i="1"/>
  <c r="BC37" i="1"/>
  <c r="AG37" i="1"/>
  <c r="L37" i="1"/>
  <c r="CJ37" i="1"/>
  <c r="BY37" i="1"/>
  <c r="BN37" i="1"/>
  <c r="BD37" i="1"/>
  <c r="AS37" i="1"/>
  <c r="AH37" i="1"/>
  <c r="X37" i="1"/>
  <c r="M37" i="1"/>
  <c r="BM37" i="1"/>
  <c r="AR37" i="1"/>
  <c r="W37" i="1"/>
  <c r="BX37" i="1"/>
  <c r="CF37" i="1"/>
  <c r="BU37" i="1"/>
  <c r="BK37" i="1"/>
  <c r="AZ37" i="1"/>
  <c r="AO37" i="1"/>
  <c r="AE37" i="1"/>
  <c r="T37" i="1"/>
  <c r="I37" i="1"/>
  <c r="CD37" i="1"/>
  <c r="BT37" i="1"/>
  <c r="BI37" i="1"/>
  <c r="AX37" i="1"/>
  <c r="AN37" i="1"/>
  <c r="AC37" i="1"/>
  <c r="R37" i="1"/>
  <c r="H37" i="1"/>
  <c r="AK37" i="1"/>
  <c r="BL37" i="1"/>
  <c r="I38" i="1"/>
  <c r="AM38" i="1"/>
  <c r="BN38" i="1"/>
  <c r="J39" i="1"/>
  <c r="AJ39" i="1"/>
  <c r="BM39" i="1"/>
  <c r="X4" i="3"/>
  <c r="K28" i="3"/>
  <c r="Z84" i="3"/>
  <c r="R84" i="3"/>
  <c r="J84" i="3"/>
  <c r="AC83" i="3"/>
  <c r="U83" i="3"/>
  <c r="M83" i="3"/>
  <c r="AF82" i="3"/>
  <c r="X82" i="3"/>
  <c r="P82" i="3"/>
  <c r="H82" i="3"/>
  <c r="AA81" i="3"/>
  <c r="S81" i="3"/>
  <c r="K81" i="3"/>
  <c r="AD80" i="3"/>
  <c r="V80" i="3"/>
  <c r="N80" i="3"/>
  <c r="Y79" i="3"/>
  <c r="Q79" i="3"/>
  <c r="I79" i="3"/>
  <c r="AB78" i="3"/>
  <c r="T78" i="3"/>
  <c r="L78" i="3"/>
  <c r="AE77" i="3"/>
  <c r="W77" i="3"/>
  <c r="O77" i="3"/>
  <c r="G77" i="3"/>
  <c r="Z76" i="3"/>
  <c r="R76" i="3"/>
  <c r="J76" i="3"/>
  <c r="AC75" i="3"/>
  <c r="U75" i="3"/>
  <c r="M75" i="3"/>
  <c r="AF74" i="3"/>
  <c r="X74" i="3"/>
  <c r="P74" i="3"/>
  <c r="H74" i="3"/>
  <c r="AA73" i="3"/>
  <c r="Y84" i="3"/>
  <c r="Q84" i="3"/>
  <c r="I84" i="3"/>
  <c r="AB83" i="3"/>
  <c r="T83" i="3"/>
  <c r="L83" i="3"/>
  <c r="AE82" i="3"/>
  <c r="W82" i="3"/>
  <c r="O82" i="3"/>
  <c r="G82" i="3"/>
  <c r="Z81" i="3"/>
  <c r="R81" i="3"/>
  <c r="J81" i="3"/>
  <c r="AC80" i="3"/>
  <c r="U80" i="3"/>
  <c r="M80" i="3"/>
  <c r="AF79" i="3"/>
  <c r="X79" i="3"/>
  <c r="P79" i="3"/>
  <c r="H79" i="3"/>
  <c r="AA78" i="3"/>
  <c r="S78" i="3"/>
  <c r="K78" i="3"/>
  <c r="AD77" i="3"/>
  <c r="V77" i="3"/>
  <c r="N77" i="3"/>
  <c r="Y76" i="3"/>
  <c r="Q76" i="3"/>
  <c r="I76" i="3"/>
  <c r="AB75" i="3"/>
  <c r="T75" i="3"/>
  <c r="L75" i="3"/>
  <c r="AE74" i="3"/>
  <c r="W74" i="3"/>
  <c r="O74" i="3"/>
  <c r="G74" i="3"/>
  <c r="Z73" i="3"/>
  <c r="R73" i="3"/>
  <c r="J73" i="3"/>
  <c r="AC72" i="3"/>
  <c r="U72" i="3"/>
  <c r="M72" i="3"/>
  <c r="AF71" i="3"/>
  <c r="X71" i="3"/>
  <c r="P71" i="3"/>
  <c r="H71" i="3"/>
  <c r="AA70" i="3"/>
  <c r="S70" i="3"/>
  <c r="K70" i="3"/>
  <c r="AD69" i="3"/>
  <c r="V69" i="3"/>
  <c r="N69" i="3"/>
  <c r="Y68" i="3"/>
  <c r="Q68" i="3"/>
  <c r="I68" i="3"/>
  <c r="AB67" i="3"/>
  <c r="T67" i="3"/>
  <c r="L67" i="3"/>
  <c r="AE66" i="3"/>
  <c r="W66" i="3"/>
  <c r="AF84" i="3"/>
  <c r="X84" i="3"/>
  <c r="P84" i="3"/>
  <c r="H84" i="3"/>
  <c r="AA83" i="3"/>
  <c r="S83" i="3"/>
  <c r="K83" i="3"/>
  <c r="AD82" i="3"/>
  <c r="V82" i="3"/>
  <c r="N82" i="3"/>
  <c r="Y81" i="3"/>
  <c r="Q81" i="3"/>
  <c r="I81" i="3"/>
  <c r="AB80" i="3"/>
  <c r="T80" i="3"/>
  <c r="L80" i="3"/>
  <c r="AE79" i="3"/>
  <c r="W79" i="3"/>
  <c r="O79" i="3"/>
  <c r="G79" i="3"/>
  <c r="Z78" i="3"/>
  <c r="R78" i="3"/>
  <c r="J78" i="3"/>
  <c r="AC77" i="3"/>
  <c r="U77" i="3"/>
  <c r="M77" i="3"/>
  <c r="AF76" i="3"/>
  <c r="X76" i="3"/>
  <c r="P76" i="3"/>
  <c r="H76" i="3"/>
  <c r="AA75" i="3"/>
  <c r="S75" i="3"/>
  <c r="K75" i="3"/>
  <c r="AD74" i="3"/>
  <c r="V74" i="3"/>
  <c r="N74" i="3"/>
  <c r="Y73" i="3"/>
  <c r="AE84" i="3"/>
  <c r="W84" i="3"/>
  <c r="O84" i="3"/>
  <c r="G84" i="3"/>
  <c r="Z83" i="3"/>
  <c r="R83" i="3"/>
  <c r="J83" i="3"/>
  <c r="AC82" i="3"/>
  <c r="U82" i="3"/>
  <c r="M82" i="3"/>
  <c r="AF81" i="3"/>
  <c r="X81" i="3"/>
  <c r="P81" i="3"/>
  <c r="H81" i="3"/>
  <c r="AA80" i="3"/>
  <c r="S80" i="3"/>
  <c r="K80" i="3"/>
  <c r="AD79" i="3"/>
  <c r="V79" i="3"/>
  <c r="N79" i="3"/>
  <c r="Y78" i="3"/>
  <c r="Q78" i="3"/>
  <c r="I78" i="3"/>
  <c r="AB77" i="3"/>
  <c r="T77" i="3"/>
  <c r="L77" i="3"/>
  <c r="AE76" i="3"/>
  <c r="W76" i="3"/>
  <c r="O76" i="3"/>
  <c r="G76" i="3"/>
  <c r="Z75" i="3"/>
  <c r="R75" i="3"/>
  <c r="J75" i="3"/>
  <c r="AC74" i="3"/>
  <c r="U74" i="3"/>
  <c r="M74" i="3"/>
  <c r="AF73" i="3"/>
  <c r="X73" i="3"/>
  <c r="P73" i="3"/>
  <c r="H73" i="3"/>
  <c r="AA72" i="3"/>
  <c r="S72" i="3"/>
  <c r="K72" i="3"/>
  <c r="AD71" i="3"/>
  <c r="V71" i="3"/>
  <c r="N71" i="3"/>
  <c r="Y70" i="3"/>
  <c r="Q70" i="3"/>
  <c r="I70" i="3"/>
  <c r="AB69" i="3"/>
  <c r="T69" i="3"/>
  <c r="L69" i="3"/>
  <c r="AE68" i="3"/>
  <c r="W68" i="3"/>
  <c r="O68" i="3"/>
  <c r="G68" i="3"/>
  <c r="Z67" i="3"/>
  <c r="R67" i="3"/>
  <c r="J67" i="3"/>
  <c r="AC66" i="3"/>
  <c r="U66" i="3"/>
  <c r="M66" i="3"/>
  <c r="AF65" i="3"/>
  <c r="X65" i="3"/>
  <c r="P65" i="3"/>
  <c r="H65" i="3"/>
  <c r="AA64" i="3"/>
  <c r="S64" i="3"/>
  <c r="K64" i="3"/>
  <c r="AD84" i="3"/>
  <c r="V84" i="3"/>
  <c r="N84" i="3"/>
  <c r="Y83" i="3"/>
  <c r="Q83" i="3"/>
  <c r="I83" i="3"/>
  <c r="AB82" i="3"/>
  <c r="T82" i="3"/>
  <c r="L82" i="3"/>
  <c r="AE81" i="3"/>
  <c r="W81" i="3"/>
  <c r="O81" i="3"/>
  <c r="G81" i="3"/>
  <c r="Z80" i="3"/>
  <c r="R80" i="3"/>
  <c r="J80" i="3"/>
  <c r="AC79" i="3"/>
  <c r="U79" i="3"/>
  <c r="M79" i="3"/>
  <c r="AF78" i="3"/>
  <c r="X78" i="3"/>
  <c r="P78" i="3"/>
  <c r="H78" i="3"/>
  <c r="AA77" i="3"/>
  <c r="S77" i="3"/>
  <c r="K77" i="3"/>
  <c r="AD76" i="3"/>
  <c r="V76" i="3"/>
  <c r="N76" i="3"/>
  <c r="Y75" i="3"/>
  <c r="Q75" i="3"/>
  <c r="I75" i="3"/>
  <c r="AB74" i="3"/>
  <c r="T74" i="3"/>
  <c r="L74" i="3"/>
  <c r="AE73" i="3"/>
  <c r="W73" i="3"/>
  <c r="O73" i="3"/>
  <c r="G73" i="3"/>
  <c r="Z72" i="3"/>
  <c r="R72" i="3"/>
  <c r="J72" i="3"/>
  <c r="AC71" i="3"/>
  <c r="U71" i="3"/>
  <c r="M71" i="3"/>
  <c r="AF70" i="3"/>
  <c r="X70" i="3"/>
  <c r="P70" i="3"/>
  <c r="H70" i="3"/>
  <c r="AA69" i="3"/>
  <c r="S69" i="3"/>
  <c r="K69" i="3"/>
  <c r="AD68" i="3"/>
  <c r="V68" i="3"/>
  <c r="N68" i="3"/>
  <c r="Y67" i="3"/>
  <c r="Q67" i="3"/>
  <c r="AC84" i="3"/>
  <c r="U84" i="3"/>
  <c r="M84" i="3"/>
  <c r="AF83" i="3"/>
  <c r="X83" i="3"/>
  <c r="P83" i="3"/>
  <c r="H83" i="3"/>
  <c r="AA82" i="3"/>
  <c r="S82" i="3"/>
  <c r="K82" i="3"/>
  <c r="AD81" i="3"/>
  <c r="V81" i="3"/>
  <c r="N81" i="3"/>
  <c r="Y80" i="3"/>
  <c r="Q80" i="3"/>
  <c r="I80" i="3"/>
  <c r="AB79" i="3"/>
  <c r="T79" i="3"/>
  <c r="L79" i="3"/>
  <c r="AE78" i="3"/>
  <c r="W78" i="3"/>
  <c r="O78" i="3"/>
  <c r="G78" i="3"/>
  <c r="Z77" i="3"/>
  <c r="R77" i="3"/>
  <c r="J77" i="3"/>
  <c r="AC76" i="3"/>
  <c r="U76" i="3"/>
  <c r="M76" i="3"/>
  <c r="AF75" i="3"/>
  <c r="X75" i="3"/>
  <c r="P75" i="3"/>
  <c r="H75" i="3"/>
  <c r="AA74" i="3"/>
  <c r="S74" i="3"/>
  <c r="K74" i="3"/>
  <c r="AD73" i="3"/>
  <c r="V73" i="3"/>
  <c r="N73" i="3"/>
  <c r="Y72" i="3"/>
  <c r="Q72" i="3"/>
  <c r="I72" i="3"/>
  <c r="AB71" i="3"/>
  <c r="T71" i="3"/>
  <c r="L71" i="3"/>
  <c r="AE70" i="3"/>
  <c r="W70" i="3"/>
  <c r="O70" i="3"/>
  <c r="G70" i="3"/>
  <c r="Z69" i="3"/>
  <c r="R69" i="3"/>
  <c r="J69" i="3"/>
  <c r="AC68" i="3"/>
  <c r="U68" i="3"/>
  <c r="M68" i="3"/>
  <c r="AF67" i="3"/>
  <c r="X67" i="3"/>
  <c r="P67" i="3"/>
  <c r="H67" i="3"/>
  <c r="AA66" i="3"/>
  <c r="S66" i="3"/>
  <c r="K66" i="3"/>
  <c r="AD65" i="3"/>
  <c r="V65" i="3"/>
  <c r="N65" i="3"/>
  <c r="Y64" i="3"/>
  <c r="Q64" i="3"/>
  <c r="L84" i="3"/>
  <c r="N83" i="3"/>
  <c r="I82" i="3"/>
  <c r="G80" i="3"/>
  <c r="AF77" i="3"/>
  <c r="AB76" i="3"/>
  <c r="AD75" i="3"/>
  <c r="Y74" i="3"/>
  <c r="U73" i="3"/>
  <c r="T72" i="3"/>
  <c r="AE71" i="3"/>
  <c r="O71" i="3"/>
  <c r="AB70" i="3"/>
  <c r="L70" i="3"/>
  <c r="W69" i="3"/>
  <c r="G69" i="3"/>
  <c r="S68" i="3"/>
  <c r="AE67" i="3"/>
  <c r="O67" i="3"/>
  <c r="AD66" i="3"/>
  <c r="Q66" i="3"/>
  <c r="G66" i="3"/>
  <c r="W65" i="3"/>
  <c r="L65" i="3"/>
  <c r="AD64" i="3"/>
  <c r="T64" i="3"/>
  <c r="I64" i="3"/>
  <c r="AB63" i="3"/>
  <c r="T63" i="3"/>
  <c r="L63" i="3"/>
  <c r="AE62" i="3"/>
  <c r="W62" i="3"/>
  <c r="O62" i="3"/>
  <c r="G62" i="3"/>
  <c r="Z61" i="3"/>
  <c r="R61" i="3"/>
  <c r="J61" i="3"/>
  <c r="AC60" i="3"/>
  <c r="U60" i="3"/>
  <c r="M60" i="3"/>
  <c r="AF59" i="3"/>
  <c r="X59" i="3"/>
  <c r="P59" i="3"/>
  <c r="H59" i="3"/>
  <c r="AA58" i="3"/>
  <c r="S58" i="3"/>
  <c r="K58" i="3"/>
  <c r="K84" i="3"/>
  <c r="G83" i="3"/>
  <c r="AF80" i="3"/>
  <c r="AD78" i="3"/>
  <c r="Y77" i="3"/>
  <c r="AA76" i="3"/>
  <c r="W75" i="3"/>
  <c r="R74" i="3"/>
  <c r="T73" i="3"/>
  <c r="AF72" i="3"/>
  <c r="P72" i="3"/>
  <c r="AA71" i="3"/>
  <c r="K71" i="3"/>
  <c r="Z70" i="3"/>
  <c r="J70" i="3"/>
  <c r="U69" i="3"/>
  <c r="R68" i="3"/>
  <c r="AD67" i="3"/>
  <c r="N67" i="3"/>
  <c r="AB66" i="3"/>
  <c r="P66" i="3"/>
  <c r="U65" i="3"/>
  <c r="K65" i="3"/>
  <c r="AC64" i="3"/>
  <c r="R64" i="3"/>
  <c r="H64" i="3"/>
  <c r="AA63" i="3"/>
  <c r="S63" i="3"/>
  <c r="K63" i="3"/>
  <c r="AD62" i="3"/>
  <c r="V62" i="3"/>
  <c r="N62" i="3"/>
  <c r="Y61" i="3"/>
  <c r="Q61" i="3"/>
  <c r="I61" i="3"/>
  <c r="AB60" i="3"/>
  <c r="T60" i="3"/>
  <c r="L60" i="3"/>
  <c r="AE59" i="3"/>
  <c r="W59" i="3"/>
  <c r="O59" i="3"/>
  <c r="G59" i="3"/>
  <c r="Z58" i="3"/>
  <c r="R58" i="3"/>
  <c r="J58" i="3"/>
  <c r="AC81" i="3"/>
  <c r="AE80" i="3"/>
  <c r="AA79" i="3"/>
  <c r="AC78" i="3"/>
  <c r="X77" i="3"/>
  <c r="T76" i="3"/>
  <c r="V75" i="3"/>
  <c r="Q74" i="3"/>
  <c r="S73" i="3"/>
  <c r="AE72" i="3"/>
  <c r="O72" i="3"/>
  <c r="Z71" i="3"/>
  <c r="J71" i="3"/>
  <c r="V70" i="3"/>
  <c r="Q69" i="3"/>
  <c r="AF68" i="3"/>
  <c r="P68" i="3"/>
  <c r="AC67" i="3"/>
  <c r="M67" i="3"/>
  <c r="Z66" i="3"/>
  <c r="O66" i="3"/>
  <c r="AE65" i="3"/>
  <c r="T65" i="3"/>
  <c r="J65" i="3"/>
  <c r="AB64" i="3"/>
  <c r="P64" i="3"/>
  <c r="G64" i="3"/>
  <c r="Z63" i="3"/>
  <c r="R63" i="3"/>
  <c r="J63" i="3"/>
  <c r="AC62" i="3"/>
  <c r="U62" i="3"/>
  <c r="M62" i="3"/>
  <c r="AF61" i="3"/>
  <c r="X61" i="3"/>
  <c r="P61" i="3"/>
  <c r="H61" i="3"/>
  <c r="AA60" i="3"/>
  <c r="S60" i="3"/>
  <c r="K60" i="3"/>
  <c r="AD59" i="3"/>
  <c r="V59" i="3"/>
  <c r="N59" i="3"/>
  <c r="Y58" i="3"/>
  <c r="Q58" i="3"/>
  <c r="I58" i="3"/>
  <c r="AE83" i="3"/>
  <c r="Z82" i="3"/>
  <c r="AB81" i="3"/>
  <c r="X80" i="3"/>
  <c r="Z79" i="3"/>
  <c r="V78" i="3"/>
  <c r="Q77" i="3"/>
  <c r="S76" i="3"/>
  <c r="O75" i="3"/>
  <c r="J74" i="3"/>
  <c r="Q73" i="3"/>
  <c r="AD72" i="3"/>
  <c r="N72" i="3"/>
  <c r="Y71" i="3"/>
  <c r="I71" i="3"/>
  <c r="U70" i="3"/>
  <c r="AF69" i="3"/>
  <c r="P69" i="3"/>
  <c r="AB68" i="3"/>
  <c r="L68" i="3"/>
  <c r="AA67" i="3"/>
  <c r="K67" i="3"/>
  <c r="Y66" i="3"/>
  <c r="N66" i="3"/>
  <c r="AC65" i="3"/>
  <c r="S65" i="3"/>
  <c r="I65" i="3"/>
  <c r="Z64" i="3"/>
  <c r="O64" i="3"/>
  <c r="Y63" i="3"/>
  <c r="Q63" i="3"/>
  <c r="I63" i="3"/>
  <c r="AB62" i="3"/>
  <c r="T62" i="3"/>
  <c r="L62" i="3"/>
  <c r="AE61" i="3"/>
  <c r="W61" i="3"/>
  <c r="O61" i="3"/>
  <c r="G61" i="3"/>
  <c r="Z60" i="3"/>
  <c r="R60" i="3"/>
  <c r="J60" i="3"/>
  <c r="AC59" i="3"/>
  <c r="U59" i="3"/>
  <c r="M59" i="3"/>
  <c r="AF58" i="3"/>
  <c r="X58" i="3"/>
  <c r="P58" i="3"/>
  <c r="H58" i="3"/>
  <c r="AB84" i="3"/>
  <c r="AD83" i="3"/>
  <c r="Y82" i="3"/>
  <c r="U81" i="3"/>
  <c r="W80" i="3"/>
  <c r="S79" i="3"/>
  <c r="U78" i="3"/>
  <c r="P77" i="3"/>
  <c r="L76" i="3"/>
  <c r="N75" i="3"/>
  <c r="I74" i="3"/>
  <c r="M73" i="3"/>
  <c r="AB72" i="3"/>
  <c r="L72" i="3"/>
  <c r="W71" i="3"/>
  <c r="G71" i="3"/>
  <c r="T70" i="3"/>
  <c r="AE69" i="3"/>
  <c r="O69" i="3"/>
  <c r="AA68" i="3"/>
  <c r="K68" i="3"/>
  <c r="W67" i="3"/>
  <c r="I67" i="3"/>
  <c r="X66" i="3"/>
  <c r="L66" i="3"/>
  <c r="AB65" i="3"/>
  <c r="R65" i="3"/>
  <c r="G65" i="3"/>
  <c r="X64" i="3"/>
  <c r="N64" i="3"/>
  <c r="AF63" i="3"/>
  <c r="X63" i="3"/>
  <c r="P63" i="3"/>
  <c r="H63" i="3"/>
  <c r="AA62" i="3"/>
  <c r="S62" i="3"/>
  <c r="K62" i="3"/>
  <c r="AD61" i="3"/>
  <c r="V61" i="3"/>
  <c r="N61" i="3"/>
  <c r="Y60" i="3"/>
  <c r="Q60" i="3"/>
  <c r="I60" i="3"/>
  <c r="AB59" i="3"/>
  <c r="T59" i="3"/>
  <c r="L59" i="3"/>
  <c r="AE58" i="3"/>
  <c r="W58" i="3"/>
  <c r="O58" i="3"/>
  <c r="G58" i="3"/>
  <c r="AA84" i="3"/>
  <c r="W83" i="3"/>
  <c r="R82" i="3"/>
  <c r="T81" i="3"/>
  <c r="P80" i="3"/>
  <c r="R79" i="3"/>
  <c r="N78" i="3"/>
  <c r="I77" i="3"/>
  <c r="K76" i="3"/>
  <c r="G75" i="3"/>
  <c r="L73" i="3"/>
  <c r="X72" i="3"/>
  <c r="H72" i="3"/>
  <c r="S71" i="3"/>
  <c r="R70" i="3"/>
  <c r="AC69" i="3"/>
  <c r="M69" i="3"/>
  <c r="Z68" i="3"/>
  <c r="J68" i="3"/>
  <c r="V67" i="3"/>
  <c r="G67" i="3"/>
  <c r="V66" i="3"/>
  <c r="J66" i="3"/>
  <c r="AA65" i="3"/>
  <c r="Q65" i="3"/>
  <c r="W64" i="3"/>
  <c r="M64" i="3"/>
  <c r="AE63" i="3"/>
  <c r="W63" i="3"/>
  <c r="O63" i="3"/>
  <c r="G63" i="3"/>
  <c r="Z62" i="3"/>
  <c r="R62" i="3"/>
  <c r="J62" i="3"/>
  <c r="AC61" i="3"/>
  <c r="U61" i="3"/>
  <c r="M61" i="3"/>
  <c r="AF60" i="3"/>
  <c r="X60" i="3"/>
  <c r="P60" i="3"/>
  <c r="H60" i="3"/>
  <c r="AA59" i="3"/>
  <c r="S59" i="3"/>
  <c r="K59" i="3"/>
  <c r="AD58" i="3"/>
  <c r="V58" i="3"/>
  <c r="N58" i="3"/>
  <c r="L81" i="3"/>
  <c r="M78" i="3"/>
  <c r="G72" i="3"/>
  <c r="M70" i="3"/>
  <c r="T68" i="3"/>
  <c r="R66" i="3"/>
  <c r="AD63" i="3"/>
  <c r="Y62" i="3"/>
  <c r="AA61" i="3"/>
  <c r="W60" i="3"/>
  <c r="R59" i="3"/>
  <c r="T58" i="3"/>
  <c r="V83" i="3"/>
  <c r="AC73" i="3"/>
  <c r="H68" i="3"/>
  <c r="I66" i="3"/>
  <c r="AF64" i="3"/>
  <c r="AC63" i="3"/>
  <c r="X62" i="3"/>
  <c r="T61" i="3"/>
  <c r="V60" i="3"/>
  <c r="Q59" i="3"/>
  <c r="M58" i="3"/>
  <c r="O83" i="3"/>
  <c r="O80" i="3"/>
  <c r="H77" i="3"/>
  <c r="AB73" i="3"/>
  <c r="R71" i="3"/>
  <c r="Y69" i="3"/>
  <c r="H66" i="3"/>
  <c r="AE64" i="3"/>
  <c r="V63" i="3"/>
  <c r="Q62" i="3"/>
  <c r="S61" i="3"/>
  <c r="O60" i="3"/>
  <c r="J59" i="3"/>
  <c r="L58" i="3"/>
  <c r="H80" i="3"/>
  <c r="K73" i="3"/>
  <c r="Q71" i="3"/>
  <c r="X69" i="3"/>
  <c r="U67" i="3"/>
  <c r="V64" i="3"/>
  <c r="U63" i="3"/>
  <c r="P62" i="3"/>
  <c r="L61" i="3"/>
  <c r="N60" i="3"/>
  <c r="I59" i="3"/>
  <c r="Q82" i="3"/>
  <c r="I73" i="3"/>
  <c r="I69" i="3"/>
  <c r="S67" i="3"/>
  <c r="Z65" i="3"/>
  <c r="U64" i="3"/>
  <c r="N63" i="3"/>
  <c r="I62" i="3"/>
  <c r="K61" i="3"/>
  <c r="G60" i="3"/>
  <c r="J82" i="3"/>
  <c r="K79" i="3"/>
  <c r="AE75" i="3"/>
  <c r="AD70" i="3"/>
  <c r="H69" i="3"/>
  <c r="Y65" i="3"/>
  <c r="L64" i="3"/>
  <c r="M63" i="3"/>
  <c r="H62" i="3"/>
  <c r="AC58" i="3"/>
  <c r="AA246" i="3"/>
  <c r="S246" i="3"/>
  <c r="K246" i="3"/>
  <c r="AD245" i="3"/>
  <c r="V245" i="3"/>
  <c r="N245" i="3"/>
  <c r="Y244" i="3"/>
  <c r="Q244" i="3"/>
  <c r="I244" i="3"/>
  <c r="AB243" i="3"/>
  <c r="T243" i="3"/>
  <c r="L243" i="3"/>
  <c r="AE242" i="3"/>
  <c r="W242" i="3"/>
  <c r="O242" i="3"/>
  <c r="G242" i="3"/>
  <c r="Z241" i="3"/>
  <c r="R241" i="3"/>
  <c r="J241" i="3"/>
  <c r="AC240" i="3"/>
  <c r="U240" i="3"/>
  <c r="M240" i="3"/>
  <c r="AF239" i="3"/>
  <c r="X239" i="3"/>
  <c r="P239" i="3"/>
  <c r="H239" i="3"/>
  <c r="AA238" i="3"/>
  <c r="S238" i="3"/>
  <c r="K238" i="3"/>
  <c r="AD237" i="3"/>
  <c r="V237" i="3"/>
  <c r="N237" i="3"/>
  <c r="Y236" i="3"/>
  <c r="Q236" i="3"/>
  <c r="I236" i="3"/>
  <c r="AB235" i="3"/>
  <c r="T235" i="3"/>
  <c r="L235" i="3"/>
  <c r="AE234" i="3"/>
  <c r="W234" i="3"/>
  <c r="O234" i="3"/>
  <c r="G234" i="3"/>
  <c r="Z233" i="3"/>
  <c r="R233" i="3"/>
  <c r="J233" i="3"/>
  <c r="AC232" i="3"/>
  <c r="U232" i="3"/>
  <c r="M232" i="3"/>
  <c r="AF231" i="3"/>
  <c r="X231" i="3"/>
  <c r="P231" i="3"/>
  <c r="H231" i="3"/>
  <c r="AA230" i="3"/>
  <c r="S230" i="3"/>
  <c r="K230" i="3"/>
  <c r="AD229" i="3"/>
  <c r="V229" i="3"/>
  <c r="N229" i="3"/>
  <c r="Y228" i="3"/>
  <c r="Q228" i="3"/>
  <c r="I228" i="3"/>
  <c r="Z246" i="3"/>
  <c r="Y246" i="3"/>
  <c r="Q246" i="3"/>
  <c r="I246" i="3"/>
  <c r="AB245" i="3"/>
  <c r="T245" i="3"/>
  <c r="L245" i="3"/>
  <c r="AE244" i="3"/>
  <c r="W244" i="3"/>
  <c r="O244" i="3"/>
  <c r="G244" i="3"/>
  <c r="Z243" i="3"/>
  <c r="R243" i="3"/>
  <c r="J243" i="3"/>
  <c r="AC242" i="3"/>
  <c r="U242" i="3"/>
  <c r="M242" i="3"/>
  <c r="AF241" i="3"/>
  <c r="X241" i="3"/>
  <c r="P241" i="3"/>
  <c r="H241" i="3"/>
  <c r="AA240" i="3"/>
  <c r="S240" i="3"/>
  <c r="K240" i="3"/>
  <c r="AD239" i="3"/>
  <c r="V239" i="3"/>
  <c r="N239" i="3"/>
  <c r="Y238" i="3"/>
  <c r="Q238" i="3"/>
  <c r="I238" i="3"/>
  <c r="AB237" i="3"/>
  <c r="T237" i="3"/>
  <c r="L237" i="3"/>
  <c r="AE236" i="3"/>
  <c r="W236" i="3"/>
  <c r="O236" i="3"/>
  <c r="G236" i="3"/>
  <c r="Z235" i="3"/>
  <c r="R235" i="3"/>
  <c r="J235" i="3"/>
  <c r="AC234" i="3"/>
  <c r="U234" i="3"/>
  <c r="M234" i="3"/>
  <c r="AF233" i="3"/>
  <c r="X233" i="3"/>
  <c r="P233" i="3"/>
  <c r="H233" i="3"/>
  <c r="AA232" i="3"/>
  <c r="S232" i="3"/>
  <c r="K232" i="3"/>
  <c r="AD231" i="3"/>
  <c r="V231" i="3"/>
  <c r="N231" i="3"/>
  <c r="Y230" i="3"/>
  <c r="Q230" i="3"/>
  <c r="I230" i="3"/>
  <c r="AB229" i="3"/>
  <c r="T229" i="3"/>
  <c r="L229" i="3"/>
  <c r="AE228" i="3"/>
  <c r="W228" i="3"/>
  <c r="O228" i="3"/>
  <c r="G228" i="3"/>
  <c r="Z227" i="3"/>
  <c r="R227" i="3"/>
  <c r="J227" i="3"/>
  <c r="AC226" i="3"/>
  <c r="U226" i="3"/>
  <c r="M226" i="3"/>
  <c r="AF225" i="3"/>
  <c r="X225" i="3"/>
  <c r="P225" i="3"/>
  <c r="H225" i="3"/>
  <c r="AA224" i="3"/>
  <c r="S224" i="3"/>
  <c r="K224" i="3"/>
  <c r="AD223" i="3"/>
  <c r="V223" i="3"/>
  <c r="N223" i="3"/>
  <c r="Y222" i="3"/>
  <c r="Q222" i="3"/>
  <c r="I222" i="3"/>
  <c r="AB221" i="3"/>
  <c r="T221" i="3"/>
  <c r="L221" i="3"/>
  <c r="AE220" i="3"/>
  <c r="AF246" i="3"/>
  <c r="X246" i="3"/>
  <c r="P246" i="3"/>
  <c r="H246" i="3"/>
  <c r="AA245" i="3"/>
  <c r="S245" i="3"/>
  <c r="K245" i="3"/>
  <c r="AD244" i="3"/>
  <c r="V244" i="3"/>
  <c r="N244" i="3"/>
  <c r="Y243" i="3"/>
  <c r="Q243" i="3"/>
  <c r="I243" i="3"/>
  <c r="AB242" i="3"/>
  <c r="T242" i="3"/>
  <c r="L242" i="3"/>
  <c r="AE241" i="3"/>
  <c r="W241" i="3"/>
  <c r="O241" i="3"/>
  <c r="G241" i="3"/>
  <c r="Z240" i="3"/>
  <c r="R240" i="3"/>
  <c r="J240" i="3"/>
  <c r="AC239" i="3"/>
  <c r="U239" i="3"/>
  <c r="M239" i="3"/>
  <c r="AF238" i="3"/>
  <c r="X238" i="3"/>
  <c r="P238" i="3"/>
  <c r="H238" i="3"/>
  <c r="AA237" i="3"/>
  <c r="S237" i="3"/>
  <c r="K237" i="3"/>
  <c r="AD236" i="3"/>
  <c r="V236" i="3"/>
  <c r="N236" i="3"/>
  <c r="Y235" i="3"/>
  <c r="Q235" i="3"/>
  <c r="I235" i="3"/>
  <c r="AB234" i="3"/>
  <c r="T234" i="3"/>
  <c r="L234" i="3"/>
  <c r="AE233" i="3"/>
  <c r="W233" i="3"/>
  <c r="O233" i="3"/>
  <c r="G233" i="3"/>
  <c r="Z232" i="3"/>
  <c r="R232" i="3"/>
  <c r="J232" i="3"/>
  <c r="AC231" i="3"/>
  <c r="U231" i="3"/>
  <c r="M231" i="3"/>
  <c r="AF230" i="3"/>
  <c r="X230" i="3"/>
  <c r="P230" i="3"/>
  <c r="H230" i="3"/>
  <c r="AA229" i="3"/>
  <c r="S229" i="3"/>
  <c r="K229" i="3"/>
  <c r="AD228" i="3"/>
  <c r="V228" i="3"/>
  <c r="N228" i="3"/>
  <c r="Y227" i="3"/>
  <c r="AE246" i="3"/>
  <c r="W246" i="3"/>
  <c r="O246" i="3"/>
  <c r="G246" i="3"/>
  <c r="Z245" i="3"/>
  <c r="R245" i="3"/>
  <c r="J245" i="3"/>
  <c r="AC244" i="3"/>
  <c r="U244" i="3"/>
  <c r="M244" i="3"/>
  <c r="AF243" i="3"/>
  <c r="X243" i="3"/>
  <c r="P243" i="3"/>
  <c r="H243" i="3"/>
  <c r="AA242" i="3"/>
  <c r="S242" i="3"/>
  <c r="K242" i="3"/>
  <c r="AD241" i="3"/>
  <c r="V241" i="3"/>
  <c r="N241" i="3"/>
  <c r="Y240" i="3"/>
  <c r="Q240" i="3"/>
  <c r="I240" i="3"/>
  <c r="AB239" i="3"/>
  <c r="T239" i="3"/>
  <c r="L239" i="3"/>
  <c r="AE238" i="3"/>
  <c r="W238" i="3"/>
  <c r="O238" i="3"/>
  <c r="G238" i="3"/>
  <c r="Z237" i="3"/>
  <c r="R237" i="3"/>
  <c r="J237" i="3"/>
  <c r="AC236" i="3"/>
  <c r="U236" i="3"/>
  <c r="M236" i="3"/>
  <c r="AF235" i="3"/>
  <c r="X235" i="3"/>
  <c r="P235" i="3"/>
  <c r="H235" i="3"/>
  <c r="AA234" i="3"/>
  <c r="S234" i="3"/>
  <c r="K234" i="3"/>
  <c r="AD233" i="3"/>
  <c r="V233" i="3"/>
  <c r="N233" i="3"/>
  <c r="Y232" i="3"/>
  <c r="Q232" i="3"/>
  <c r="I232" i="3"/>
  <c r="AB231" i="3"/>
  <c r="T231" i="3"/>
  <c r="L231" i="3"/>
  <c r="AE230" i="3"/>
  <c r="W230" i="3"/>
  <c r="O230" i="3"/>
  <c r="G230" i="3"/>
  <c r="Z229" i="3"/>
  <c r="AD246" i="3"/>
  <c r="AC246" i="3"/>
  <c r="U246" i="3"/>
  <c r="M246" i="3"/>
  <c r="AF245" i="3"/>
  <c r="X245" i="3"/>
  <c r="P245" i="3"/>
  <c r="H245" i="3"/>
  <c r="AA244" i="3"/>
  <c r="S244" i="3"/>
  <c r="K244" i="3"/>
  <c r="AD243" i="3"/>
  <c r="V243" i="3"/>
  <c r="N243" i="3"/>
  <c r="Y242" i="3"/>
  <c r="Q242" i="3"/>
  <c r="I242" i="3"/>
  <c r="AB241" i="3"/>
  <c r="T241" i="3"/>
  <c r="L241" i="3"/>
  <c r="AE240" i="3"/>
  <c r="W240" i="3"/>
  <c r="O240" i="3"/>
  <c r="G240" i="3"/>
  <c r="Z239" i="3"/>
  <c r="R239" i="3"/>
  <c r="J239" i="3"/>
  <c r="AC238" i="3"/>
  <c r="U238" i="3"/>
  <c r="M238" i="3"/>
  <c r="AF237" i="3"/>
  <c r="X237" i="3"/>
  <c r="P237" i="3"/>
  <c r="H237" i="3"/>
  <c r="AA236" i="3"/>
  <c r="S236" i="3"/>
  <c r="K236" i="3"/>
  <c r="AD235" i="3"/>
  <c r="V235" i="3"/>
  <c r="N235" i="3"/>
  <c r="Y234" i="3"/>
  <c r="Q234" i="3"/>
  <c r="I234" i="3"/>
  <c r="AB233" i="3"/>
  <c r="T233" i="3"/>
  <c r="L233" i="3"/>
  <c r="AE232" i="3"/>
  <c r="W232" i="3"/>
  <c r="O232" i="3"/>
  <c r="G232" i="3"/>
  <c r="Z231" i="3"/>
  <c r="R231" i="3"/>
  <c r="J231" i="3"/>
  <c r="AC230" i="3"/>
  <c r="U230" i="3"/>
  <c r="M230" i="3"/>
  <c r="AF229" i="3"/>
  <c r="X229" i="3"/>
  <c r="P229" i="3"/>
  <c r="H229" i="3"/>
  <c r="AA228" i="3"/>
  <c r="S228" i="3"/>
  <c r="K228" i="3"/>
  <c r="AD227" i="3"/>
  <c r="AB246" i="3"/>
  <c r="T246" i="3"/>
  <c r="L246" i="3"/>
  <c r="AE245" i="3"/>
  <c r="W245" i="3"/>
  <c r="O245" i="3"/>
  <c r="G245" i="3"/>
  <c r="Z244" i="3"/>
  <c r="R244" i="3"/>
  <c r="J244" i="3"/>
  <c r="AC243" i="3"/>
  <c r="U243" i="3"/>
  <c r="M243" i="3"/>
  <c r="AF242" i="3"/>
  <c r="X242" i="3"/>
  <c r="P242" i="3"/>
  <c r="H242" i="3"/>
  <c r="AA241" i="3"/>
  <c r="S241" i="3"/>
  <c r="K241" i="3"/>
  <c r="AD240" i="3"/>
  <c r="V240" i="3"/>
  <c r="N240" i="3"/>
  <c r="Y239" i="3"/>
  <c r="Q239" i="3"/>
  <c r="I239" i="3"/>
  <c r="AB238" i="3"/>
  <c r="T238" i="3"/>
  <c r="L238" i="3"/>
  <c r="AE237" i="3"/>
  <c r="W237" i="3"/>
  <c r="O237" i="3"/>
  <c r="G237" i="3"/>
  <c r="Z236" i="3"/>
  <c r="R236" i="3"/>
  <c r="J236" i="3"/>
  <c r="AC235" i="3"/>
  <c r="U235" i="3"/>
  <c r="M235" i="3"/>
  <c r="AF234" i="3"/>
  <c r="X234" i="3"/>
  <c r="P234" i="3"/>
  <c r="H234" i="3"/>
  <c r="AA233" i="3"/>
  <c r="S233" i="3"/>
  <c r="K233" i="3"/>
  <c r="AD232" i="3"/>
  <c r="V232" i="3"/>
  <c r="N232" i="3"/>
  <c r="Y231" i="3"/>
  <c r="Q231" i="3"/>
  <c r="I231" i="3"/>
  <c r="AB230" i="3"/>
  <c r="T230" i="3"/>
  <c r="L230" i="3"/>
  <c r="AE229" i="3"/>
  <c r="W229" i="3"/>
  <c r="O229" i="3"/>
  <c r="G229" i="3"/>
  <c r="Z228" i="3"/>
  <c r="R228" i="3"/>
  <c r="AC245" i="3"/>
  <c r="AB244" i="3"/>
  <c r="AA243" i="3"/>
  <c r="Z242" i="3"/>
  <c r="U241" i="3"/>
  <c r="T240" i="3"/>
  <c r="S239" i="3"/>
  <c r="R238" i="3"/>
  <c r="M237" i="3"/>
  <c r="L236" i="3"/>
  <c r="K235" i="3"/>
  <c r="J234" i="3"/>
  <c r="AC229" i="3"/>
  <c r="M228" i="3"/>
  <c r="AB227" i="3"/>
  <c r="Q227" i="3"/>
  <c r="H227" i="3"/>
  <c r="Z226" i="3"/>
  <c r="Q226" i="3"/>
  <c r="H226" i="3"/>
  <c r="Z225" i="3"/>
  <c r="Q225" i="3"/>
  <c r="G225" i="3"/>
  <c r="Y224" i="3"/>
  <c r="P224" i="3"/>
  <c r="G224" i="3"/>
  <c r="Y223" i="3"/>
  <c r="P223" i="3"/>
  <c r="G223" i="3"/>
  <c r="Z222" i="3"/>
  <c r="P222" i="3"/>
  <c r="G222" i="3"/>
  <c r="Y221" i="3"/>
  <c r="P221" i="3"/>
  <c r="G221" i="3"/>
  <c r="Y220" i="3"/>
  <c r="Q220" i="3"/>
  <c r="I220" i="3"/>
  <c r="Y245" i="3"/>
  <c r="X244" i="3"/>
  <c r="W243" i="3"/>
  <c r="V242" i="3"/>
  <c r="Q241" i="3"/>
  <c r="P240" i="3"/>
  <c r="O239" i="3"/>
  <c r="N238" i="3"/>
  <c r="I237" i="3"/>
  <c r="H236" i="3"/>
  <c r="G235" i="3"/>
  <c r="AF232" i="3"/>
  <c r="AE231" i="3"/>
  <c r="AD230" i="3"/>
  <c r="Y229" i="3"/>
  <c r="AF228" i="3"/>
  <c r="L228" i="3"/>
  <c r="AA227" i="3"/>
  <c r="P227" i="3"/>
  <c r="G227" i="3"/>
  <c r="Y226" i="3"/>
  <c r="P226" i="3"/>
  <c r="G226" i="3"/>
  <c r="Y225" i="3"/>
  <c r="O225" i="3"/>
  <c r="X224" i="3"/>
  <c r="O224" i="3"/>
  <c r="X223" i="3"/>
  <c r="O223" i="3"/>
  <c r="X222" i="3"/>
  <c r="O222" i="3"/>
  <c r="X221" i="3"/>
  <c r="O221" i="3"/>
  <c r="X220" i="3"/>
  <c r="P220" i="3"/>
  <c r="H220" i="3"/>
  <c r="U245" i="3"/>
  <c r="T244" i="3"/>
  <c r="S243" i="3"/>
  <c r="R242" i="3"/>
  <c r="M241" i="3"/>
  <c r="L240" i="3"/>
  <c r="K239" i="3"/>
  <c r="J238" i="3"/>
  <c r="AC233" i="3"/>
  <c r="AB232" i="3"/>
  <c r="AA231" i="3"/>
  <c r="Z230" i="3"/>
  <c r="U229" i="3"/>
  <c r="AC228" i="3"/>
  <c r="J228" i="3"/>
  <c r="X227" i="3"/>
  <c r="O227" i="3"/>
  <c r="X226" i="3"/>
  <c r="O226" i="3"/>
  <c r="W225" i="3"/>
  <c r="N225" i="3"/>
  <c r="AF224" i="3"/>
  <c r="W224" i="3"/>
  <c r="N224" i="3"/>
  <c r="AF223" i="3"/>
  <c r="W223" i="3"/>
  <c r="M223" i="3"/>
  <c r="AF222" i="3"/>
  <c r="W222" i="3"/>
  <c r="N222" i="3"/>
  <c r="AF221" i="3"/>
  <c r="W221" i="3"/>
  <c r="N221" i="3"/>
  <c r="AF220" i="3"/>
  <c r="W220" i="3"/>
  <c r="O220" i="3"/>
  <c r="G220" i="3"/>
  <c r="V246" i="3"/>
  <c r="Q245" i="3"/>
  <c r="P244" i="3"/>
  <c r="O243" i="3"/>
  <c r="N242" i="3"/>
  <c r="I241" i="3"/>
  <c r="H240" i="3"/>
  <c r="G239" i="3"/>
  <c r="AF236" i="3"/>
  <c r="AE235" i="3"/>
  <c r="AD234" i="3"/>
  <c r="Y233" i="3"/>
  <c r="X232" i="3"/>
  <c r="W231" i="3"/>
  <c r="V230" i="3"/>
  <c r="R229" i="3"/>
  <c r="AB228" i="3"/>
  <c r="H228" i="3"/>
  <c r="W227" i="3"/>
  <c r="N227" i="3"/>
  <c r="AF226" i="3"/>
  <c r="W226" i="3"/>
  <c r="N226" i="3"/>
  <c r="AE225" i="3"/>
  <c r="V225" i="3"/>
  <c r="M225" i="3"/>
  <c r="AE224" i="3"/>
  <c r="V224" i="3"/>
  <c r="M224" i="3"/>
  <c r="AE223" i="3"/>
  <c r="U223" i="3"/>
  <c r="L223" i="3"/>
  <c r="AE222" i="3"/>
  <c r="V222" i="3"/>
  <c r="M222" i="3"/>
  <c r="AE221" i="3"/>
  <c r="V221" i="3"/>
  <c r="M221" i="3"/>
  <c r="AD220" i="3"/>
  <c r="V220" i="3"/>
  <c r="N220" i="3"/>
  <c r="R246" i="3"/>
  <c r="M245" i="3"/>
  <c r="L244" i="3"/>
  <c r="K243" i="3"/>
  <c r="J242" i="3"/>
  <c r="AC237" i="3"/>
  <c r="AB236" i="3"/>
  <c r="AA235" i="3"/>
  <c r="Z234" i="3"/>
  <c r="U233" i="3"/>
  <c r="T232" i="3"/>
  <c r="S231" i="3"/>
  <c r="R230" i="3"/>
  <c r="Q229" i="3"/>
  <c r="X228" i="3"/>
  <c r="V227" i="3"/>
  <c r="M227" i="3"/>
  <c r="AE226" i="3"/>
  <c r="V226" i="3"/>
  <c r="L226" i="3"/>
  <c r="AD225" i="3"/>
  <c r="U225" i="3"/>
  <c r="L225" i="3"/>
  <c r="AD224" i="3"/>
  <c r="U224" i="3"/>
  <c r="L224" i="3"/>
  <c r="AC223" i="3"/>
  <c r="AF244" i="3"/>
  <c r="AC241" i="3"/>
  <c r="AA239" i="3"/>
  <c r="U237" i="3"/>
  <c r="S235" i="3"/>
  <c r="M233" i="3"/>
  <c r="K231" i="3"/>
  <c r="I229" i="3"/>
  <c r="AC227" i="3"/>
  <c r="AD226" i="3"/>
  <c r="I226" i="3"/>
  <c r="K225" i="3"/>
  <c r="R224" i="3"/>
  <c r="Z223" i="3"/>
  <c r="H223" i="3"/>
  <c r="S222" i="3"/>
  <c r="AC221" i="3"/>
  <c r="J221" i="3"/>
  <c r="U220" i="3"/>
  <c r="H244" i="3"/>
  <c r="Y241" i="3"/>
  <c r="W239" i="3"/>
  <c r="Q237" i="3"/>
  <c r="O235" i="3"/>
  <c r="I233" i="3"/>
  <c r="G231" i="3"/>
  <c r="U227" i="3"/>
  <c r="AB226" i="3"/>
  <c r="J225" i="3"/>
  <c r="Q224" i="3"/>
  <c r="T223" i="3"/>
  <c r="R222" i="3"/>
  <c r="AA221" i="3"/>
  <c r="I221" i="3"/>
  <c r="T220" i="3"/>
  <c r="U228" i="3"/>
  <c r="T227" i="3"/>
  <c r="AA226" i="3"/>
  <c r="AC225" i="3"/>
  <c r="I225" i="3"/>
  <c r="J224" i="3"/>
  <c r="S223" i="3"/>
  <c r="AD222" i="3"/>
  <c r="L222" i="3"/>
  <c r="Z221" i="3"/>
  <c r="H221" i="3"/>
  <c r="S220" i="3"/>
  <c r="N246" i="3"/>
  <c r="AE243" i="3"/>
  <c r="AF240" i="3"/>
  <c r="AD238" i="3"/>
  <c r="X236" i="3"/>
  <c r="V234" i="3"/>
  <c r="P232" i="3"/>
  <c r="N230" i="3"/>
  <c r="T228" i="3"/>
  <c r="S227" i="3"/>
  <c r="T226" i="3"/>
  <c r="AB225" i="3"/>
  <c r="I224" i="3"/>
  <c r="R223" i="3"/>
  <c r="AC222" i="3"/>
  <c r="K222" i="3"/>
  <c r="U221" i="3"/>
  <c r="R220" i="3"/>
  <c r="J246" i="3"/>
  <c r="G243" i="3"/>
  <c r="AB240" i="3"/>
  <c r="Z238" i="3"/>
  <c r="T236" i="3"/>
  <c r="R234" i="3"/>
  <c r="L232" i="3"/>
  <c r="J230" i="3"/>
  <c r="P228" i="3"/>
  <c r="L227" i="3"/>
  <c r="S226" i="3"/>
  <c r="AA225" i="3"/>
  <c r="AC224" i="3"/>
  <c r="H224" i="3"/>
  <c r="Q223" i="3"/>
  <c r="AB222" i="3"/>
  <c r="J222" i="3"/>
  <c r="S221" i="3"/>
  <c r="AC220" i="3"/>
  <c r="M220" i="3"/>
  <c r="X240" i="3"/>
  <c r="V238" i="3"/>
  <c r="P236" i="3"/>
  <c r="N234" i="3"/>
  <c r="H232" i="3"/>
  <c r="K227" i="3"/>
  <c r="R226" i="3"/>
  <c r="T225" i="3"/>
  <c r="AB224" i="3"/>
  <c r="K223" i="3"/>
  <c r="AA222" i="3"/>
  <c r="H222" i="3"/>
  <c r="R221" i="3"/>
  <c r="AB220" i="3"/>
  <c r="L220" i="3"/>
  <c r="AD242" i="3"/>
  <c r="O231" i="3"/>
  <c r="AE227" i="3"/>
  <c r="AA220" i="3"/>
  <c r="I227" i="3"/>
  <c r="Z224" i="3"/>
  <c r="U222" i="3"/>
  <c r="Z220" i="3"/>
  <c r="W235" i="3"/>
  <c r="T224" i="3"/>
  <c r="T222" i="3"/>
  <c r="K220" i="3"/>
  <c r="M229" i="3"/>
  <c r="K226" i="3"/>
  <c r="J220" i="3"/>
  <c r="I245" i="3"/>
  <c r="AE239" i="3"/>
  <c r="J229" i="3"/>
  <c r="J226" i="3"/>
  <c r="AB223" i="3"/>
  <c r="AD221" i="3"/>
  <c r="Q233" i="3"/>
  <c r="AA223" i="3"/>
  <c r="Q221" i="3"/>
  <c r="S225" i="3"/>
  <c r="K221" i="3"/>
  <c r="R225" i="3"/>
  <c r="Y237" i="3"/>
  <c r="J223" i="3"/>
  <c r="I223" i="3"/>
  <c r="K33" i="1"/>
  <c r="S33" i="1"/>
  <c r="AA33" i="1"/>
  <c r="AI33" i="1"/>
  <c r="AQ33" i="1"/>
  <c r="AY33" i="1"/>
  <c r="BG33" i="1"/>
  <c r="BO33" i="1"/>
  <c r="BW33" i="1"/>
  <c r="CE33" i="1"/>
  <c r="J36" i="1"/>
  <c r="R36" i="1"/>
  <c r="Z36" i="1"/>
  <c r="AH36" i="1"/>
  <c r="AP36" i="1"/>
  <c r="AX36" i="1"/>
  <c r="BG36" i="1"/>
  <c r="BQ36" i="1"/>
  <c r="CB36" i="1"/>
  <c r="L39" i="1"/>
  <c r="W39" i="1"/>
  <c r="AH39" i="1"/>
  <c r="AR39" i="1"/>
  <c r="BC39" i="1"/>
  <c r="BN39" i="1"/>
  <c r="BX39" i="1"/>
  <c r="CI39" i="1"/>
  <c r="N70" i="3"/>
  <c r="Z74" i="3"/>
  <c r="Y138" i="3"/>
  <c r="Q138" i="3"/>
  <c r="I138" i="3"/>
  <c r="AB137" i="3"/>
  <c r="T137" i="3"/>
  <c r="L137" i="3"/>
  <c r="AE136" i="3"/>
  <c r="W136" i="3"/>
  <c r="O136" i="3"/>
  <c r="G136" i="3"/>
  <c r="Z135" i="3"/>
  <c r="R135" i="3"/>
  <c r="J135" i="3"/>
  <c r="AC134" i="3"/>
  <c r="U134" i="3"/>
  <c r="M134" i="3"/>
  <c r="AF133" i="3"/>
  <c r="X133" i="3"/>
  <c r="P133" i="3"/>
  <c r="H133" i="3"/>
  <c r="AA132" i="3"/>
  <c r="S132" i="3"/>
  <c r="K132" i="3"/>
  <c r="AD131" i="3"/>
  <c r="V131" i="3"/>
  <c r="N131" i="3"/>
  <c r="Y130" i="3"/>
  <c r="Q130" i="3"/>
  <c r="I130" i="3"/>
  <c r="AB129" i="3"/>
  <c r="T129" i="3"/>
  <c r="L129" i="3"/>
  <c r="AE128" i="3"/>
  <c r="W128" i="3"/>
  <c r="O128" i="3"/>
  <c r="G128" i="3"/>
  <c r="Z127" i="3"/>
  <c r="R127" i="3"/>
  <c r="J127" i="3"/>
  <c r="AC126" i="3"/>
  <c r="U126" i="3"/>
  <c r="M126" i="3"/>
  <c r="AF125" i="3"/>
  <c r="X125" i="3"/>
  <c r="P125" i="3"/>
  <c r="H125" i="3"/>
  <c r="AA124" i="3"/>
  <c r="S124" i="3"/>
  <c r="K124" i="3"/>
  <c r="AD123" i="3"/>
  <c r="V123" i="3"/>
  <c r="N123" i="3"/>
  <c r="Y122" i="3"/>
  <c r="X138" i="3"/>
  <c r="O138" i="3"/>
  <c r="X137" i="3"/>
  <c r="O137" i="3"/>
  <c r="X136" i="3"/>
  <c r="N136" i="3"/>
  <c r="AF135" i="3"/>
  <c r="W135" i="3"/>
  <c r="N135" i="3"/>
  <c r="AF134" i="3"/>
  <c r="W134" i="3"/>
  <c r="N134" i="3"/>
  <c r="AE133" i="3"/>
  <c r="V133" i="3"/>
  <c r="M133" i="3"/>
  <c r="AE132" i="3"/>
  <c r="V132" i="3"/>
  <c r="M132" i="3"/>
  <c r="AE131" i="3"/>
  <c r="U131" i="3"/>
  <c r="L131" i="3"/>
  <c r="AE130" i="3"/>
  <c r="V130" i="3"/>
  <c r="M130" i="3"/>
  <c r="AE129" i="3"/>
  <c r="V129" i="3"/>
  <c r="M129" i="3"/>
  <c r="AD128" i="3"/>
  <c r="U128" i="3"/>
  <c r="L128" i="3"/>
  <c r="AD127" i="3"/>
  <c r="U127" i="3"/>
  <c r="L127" i="3"/>
  <c r="AD126" i="3"/>
  <c r="T126" i="3"/>
  <c r="K126" i="3"/>
  <c r="AC125" i="3"/>
  <c r="T125" i="3"/>
  <c r="K125" i="3"/>
  <c r="AC124" i="3"/>
  <c r="T124" i="3"/>
  <c r="J124" i="3"/>
  <c r="AB123" i="3"/>
  <c r="S123" i="3"/>
  <c r="J123" i="3"/>
  <c r="AC122" i="3"/>
  <c r="T122" i="3"/>
  <c r="L122" i="3"/>
  <c r="AE121" i="3"/>
  <c r="W121" i="3"/>
  <c r="O121" i="3"/>
  <c r="G121" i="3"/>
  <c r="Z120" i="3"/>
  <c r="R120" i="3"/>
  <c r="J120" i="3"/>
  <c r="AC119" i="3"/>
  <c r="U119" i="3"/>
  <c r="M119" i="3"/>
  <c r="AF118" i="3"/>
  <c r="X118" i="3"/>
  <c r="P118" i="3"/>
  <c r="H118" i="3"/>
  <c r="AA117" i="3"/>
  <c r="S117" i="3"/>
  <c r="K117" i="3"/>
  <c r="AD116" i="3"/>
  <c r="V116" i="3"/>
  <c r="N116" i="3"/>
  <c r="Y115" i="3"/>
  <c r="Q115" i="3"/>
  <c r="I115" i="3"/>
  <c r="AB114" i="3"/>
  <c r="T114" i="3"/>
  <c r="L114" i="3"/>
  <c r="AE113" i="3"/>
  <c r="W113" i="3"/>
  <c r="O113" i="3"/>
  <c r="G113" i="3"/>
  <c r="Z112" i="3"/>
  <c r="R112" i="3"/>
  <c r="J112" i="3"/>
  <c r="AF138" i="3"/>
  <c r="W138" i="3"/>
  <c r="N138" i="3"/>
  <c r="AF137" i="3"/>
  <c r="W137" i="3"/>
  <c r="N137" i="3"/>
  <c r="AF136" i="3"/>
  <c r="V136" i="3"/>
  <c r="M136" i="3"/>
  <c r="AE135" i="3"/>
  <c r="V135" i="3"/>
  <c r="M135" i="3"/>
  <c r="AE134" i="3"/>
  <c r="V134" i="3"/>
  <c r="L134" i="3"/>
  <c r="AD133" i="3"/>
  <c r="U133" i="3"/>
  <c r="L133" i="3"/>
  <c r="AD132" i="3"/>
  <c r="U132" i="3"/>
  <c r="L132" i="3"/>
  <c r="AC131" i="3"/>
  <c r="T131" i="3"/>
  <c r="K131" i="3"/>
  <c r="AD130" i="3"/>
  <c r="U130" i="3"/>
  <c r="L130" i="3"/>
  <c r="AD129" i="3"/>
  <c r="U129" i="3"/>
  <c r="K129" i="3"/>
  <c r="AC128" i="3"/>
  <c r="T128" i="3"/>
  <c r="K128" i="3"/>
  <c r="AC127" i="3"/>
  <c r="T127" i="3"/>
  <c r="K127" i="3"/>
  <c r="AB126" i="3"/>
  <c r="S126" i="3"/>
  <c r="J126" i="3"/>
  <c r="AB125" i="3"/>
  <c r="S125" i="3"/>
  <c r="J125" i="3"/>
  <c r="AB124" i="3"/>
  <c r="R124" i="3"/>
  <c r="I124" i="3"/>
  <c r="AE138" i="3"/>
  <c r="V138" i="3"/>
  <c r="M138" i="3"/>
  <c r="AE137" i="3"/>
  <c r="V137" i="3"/>
  <c r="M137" i="3"/>
  <c r="AD136" i="3"/>
  <c r="U136" i="3"/>
  <c r="L136" i="3"/>
  <c r="AD135" i="3"/>
  <c r="U135" i="3"/>
  <c r="L135" i="3"/>
  <c r="AD134" i="3"/>
  <c r="T134" i="3"/>
  <c r="K134" i="3"/>
  <c r="AC133" i="3"/>
  <c r="T133" i="3"/>
  <c r="K133" i="3"/>
  <c r="AC132" i="3"/>
  <c r="T132" i="3"/>
  <c r="J132" i="3"/>
  <c r="AB131" i="3"/>
  <c r="S131" i="3"/>
  <c r="J131" i="3"/>
  <c r="AC130" i="3"/>
  <c r="T130" i="3"/>
  <c r="K130" i="3"/>
  <c r="AC129" i="3"/>
  <c r="S129" i="3"/>
  <c r="J129" i="3"/>
  <c r="AB128" i="3"/>
  <c r="S128" i="3"/>
  <c r="J128" i="3"/>
  <c r="AB127" i="3"/>
  <c r="S127" i="3"/>
  <c r="I127" i="3"/>
  <c r="AA126" i="3"/>
  <c r="R126" i="3"/>
  <c r="I126" i="3"/>
  <c r="AA125" i="3"/>
  <c r="R125" i="3"/>
  <c r="I125" i="3"/>
  <c r="Z124" i="3"/>
  <c r="Q124" i="3"/>
  <c r="H124" i="3"/>
  <c r="Z123" i="3"/>
  <c r="Q123" i="3"/>
  <c r="H123" i="3"/>
  <c r="AA122" i="3"/>
  <c r="R122" i="3"/>
  <c r="J122" i="3"/>
  <c r="AC121" i="3"/>
  <c r="U121" i="3"/>
  <c r="M121" i="3"/>
  <c r="AF120" i="3"/>
  <c r="X120" i="3"/>
  <c r="P120" i="3"/>
  <c r="H120" i="3"/>
  <c r="AA119" i="3"/>
  <c r="S119" i="3"/>
  <c r="K119" i="3"/>
  <c r="AD118" i="3"/>
  <c r="V118" i="3"/>
  <c r="N118" i="3"/>
  <c r="Y117" i="3"/>
  <c r="Q117" i="3"/>
  <c r="I117" i="3"/>
  <c r="AB116" i="3"/>
  <c r="T116" i="3"/>
  <c r="L116" i="3"/>
  <c r="AE115" i="3"/>
  <c r="W115" i="3"/>
  <c r="O115" i="3"/>
  <c r="G115" i="3"/>
  <c r="Z114" i="3"/>
  <c r="R114" i="3"/>
  <c r="J114" i="3"/>
  <c r="AC113" i="3"/>
  <c r="U113" i="3"/>
  <c r="M113" i="3"/>
  <c r="AF112" i="3"/>
  <c r="X112" i="3"/>
  <c r="P112" i="3"/>
  <c r="H112" i="3"/>
  <c r="AD138" i="3"/>
  <c r="U138" i="3"/>
  <c r="L138" i="3"/>
  <c r="AD137" i="3"/>
  <c r="U137" i="3"/>
  <c r="K137" i="3"/>
  <c r="AC136" i="3"/>
  <c r="T136" i="3"/>
  <c r="K136" i="3"/>
  <c r="AC135" i="3"/>
  <c r="T135" i="3"/>
  <c r="K135" i="3"/>
  <c r="AB134" i="3"/>
  <c r="S134" i="3"/>
  <c r="J134" i="3"/>
  <c r="AB133" i="3"/>
  <c r="S133" i="3"/>
  <c r="J133" i="3"/>
  <c r="AB132" i="3"/>
  <c r="R132" i="3"/>
  <c r="I132" i="3"/>
  <c r="AA131" i="3"/>
  <c r="R131" i="3"/>
  <c r="I131" i="3"/>
  <c r="AB130" i="3"/>
  <c r="S130" i="3"/>
  <c r="J130" i="3"/>
  <c r="AA129" i="3"/>
  <c r="R129" i="3"/>
  <c r="I129" i="3"/>
  <c r="AA128" i="3"/>
  <c r="R128" i="3"/>
  <c r="I128" i="3"/>
  <c r="AA127" i="3"/>
  <c r="Q127" i="3"/>
  <c r="H127" i="3"/>
  <c r="Z126" i="3"/>
  <c r="Q126" i="3"/>
  <c r="H126" i="3"/>
  <c r="Z125" i="3"/>
  <c r="Q125" i="3"/>
  <c r="G125" i="3"/>
  <c r="Y124" i="3"/>
  <c r="P124" i="3"/>
  <c r="G124" i="3"/>
  <c r="Y123" i="3"/>
  <c r="P123" i="3"/>
  <c r="G123" i="3"/>
  <c r="Z122" i="3"/>
  <c r="Q122" i="3"/>
  <c r="I122" i="3"/>
  <c r="AB121" i="3"/>
  <c r="T121" i="3"/>
  <c r="L121" i="3"/>
  <c r="AE120" i="3"/>
  <c r="W120" i="3"/>
  <c r="O120" i="3"/>
  <c r="G120" i="3"/>
  <c r="Z119" i="3"/>
  <c r="R119" i="3"/>
  <c r="J119" i="3"/>
  <c r="AC118" i="3"/>
  <c r="U118" i="3"/>
  <c r="M118" i="3"/>
  <c r="AF117" i="3"/>
  <c r="X117" i="3"/>
  <c r="P117" i="3"/>
  <c r="H117" i="3"/>
  <c r="AA116" i="3"/>
  <c r="S116" i="3"/>
  <c r="K116" i="3"/>
  <c r="AD115" i="3"/>
  <c r="V115" i="3"/>
  <c r="N115" i="3"/>
  <c r="Y114" i="3"/>
  <c r="Q114" i="3"/>
  <c r="I114" i="3"/>
  <c r="AB113" i="3"/>
  <c r="T113" i="3"/>
  <c r="L113" i="3"/>
  <c r="AE112" i="3"/>
  <c r="W112" i="3"/>
  <c r="O112" i="3"/>
  <c r="G112" i="3"/>
  <c r="AC138" i="3"/>
  <c r="T138" i="3"/>
  <c r="K138" i="3"/>
  <c r="AC137" i="3"/>
  <c r="S137" i="3"/>
  <c r="J137" i="3"/>
  <c r="AB136" i="3"/>
  <c r="S136" i="3"/>
  <c r="J136" i="3"/>
  <c r="AB135" i="3"/>
  <c r="S135" i="3"/>
  <c r="I135" i="3"/>
  <c r="AA134" i="3"/>
  <c r="R134" i="3"/>
  <c r="I134" i="3"/>
  <c r="AA133" i="3"/>
  <c r="R133" i="3"/>
  <c r="I133" i="3"/>
  <c r="Z132" i="3"/>
  <c r="Q132" i="3"/>
  <c r="H132" i="3"/>
  <c r="Z131" i="3"/>
  <c r="Q131" i="3"/>
  <c r="H131" i="3"/>
  <c r="AA130" i="3"/>
  <c r="R130" i="3"/>
  <c r="H130" i="3"/>
  <c r="Z129" i="3"/>
  <c r="Q129" i="3"/>
  <c r="H129" i="3"/>
  <c r="Z128" i="3"/>
  <c r="Q128" i="3"/>
  <c r="H128" i="3"/>
  <c r="Y127" i="3"/>
  <c r="P127" i="3"/>
  <c r="G127" i="3"/>
  <c r="Y126" i="3"/>
  <c r="P126" i="3"/>
  <c r="G126" i="3"/>
  <c r="Y125" i="3"/>
  <c r="O125" i="3"/>
  <c r="X124" i="3"/>
  <c r="O124" i="3"/>
  <c r="X123" i="3"/>
  <c r="O123" i="3"/>
  <c r="X122" i="3"/>
  <c r="P122" i="3"/>
  <c r="H122" i="3"/>
  <c r="AA121" i="3"/>
  <c r="S121" i="3"/>
  <c r="K121" i="3"/>
  <c r="AD120" i="3"/>
  <c r="V120" i="3"/>
  <c r="N120" i="3"/>
  <c r="Y119" i="3"/>
  <c r="Q119" i="3"/>
  <c r="I119" i="3"/>
  <c r="AB118" i="3"/>
  <c r="T118" i="3"/>
  <c r="L118" i="3"/>
  <c r="AE117" i="3"/>
  <c r="W117" i="3"/>
  <c r="O117" i="3"/>
  <c r="G117" i="3"/>
  <c r="Z116" i="3"/>
  <c r="R116" i="3"/>
  <c r="J116" i="3"/>
  <c r="AC115" i="3"/>
  <c r="U115" i="3"/>
  <c r="M115" i="3"/>
  <c r="AF114" i="3"/>
  <c r="X114" i="3"/>
  <c r="P114" i="3"/>
  <c r="H114" i="3"/>
  <c r="AA113" i="3"/>
  <c r="S113" i="3"/>
  <c r="K113" i="3"/>
  <c r="AD112" i="3"/>
  <c r="V112" i="3"/>
  <c r="N112" i="3"/>
  <c r="AB138" i="3"/>
  <c r="S138" i="3"/>
  <c r="J138" i="3"/>
  <c r="AA137" i="3"/>
  <c r="R137" i="3"/>
  <c r="I137" i="3"/>
  <c r="AA136" i="3"/>
  <c r="R136" i="3"/>
  <c r="I136" i="3"/>
  <c r="AA135" i="3"/>
  <c r="Q135" i="3"/>
  <c r="H135" i="3"/>
  <c r="Z134" i="3"/>
  <c r="Q134" i="3"/>
  <c r="H134" i="3"/>
  <c r="Z133" i="3"/>
  <c r="Q133" i="3"/>
  <c r="G133" i="3"/>
  <c r="Y132" i="3"/>
  <c r="P132" i="3"/>
  <c r="G132" i="3"/>
  <c r="Y131" i="3"/>
  <c r="P131" i="3"/>
  <c r="G131" i="3"/>
  <c r="Z130" i="3"/>
  <c r="P130" i="3"/>
  <c r="G130" i="3"/>
  <c r="Y129" i="3"/>
  <c r="P129" i="3"/>
  <c r="G129" i="3"/>
  <c r="Y128" i="3"/>
  <c r="P128" i="3"/>
  <c r="X127" i="3"/>
  <c r="O127" i="3"/>
  <c r="X126" i="3"/>
  <c r="O126" i="3"/>
  <c r="W125" i="3"/>
  <c r="N125" i="3"/>
  <c r="AF124" i="3"/>
  <c r="W124" i="3"/>
  <c r="N124" i="3"/>
  <c r="AF123" i="3"/>
  <c r="W123" i="3"/>
  <c r="M123" i="3"/>
  <c r="AF122" i="3"/>
  <c r="W122" i="3"/>
  <c r="O122" i="3"/>
  <c r="G122" i="3"/>
  <c r="Z121" i="3"/>
  <c r="R121" i="3"/>
  <c r="J121" i="3"/>
  <c r="AC120" i="3"/>
  <c r="U120" i="3"/>
  <c r="M120" i="3"/>
  <c r="AF119" i="3"/>
  <c r="X119" i="3"/>
  <c r="P119" i="3"/>
  <c r="H119" i="3"/>
  <c r="AA118" i="3"/>
  <c r="S118" i="3"/>
  <c r="K118" i="3"/>
  <c r="AD117" i="3"/>
  <c r="V117" i="3"/>
  <c r="N117" i="3"/>
  <c r="Y116" i="3"/>
  <c r="Q116" i="3"/>
  <c r="I116" i="3"/>
  <c r="AB115" i="3"/>
  <c r="T115" i="3"/>
  <c r="L115" i="3"/>
  <c r="AE114" i="3"/>
  <c r="W114" i="3"/>
  <c r="O114" i="3"/>
  <c r="G114" i="3"/>
  <c r="Z113" i="3"/>
  <c r="R113" i="3"/>
  <c r="J113" i="3"/>
  <c r="AC112" i="3"/>
  <c r="U112" i="3"/>
  <c r="M112" i="3"/>
  <c r="AA138" i="3"/>
  <c r="Y137" i="3"/>
  <c r="Q136" i="3"/>
  <c r="G135" i="3"/>
  <c r="Y133" i="3"/>
  <c r="O132" i="3"/>
  <c r="X129" i="3"/>
  <c r="N128" i="3"/>
  <c r="M127" i="3"/>
  <c r="AE124" i="3"/>
  <c r="AC123" i="3"/>
  <c r="M122" i="3"/>
  <c r="Q121" i="3"/>
  <c r="Y120" i="3"/>
  <c r="AE119" i="3"/>
  <c r="L119" i="3"/>
  <c r="Q118" i="3"/>
  <c r="Z117" i="3"/>
  <c r="AF116" i="3"/>
  <c r="M116" i="3"/>
  <c r="S115" i="3"/>
  <c r="AC114" i="3"/>
  <c r="N113" i="3"/>
  <c r="S112" i="3"/>
  <c r="Z138" i="3"/>
  <c r="Q137" i="3"/>
  <c r="P136" i="3"/>
  <c r="W133" i="3"/>
  <c r="N132" i="3"/>
  <c r="AF130" i="3"/>
  <c r="W129" i="3"/>
  <c r="M128" i="3"/>
  <c r="AE125" i="3"/>
  <c r="AD124" i="3"/>
  <c r="AA123" i="3"/>
  <c r="AE122" i="3"/>
  <c r="K122" i="3"/>
  <c r="P121" i="3"/>
  <c r="T120" i="3"/>
  <c r="AD119" i="3"/>
  <c r="G119" i="3"/>
  <c r="O118" i="3"/>
  <c r="U117" i="3"/>
  <c r="AE116" i="3"/>
  <c r="H116" i="3"/>
  <c r="R115" i="3"/>
  <c r="AA114" i="3"/>
  <c r="AF113" i="3"/>
  <c r="I113" i="3"/>
  <c r="Q112" i="3"/>
  <c r="R138" i="3"/>
  <c r="P137" i="3"/>
  <c r="H136" i="3"/>
  <c r="Y134" i="3"/>
  <c r="O133" i="3"/>
  <c r="X130" i="3"/>
  <c r="O129" i="3"/>
  <c r="AF126" i="3"/>
  <c r="AD125" i="3"/>
  <c r="V124" i="3"/>
  <c r="U123" i="3"/>
  <c r="AD122" i="3"/>
  <c r="N121" i="3"/>
  <c r="S120" i="3"/>
  <c r="AB119" i="3"/>
  <c r="J118" i="3"/>
  <c r="T117" i="3"/>
  <c r="AC116" i="3"/>
  <c r="G116" i="3"/>
  <c r="P115" i="3"/>
  <c r="V114" i="3"/>
  <c r="AD113" i="3"/>
  <c r="H113" i="3"/>
  <c r="L112" i="3"/>
  <c r="P138" i="3"/>
  <c r="H137" i="3"/>
  <c r="X134" i="3"/>
  <c r="N133" i="3"/>
  <c r="AF131" i="3"/>
  <c r="W130" i="3"/>
  <c r="N129" i="3"/>
  <c r="AF127" i="3"/>
  <c r="AE126" i="3"/>
  <c r="V125" i="3"/>
  <c r="U124" i="3"/>
  <c r="T123" i="3"/>
  <c r="AB122" i="3"/>
  <c r="AF121" i="3"/>
  <c r="I121" i="3"/>
  <c r="Q120" i="3"/>
  <c r="W119" i="3"/>
  <c r="AE118" i="3"/>
  <c r="I118" i="3"/>
  <c r="R117" i="3"/>
  <c r="X116" i="3"/>
  <c r="K115" i="3"/>
  <c r="U114" i="3"/>
  <c r="Y113" i="3"/>
  <c r="K112" i="3"/>
  <c r="H138" i="3"/>
  <c r="G137" i="3"/>
  <c r="Y135" i="3"/>
  <c r="P134" i="3"/>
  <c r="X131" i="3"/>
  <c r="O130" i="3"/>
  <c r="AE127" i="3"/>
  <c r="W126" i="3"/>
  <c r="U125" i="3"/>
  <c r="M124" i="3"/>
  <c r="R123" i="3"/>
  <c r="V122" i="3"/>
  <c r="AD121" i="3"/>
  <c r="H121" i="3"/>
  <c r="L120" i="3"/>
  <c r="V119" i="3"/>
  <c r="Z118" i="3"/>
  <c r="G118" i="3"/>
  <c r="M117" i="3"/>
  <c r="W116" i="3"/>
  <c r="AF115" i="3"/>
  <c r="J115" i="3"/>
  <c r="S114" i="3"/>
  <c r="X113" i="3"/>
  <c r="AB112" i="3"/>
  <c r="I112" i="3"/>
  <c r="G138" i="3"/>
  <c r="X135" i="3"/>
  <c r="O134" i="3"/>
  <c r="AF132" i="3"/>
  <c r="W131" i="3"/>
  <c r="N130" i="3"/>
  <c r="AF128" i="3"/>
  <c r="W127" i="3"/>
  <c r="V126" i="3"/>
  <c r="M125" i="3"/>
  <c r="L124" i="3"/>
  <c r="L123" i="3"/>
  <c r="U122" i="3"/>
  <c r="Y121" i="3"/>
  <c r="K120" i="3"/>
  <c r="T119" i="3"/>
  <c r="Y118" i="3"/>
  <c r="L117" i="3"/>
  <c r="U116" i="3"/>
  <c r="AA115" i="3"/>
  <c r="H115" i="3"/>
  <c r="N114" i="3"/>
  <c r="V113" i="3"/>
  <c r="AA112" i="3"/>
  <c r="Y136" i="3"/>
  <c r="X132" i="3"/>
  <c r="L126" i="3"/>
  <c r="AA120" i="3"/>
  <c r="Z115" i="3"/>
  <c r="P113" i="3"/>
  <c r="W132" i="3"/>
  <c r="X128" i="3"/>
  <c r="S122" i="3"/>
  <c r="I120" i="3"/>
  <c r="AC117" i="3"/>
  <c r="X115" i="3"/>
  <c r="P135" i="3"/>
  <c r="V128" i="3"/>
  <c r="L125" i="3"/>
  <c r="N122" i="3"/>
  <c r="AB117" i="3"/>
  <c r="Y112" i="3"/>
  <c r="O135" i="3"/>
  <c r="O131" i="3"/>
  <c r="O119" i="3"/>
  <c r="J117" i="3"/>
  <c r="AD114" i="3"/>
  <c r="T112" i="3"/>
  <c r="M131" i="3"/>
  <c r="V127" i="3"/>
  <c r="X121" i="3"/>
  <c r="N119" i="3"/>
  <c r="M114" i="3"/>
  <c r="Z137" i="3"/>
  <c r="G134" i="3"/>
  <c r="N127" i="3"/>
  <c r="AE123" i="3"/>
  <c r="V121" i="3"/>
  <c r="P116" i="3"/>
  <c r="K114" i="3"/>
  <c r="N126" i="3"/>
  <c r="O116" i="3"/>
  <c r="AB120" i="3"/>
  <c r="Z136" i="3"/>
  <c r="AF129" i="3"/>
  <c r="K123" i="3"/>
  <c r="W118" i="3"/>
  <c r="Q113" i="3"/>
  <c r="L33" i="1"/>
  <c r="T33" i="1"/>
  <c r="AB33" i="1"/>
  <c r="AJ33" i="1"/>
  <c r="AR33" i="1"/>
  <c r="AZ33" i="1"/>
  <c r="BH33" i="1"/>
  <c r="BP33" i="1"/>
  <c r="BX33" i="1"/>
  <c r="CF33" i="1"/>
  <c r="K36" i="1"/>
  <c r="S36" i="1"/>
  <c r="AA36" i="1"/>
  <c r="AI36" i="1"/>
  <c r="AQ36" i="1"/>
  <c r="AY36" i="1"/>
  <c r="BH36" i="1"/>
  <c r="BS36" i="1"/>
  <c r="CD36" i="1"/>
  <c r="N39" i="1"/>
  <c r="Y39" i="1"/>
  <c r="AI39" i="1"/>
  <c r="AT39" i="1"/>
  <c r="BE39" i="1"/>
  <c r="BO39" i="1"/>
  <c r="BZ39" i="1"/>
  <c r="Y59" i="3"/>
  <c r="AF62" i="3"/>
  <c r="T66" i="3"/>
  <c r="AC70" i="3"/>
  <c r="M81" i="3"/>
  <c r="Z59" i="3"/>
  <c r="AF66" i="3"/>
  <c r="Z192" i="3"/>
  <c r="R192" i="3"/>
  <c r="J192" i="3"/>
  <c r="AC191" i="3"/>
  <c r="U191" i="3"/>
  <c r="M191" i="3"/>
  <c r="AF190" i="3"/>
  <c r="X190" i="3"/>
  <c r="P190" i="3"/>
  <c r="H190" i="3"/>
  <c r="AA189" i="3"/>
  <c r="S189" i="3"/>
  <c r="K189" i="3"/>
  <c r="AD188" i="3"/>
  <c r="V188" i="3"/>
  <c r="N188" i="3"/>
  <c r="Y187" i="3"/>
  <c r="Q187" i="3"/>
  <c r="I187" i="3"/>
  <c r="AB186" i="3"/>
  <c r="T186" i="3"/>
  <c r="L186" i="3"/>
  <c r="AE185" i="3"/>
  <c r="W185" i="3"/>
  <c r="O185" i="3"/>
  <c r="G185" i="3"/>
  <c r="Z184" i="3"/>
  <c r="R184" i="3"/>
  <c r="J184" i="3"/>
  <c r="AC183" i="3"/>
  <c r="U183" i="3"/>
  <c r="M183" i="3"/>
  <c r="AF182" i="3"/>
  <c r="X182" i="3"/>
  <c r="P182" i="3"/>
  <c r="H182" i="3"/>
  <c r="AA181" i="3"/>
  <c r="S181" i="3"/>
  <c r="K181" i="3"/>
  <c r="AD180" i="3"/>
  <c r="V180" i="3"/>
  <c r="N180" i="3"/>
  <c r="Y179" i="3"/>
  <c r="Q179" i="3"/>
  <c r="AF192" i="3"/>
  <c r="W192" i="3"/>
  <c r="N192" i="3"/>
  <c r="AF191" i="3"/>
  <c r="W191" i="3"/>
  <c r="N191" i="3"/>
  <c r="AE190" i="3"/>
  <c r="V190" i="3"/>
  <c r="M190" i="3"/>
  <c r="AE189" i="3"/>
  <c r="V189" i="3"/>
  <c r="M189" i="3"/>
  <c r="AE188" i="3"/>
  <c r="U188" i="3"/>
  <c r="L188" i="3"/>
  <c r="AE187" i="3"/>
  <c r="V187" i="3"/>
  <c r="M187" i="3"/>
  <c r="AE186" i="3"/>
  <c r="V186" i="3"/>
  <c r="M186" i="3"/>
  <c r="AD185" i="3"/>
  <c r="U185" i="3"/>
  <c r="L185" i="3"/>
  <c r="AD184" i="3"/>
  <c r="U184" i="3"/>
  <c r="L184" i="3"/>
  <c r="AD183" i="3"/>
  <c r="T183" i="3"/>
  <c r="K183" i="3"/>
  <c r="AC182" i="3"/>
  <c r="T182" i="3"/>
  <c r="K182" i="3"/>
  <c r="AC181" i="3"/>
  <c r="T181" i="3"/>
  <c r="J181" i="3"/>
  <c r="AB180" i="3"/>
  <c r="S180" i="3"/>
  <c r="J180" i="3"/>
  <c r="AC179" i="3"/>
  <c r="T179" i="3"/>
  <c r="K179" i="3"/>
  <c r="AD178" i="3"/>
  <c r="V178" i="3"/>
  <c r="N178" i="3"/>
  <c r="Y177" i="3"/>
  <c r="Q177" i="3"/>
  <c r="I177" i="3"/>
  <c r="AB176" i="3"/>
  <c r="T176" i="3"/>
  <c r="L176" i="3"/>
  <c r="AE175" i="3"/>
  <c r="W175" i="3"/>
  <c r="O175" i="3"/>
  <c r="G175" i="3"/>
  <c r="Z174" i="3"/>
  <c r="R174" i="3"/>
  <c r="J174" i="3"/>
  <c r="AE192" i="3"/>
  <c r="V192" i="3"/>
  <c r="M192" i="3"/>
  <c r="AE191" i="3"/>
  <c r="V191" i="3"/>
  <c r="L191" i="3"/>
  <c r="AD190" i="3"/>
  <c r="U190" i="3"/>
  <c r="L190" i="3"/>
  <c r="AD189" i="3"/>
  <c r="U189" i="3"/>
  <c r="L189" i="3"/>
  <c r="AC188" i="3"/>
  <c r="T188" i="3"/>
  <c r="K188" i="3"/>
  <c r="AD187" i="3"/>
  <c r="U187" i="3"/>
  <c r="L187" i="3"/>
  <c r="AD186" i="3"/>
  <c r="U186" i="3"/>
  <c r="K186" i="3"/>
  <c r="AC185" i="3"/>
  <c r="T185" i="3"/>
  <c r="K185" i="3"/>
  <c r="AC184" i="3"/>
  <c r="T184" i="3"/>
  <c r="K184" i="3"/>
  <c r="AB183" i="3"/>
  <c r="S183" i="3"/>
  <c r="J183" i="3"/>
  <c r="AB182" i="3"/>
  <c r="S182" i="3"/>
  <c r="J182" i="3"/>
  <c r="AB181" i="3"/>
  <c r="R181" i="3"/>
  <c r="I181" i="3"/>
  <c r="AA180" i="3"/>
  <c r="R180" i="3"/>
  <c r="I180" i="3"/>
  <c r="AB179" i="3"/>
  <c r="S179" i="3"/>
  <c r="J179" i="3"/>
  <c r="AC178" i="3"/>
  <c r="U178" i="3"/>
  <c r="M178" i="3"/>
  <c r="AF177" i="3"/>
  <c r="X177" i="3"/>
  <c r="P177" i="3"/>
  <c r="H177" i="3"/>
  <c r="AA176" i="3"/>
  <c r="S176" i="3"/>
  <c r="K176" i="3"/>
  <c r="AD175" i="3"/>
  <c r="V175" i="3"/>
  <c r="N175" i="3"/>
  <c r="Y174" i="3"/>
  <c r="Q174" i="3"/>
  <c r="I174" i="3"/>
  <c r="AB173" i="3"/>
  <c r="T173" i="3"/>
  <c r="L173" i="3"/>
  <c r="AE172" i="3"/>
  <c r="W172" i="3"/>
  <c r="O172" i="3"/>
  <c r="G172" i="3"/>
  <c r="Z171" i="3"/>
  <c r="R171" i="3"/>
  <c r="J171" i="3"/>
  <c r="AC170" i="3"/>
  <c r="U170" i="3"/>
  <c r="M170" i="3"/>
  <c r="AF169" i="3"/>
  <c r="X169" i="3"/>
  <c r="P169" i="3"/>
  <c r="H169" i="3"/>
  <c r="AA168" i="3"/>
  <c r="S168" i="3"/>
  <c r="K168" i="3"/>
  <c r="AD167" i="3"/>
  <c r="V167" i="3"/>
  <c r="N167" i="3"/>
  <c r="Y166" i="3"/>
  <c r="Q166" i="3"/>
  <c r="I166" i="3"/>
  <c r="AD192" i="3"/>
  <c r="U192" i="3"/>
  <c r="L192" i="3"/>
  <c r="AD191" i="3"/>
  <c r="T191" i="3"/>
  <c r="K191" i="3"/>
  <c r="AC190" i="3"/>
  <c r="T190" i="3"/>
  <c r="K190" i="3"/>
  <c r="AC189" i="3"/>
  <c r="T189" i="3"/>
  <c r="J189" i="3"/>
  <c r="AB188" i="3"/>
  <c r="S188" i="3"/>
  <c r="J188" i="3"/>
  <c r="AC187" i="3"/>
  <c r="T187" i="3"/>
  <c r="K187" i="3"/>
  <c r="AC186" i="3"/>
  <c r="S186" i="3"/>
  <c r="J186" i="3"/>
  <c r="AB185" i="3"/>
  <c r="S185" i="3"/>
  <c r="J185" i="3"/>
  <c r="AB184" i="3"/>
  <c r="S184" i="3"/>
  <c r="I184" i="3"/>
  <c r="AA183" i="3"/>
  <c r="R183" i="3"/>
  <c r="I183" i="3"/>
  <c r="AA182" i="3"/>
  <c r="R182" i="3"/>
  <c r="I182" i="3"/>
  <c r="Z181" i="3"/>
  <c r="Q181" i="3"/>
  <c r="H181" i="3"/>
  <c r="Z180" i="3"/>
  <c r="Q180" i="3"/>
  <c r="H180" i="3"/>
  <c r="AA179" i="3"/>
  <c r="R179" i="3"/>
  <c r="I179" i="3"/>
  <c r="AB178" i="3"/>
  <c r="T178" i="3"/>
  <c r="L178" i="3"/>
  <c r="AE177" i="3"/>
  <c r="W177" i="3"/>
  <c r="O177" i="3"/>
  <c r="G177" i="3"/>
  <c r="Z176" i="3"/>
  <c r="R176" i="3"/>
  <c r="J176" i="3"/>
  <c r="AC175" i="3"/>
  <c r="AC192" i="3"/>
  <c r="T192" i="3"/>
  <c r="K192" i="3"/>
  <c r="AB191" i="3"/>
  <c r="S191" i="3"/>
  <c r="J191" i="3"/>
  <c r="AB190" i="3"/>
  <c r="S190" i="3"/>
  <c r="J190" i="3"/>
  <c r="AB189" i="3"/>
  <c r="R189" i="3"/>
  <c r="I189" i="3"/>
  <c r="AA188" i="3"/>
  <c r="R188" i="3"/>
  <c r="I188" i="3"/>
  <c r="AB187" i="3"/>
  <c r="S187" i="3"/>
  <c r="J187" i="3"/>
  <c r="AA186" i="3"/>
  <c r="R186" i="3"/>
  <c r="I186" i="3"/>
  <c r="AA185" i="3"/>
  <c r="R185" i="3"/>
  <c r="I185" i="3"/>
  <c r="AA184" i="3"/>
  <c r="Q184" i="3"/>
  <c r="H184" i="3"/>
  <c r="Z183" i="3"/>
  <c r="Q183" i="3"/>
  <c r="H183" i="3"/>
  <c r="Z182" i="3"/>
  <c r="Q182" i="3"/>
  <c r="G182" i="3"/>
  <c r="Y181" i="3"/>
  <c r="P181" i="3"/>
  <c r="G181" i="3"/>
  <c r="Y180" i="3"/>
  <c r="P180" i="3"/>
  <c r="G180" i="3"/>
  <c r="Z179" i="3"/>
  <c r="P179" i="3"/>
  <c r="H179" i="3"/>
  <c r="AA178" i="3"/>
  <c r="S178" i="3"/>
  <c r="K178" i="3"/>
  <c r="AD177" i="3"/>
  <c r="V177" i="3"/>
  <c r="N177" i="3"/>
  <c r="Y176" i="3"/>
  <c r="Q176" i="3"/>
  <c r="I176" i="3"/>
  <c r="AB192" i="3"/>
  <c r="S192" i="3"/>
  <c r="I192" i="3"/>
  <c r="AA191" i="3"/>
  <c r="R191" i="3"/>
  <c r="I191" i="3"/>
  <c r="AA190" i="3"/>
  <c r="R190" i="3"/>
  <c r="I190" i="3"/>
  <c r="Z189" i="3"/>
  <c r="Q189" i="3"/>
  <c r="H189" i="3"/>
  <c r="Z188" i="3"/>
  <c r="Q188" i="3"/>
  <c r="H188" i="3"/>
  <c r="AA187" i="3"/>
  <c r="R187" i="3"/>
  <c r="H187" i="3"/>
  <c r="Z186" i="3"/>
  <c r="Q186" i="3"/>
  <c r="H186" i="3"/>
  <c r="Z185" i="3"/>
  <c r="Q185" i="3"/>
  <c r="H185" i="3"/>
  <c r="Y184" i="3"/>
  <c r="P184" i="3"/>
  <c r="G184" i="3"/>
  <c r="Y183" i="3"/>
  <c r="P183" i="3"/>
  <c r="G183" i="3"/>
  <c r="Y182" i="3"/>
  <c r="O182" i="3"/>
  <c r="X181" i="3"/>
  <c r="O181" i="3"/>
  <c r="X180" i="3"/>
  <c r="O180" i="3"/>
  <c r="X179" i="3"/>
  <c r="O179" i="3"/>
  <c r="G179" i="3"/>
  <c r="Z178" i="3"/>
  <c r="R178" i="3"/>
  <c r="J178" i="3"/>
  <c r="AC177" i="3"/>
  <c r="U177" i="3"/>
  <c r="M177" i="3"/>
  <c r="AA192" i="3"/>
  <c r="Q192" i="3"/>
  <c r="H192" i="3"/>
  <c r="Z191" i="3"/>
  <c r="Q191" i="3"/>
  <c r="H191" i="3"/>
  <c r="Z190" i="3"/>
  <c r="Q190" i="3"/>
  <c r="G190" i="3"/>
  <c r="Y189" i="3"/>
  <c r="P189" i="3"/>
  <c r="G189" i="3"/>
  <c r="Y188" i="3"/>
  <c r="P188" i="3"/>
  <c r="G188" i="3"/>
  <c r="Z187" i="3"/>
  <c r="P187" i="3"/>
  <c r="G187" i="3"/>
  <c r="Y186" i="3"/>
  <c r="Y192" i="3"/>
  <c r="P191" i="3"/>
  <c r="X188" i="3"/>
  <c r="O187" i="3"/>
  <c r="N186" i="3"/>
  <c r="N185" i="3"/>
  <c r="O184" i="3"/>
  <c r="V183" i="3"/>
  <c r="V182" i="3"/>
  <c r="AD181" i="3"/>
  <c r="AF180" i="3"/>
  <c r="K180" i="3"/>
  <c r="N179" i="3"/>
  <c r="W178" i="3"/>
  <c r="AB177" i="3"/>
  <c r="J177" i="3"/>
  <c r="V176" i="3"/>
  <c r="T175" i="3"/>
  <c r="J175" i="3"/>
  <c r="AB174" i="3"/>
  <c r="P174" i="3"/>
  <c r="X173" i="3"/>
  <c r="O173" i="3"/>
  <c r="X172" i="3"/>
  <c r="N172" i="3"/>
  <c r="AF171" i="3"/>
  <c r="W171" i="3"/>
  <c r="N171" i="3"/>
  <c r="AF170" i="3"/>
  <c r="W170" i="3"/>
  <c r="N170" i="3"/>
  <c r="AE169" i="3"/>
  <c r="V169" i="3"/>
  <c r="M169" i="3"/>
  <c r="AE168" i="3"/>
  <c r="V168" i="3"/>
  <c r="M168" i="3"/>
  <c r="AE167" i="3"/>
  <c r="U167" i="3"/>
  <c r="L167" i="3"/>
  <c r="AE166" i="3"/>
  <c r="V166" i="3"/>
  <c r="M166" i="3"/>
  <c r="X192" i="3"/>
  <c r="O191" i="3"/>
  <c r="AF189" i="3"/>
  <c r="W188" i="3"/>
  <c r="N187" i="3"/>
  <c r="G186" i="3"/>
  <c r="M185" i="3"/>
  <c r="N184" i="3"/>
  <c r="O183" i="3"/>
  <c r="U182" i="3"/>
  <c r="W181" i="3"/>
  <c r="AE180" i="3"/>
  <c r="M179" i="3"/>
  <c r="Q178" i="3"/>
  <c r="AA177" i="3"/>
  <c r="U176" i="3"/>
  <c r="AF175" i="3"/>
  <c r="S175" i="3"/>
  <c r="I175" i="3"/>
  <c r="AA174" i="3"/>
  <c r="O174" i="3"/>
  <c r="AF173" i="3"/>
  <c r="W173" i="3"/>
  <c r="N173" i="3"/>
  <c r="AF172" i="3"/>
  <c r="V172" i="3"/>
  <c r="M172" i="3"/>
  <c r="AE171" i="3"/>
  <c r="V171" i="3"/>
  <c r="M171" i="3"/>
  <c r="AE170" i="3"/>
  <c r="V170" i="3"/>
  <c r="L170" i="3"/>
  <c r="AD169" i="3"/>
  <c r="U169" i="3"/>
  <c r="L169" i="3"/>
  <c r="AD168" i="3"/>
  <c r="U168" i="3"/>
  <c r="L168" i="3"/>
  <c r="AC167" i="3"/>
  <c r="T167" i="3"/>
  <c r="K167" i="3"/>
  <c r="AD166" i="3"/>
  <c r="U166" i="3"/>
  <c r="L166" i="3"/>
  <c r="P192" i="3"/>
  <c r="G191" i="3"/>
  <c r="X189" i="3"/>
  <c r="O188" i="3"/>
  <c r="M184" i="3"/>
  <c r="N183" i="3"/>
  <c r="N182" i="3"/>
  <c r="V181" i="3"/>
  <c r="AC180" i="3"/>
  <c r="AF179" i="3"/>
  <c r="L179" i="3"/>
  <c r="P178" i="3"/>
  <c r="Z177" i="3"/>
  <c r="AF176" i="3"/>
  <c r="P176" i="3"/>
  <c r="AB175" i="3"/>
  <c r="R175" i="3"/>
  <c r="H175" i="3"/>
  <c r="X174" i="3"/>
  <c r="N174" i="3"/>
  <c r="AE173" i="3"/>
  <c r="V173" i="3"/>
  <c r="M173" i="3"/>
  <c r="AD172" i="3"/>
  <c r="U172" i="3"/>
  <c r="L172" i="3"/>
  <c r="AD171" i="3"/>
  <c r="U171" i="3"/>
  <c r="L171" i="3"/>
  <c r="AD170" i="3"/>
  <c r="T170" i="3"/>
  <c r="K170" i="3"/>
  <c r="AC169" i="3"/>
  <c r="T169" i="3"/>
  <c r="K169" i="3"/>
  <c r="AC168" i="3"/>
  <c r="T168" i="3"/>
  <c r="J168" i="3"/>
  <c r="AB167" i="3"/>
  <c r="S167" i="3"/>
  <c r="J167" i="3"/>
  <c r="AC166" i="3"/>
  <c r="T166" i="3"/>
  <c r="K166" i="3"/>
  <c r="O192" i="3"/>
  <c r="W189" i="3"/>
  <c r="M188" i="3"/>
  <c r="AF186" i="3"/>
  <c r="AF185" i="3"/>
  <c r="AF184" i="3"/>
  <c r="L183" i="3"/>
  <c r="M182" i="3"/>
  <c r="U181" i="3"/>
  <c r="W180" i="3"/>
  <c r="AE179" i="3"/>
  <c r="O178" i="3"/>
  <c r="T177" i="3"/>
  <c r="AE176" i="3"/>
  <c r="O176" i="3"/>
  <c r="AA175" i="3"/>
  <c r="Q175" i="3"/>
  <c r="W174" i="3"/>
  <c r="M174" i="3"/>
  <c r="AD173" i="3"/>
  <c r="U173" i="3"/>
  <c r="K173" i="3"/>
  <c r="AC172" i="3"/>
  <c r="T172" i="3"/>
  <c r="K172" i="3"/>
  <c r="AC171" i="3"/>
  <c r="T171" i="3"/>
  <c r="K171" i="3"/>
  <c r="AB170" i="3"/>
  <c r="S170" i="3"/>
  <c r="J170" i="3"/>
  <c r="AB169" i="3"/>
  <c r="S169" i="3"/>
  <c r="J169" i="3"/>
  <c r="AB168" i="3"/>
  <c r="R168" i="3"/>
  <c r="I168" i="3"/>
  <c r="AA167" i="3"/>
  <c r="R167" i="3"/>
  <c r="I167" i="3"/>
  <c r="AB166" i="3"/>
  <c r="S166" i="3"/>
  <c r="J166" i="3"/>
  <c r="G192" i="3"/>
  <c r="Y190" i="3"/>
  <c r="O189" i="3"/>
  <c r="X186" i="3"/>
  <c r="Y185" i="3"/>
  <c r="AE184" i="3"/>
  <c r="AF183" i="3"/>
  <c r="L182" i="3"/>
  <c r="N181" i="3"/>
  <c r="U180" i="3"/>
  <c r="AD179" i="3"/>
  <c r="AF178" i="3"/>
  <c r="I178" i="3"/>
  <c r="S177" i="3"/>
  <c r="AD176" i="3"/>
  <c r="N176" i="3"/>
  <c r="Z175" i="3"/>
  <c r="P175" i="3"/>
  <c r="AF174" i="3"/>
  <c r="V174" i="3"/>
  <c r="L174" i="3"/>
  <c r="AC173" i="3"/>
  <c r="S173" i="3"/>
  <c r="J173" i="3"/>
  <c r="AB172" i="3"/>
  <c r="S172" i="3"/>
  <c r="J172" i="3"/>
  <c r="AB171" i="3"/>
  <c r="S171" i="3"/>
  <c r="I171" i="3"/>
  <c r="AA170" i="3"/>
  <c r="R170" i="3"/>
  <c r="I170" i="3"/>
  <c r="AA169" i="3"/>
  <c r="R169" i="3"/>
  <c r="I169" i="3"/>
  <c r="Z168" i="3"/>
  <c r="Q168" i="3"/>
  <c r="H168" i="3"/>
  <c r="Z167" i="3"/>
  <c r="Q167" i="3"/>
  <c r="H167" i="3"/>
  <c r="AA166" i="3"/>
  <c r="R166" i="3"/>
  <c r="W190" i="3"/>
  <c r="N189" i="3"/>
  <c r="AF187" i="3"/>
  <c r="W186" i="3"/>
  <c r="X185" i="3"/>
  <c r="X184" i="3"/>
  <c r="AE183" i="3"/>
  <c r="AE182" i="3"/>
  <c r="M181" i="3"/>
  <c r="T180" i="3"/>
  <c r="W179" i="3"/>
  <c r="AE178" i="3"/>
  <c r="H178" i="3"/>
  <c r="R177" i="3"/>
  <c r="AC176" i="3"/>
  <c r="M176" i="3"/>
  <c r="Y175" i="3"/>
  <c r="M175" i="3"/>
  <c r="AE174" i="3"/>
  <c r="U174" i="3"/>
  <c r="K174" i="3"/>
  <c r="AA173" i="3"/>
  <c r="R173" i="3"/>
  <c r="I173" i="3"/>
  <c r="AA172" i="3"/>
  <c r="R172" i="3"/>
  <c r="I172" i="3"/>
  <c r="AA171" i="3"/>
  <c r="Q171" i="3"/>
  <c r="H171" i="3"/>
  <c r="Z170" i="3"/>
  <c r="Q170" i="3"/>
  <c r="H170" i="3"/>
  <c r="Z169" i="3"/>
  <c r="Q169" i="3"/>
  <c r="G169" i="3"/>
  <c r="Y168" i="3"/>
  <c r="P168" i="3"/>
  <c r="G168" i="3"/>
  <c r="Y167" i="3"/>
  <c r="P167" i="3"/>
  <c r="G167" i="3"/>
  <c r="Z166" i="3"/>
  <c r="P166" i="3"/>
  <c r="G166" i="3"/>
  <c r="W187" i="3"/>
  <c r="W184" i="3"/>
  <c r="V179" i="3"/>
  <c r="K177" i="3"/>
  <c r="U175" i="3"/>
  <c r="H174" i="3"/>
  <c r="G173" i="3"/>
  <c r="Y171" i="3"/>
  <c r="P170" i="3"/>
  <c r="X167" i="3"/>
  <c r="O166" i="3"/>
  <c r="O190" i="3"/>
  <c r="V184" i="3"/>
  <c r="AF181" i="3"/>
  <c r="U179" i="3"/>
  <c r="L175" i="3"/>
  <c r="G174" i="3"/>
  <c r="X171" i="3"/>
  <c r="O170" i="3"/>
  <c r="AF168" i="3"/>
  <c r="W167" i="3"/>
  <c r="N166" i="3"/>
  <c r="N190" i="3"/>
  <c r="P186" i="3"/>
  <c r="AE181" i="3"/>
  <c r="X176" i="3"/>
  <c r="K175" i="3"/>
  <c r="Z172" i="3"/>
  <c r="P171" i="3"/>
  <c r="G170" i="3"/>
  <c r="X168" i="3"/>
  <c r="O167" i="3"/>
  <c r="H166" i="3"/>
  <c r="O186" i="3"/>
  <c r="X183" i="3"/>
  <c r="L181" i="3"/>
  <c r="Y178" i="3"/>
  <c r="W176" i="3"/>
  <c r="Z173" i="3"/>
  <c r="Y172" i="3"/>
  <c r="O171" i="3"/>
  <c r="W168" i="3"/>
  <c r="M167" i="3"/>
  <c r="W183" i="3"/>
  <c r="X178" i="3"/>
  <c r="H176" i="3"/>
  <c r="AD174" i="3"/>
  <c r="Y173" i="3"/>
  <c r="Q172" i="3"/>
  <c r="G171" i="3"/>
  <c r="Y169" i="3"/>
  <c r="O168" i="3"/>
  <c r="AF188" i="3"/>
  <c r="V185" i="3"/>
  <c r="M180" i="3"/>
  <c r="G178" i="3"/>
  <c r="G176" i="3"/>
  <c r="AC174" i="3"/>
  <c r="Q173" i="3"/>
  <c r="P172" i="3"/>
  <c r="W169" i="3"/>
  <c r="N168" i="3"/>
  <c r="AF166" i="3"/>
  <c r="X191" i="3"/>
  <c r="P185" i="3"/>
  <c r="L180" i="3"/>
  <c r="T174" i="3"/>
  <c r="AF167" i="3"/>
  <c r="S174" i="3"/>
  <c r="Y170" i="3"/>
  <c r="X170" i="3"/>
  <c r="X166" i="3"/>
  <c r="AD182" i="3"/>
  <c r="L177" i="3"/>
  <c r="P173" i="3"/>
  <c r="W166" i="3"/>
  <c r="X187" i="3"/>
  <c r="W182" i="3"/>
  <c r="H173" i="3"/>
  <c r="O169" i="3"/>
  <c r="H172" i="3"/>
  <c r="Y191" i="3"/>
  <c r="X175" i="3"/>
  <c r="N169" i="3"/>
  <c r="O33" i="1"/>
  <c r="W33" i="1"/>
  <c r="AE33" i="1"/>
  <c r="AM33" i="1"/>
  <c r="AU33" i="1"/>
  <c r="BC33" i="1"/>
  <c r="BK33" i="1"/>
  <c r="BS33" i="1"/>
  <c r="CA33" i="1"/>
  <c r="CI33" i="1"/>
  <c r="AL36" i="1"/>
  <c r="AT36" i="1"/>
  <c r="BB36" i="1"/>
  <c r="BL36" i="1"/>
  <c r="BW36" i="1"/>
  <c r="CJ39" i="1"/>
  <c r="CB39" i="1"/>
  <c r="BT39" i="1"/>
  <c r="BL39" i="1"/>
  <c r="BD39" i="1"/>
  <c r="AV39" i="1"/>
  <c r="AN39" i="1"/>
  <c r="AF39" i="1"/>
  <c r="X39" i="1"/>
  <c r="P39" i="1"/>
  <c r="H39" i="1"/>
  <c r="CG39" i="1"/>
  <c r="BY39" i="1"/>
  <c r="BQ39" i="1"/>
  <c r="BI39" i="1"/>
  <c r="BA39" i="1"/>
  <c r="AS39" i="1"/>
  <c r="AK39" i="1"/>
  <c r="AC39" i="1"/>
  <c r="U39" i="1"/>
  <c r="M39" i="1"/>
  <c r="R39" i="1"/>
  <c r="AB39" i="1"/>
  <c r="AM39" i="1"/>
  <c r="AX39" i="1"/>
  <c r="BH39" i="1"/>
  <c r="BS39" i="1"/>
  <c r="CD39" i="1"/>
  <c r="AD60" i="3"/>
  <c r="J64" i="3"/>
  <c r="V72" i="3"/>
  <c r="H33" i="1"/>
  <c r="P33" i="1"/>
  <c r="X33" i="1"/>
  <c r="AF33" i="1"/>
  <c r="AN33" i="1"/>
  <c r="AV33" i="1"/>
  <c r="BD33" i="1"/>
  <c r="BL33" i="1"/>
  <c r="BT33" i="1"/>
  <c r="CB33" i="1"/>
  <c r="CK36" i="1"/>
  <c r="CC36" i="1"/>
  <c r="BU36" i="1"/>
  <c r="BM36" i="1"/>
  <c r="BE36" i="1"/>
  <c r="CH36" i="1"/>
  <c r="BZ36" i="1"/>
  <c r="BR36" i="1"/>
  <c r="BJ36" i="1"/>
  <c r="O36" i="1"/>
  <c r="W36" i="1"/>
  <c r="AE36" i="1"/>
  <c r="AM36" i="1"/>
  <c r="AU36" i="1"/>
  <c r="BC36" i="1"/>
  <c r="BN36" i="1"/>
  <c r="BX36" i="1"/>
  <c r="CI36" i="1"/>
  <c r="I39" i="1"/>
  <c r="S39" i="1"/>
  <c r="AD39" i="1"/>
  <c r="AO39" i="1"/>
  <c r="AY39" i="1"/>
  <c r="BJ39" i="1"/>
  <c r="BU39" i="1"/>
  <c r="CE39" i="1"/>
  <c r="AE60" i="3"/>
  <c r="X68" i="3"/>
  <c r="W72" i="3"/>
  <c r="S84" i="3"/>
  <c r="I123" i="3"/>
  <c r="Y32" i="3" l="1"/>
  <c r="Q32" i="3"/>
  <c r="I32" i="3"/>
  <c r="AF32" i="3"/>
  <c r="X32" i="3"/>
  <c r="P32" i="3"/>
  <c r="H32" i="3"/>
  <c r="AC32" i="3"/>
  <c r="U32" i="3"/>
  <c r="M32" i="3"/>
  <c r="AB32" i="3"/>
  <c r="T32" i="3"/>
  <c r="L32" i="3"/>
  <c r="AE32" i="3"/>
  <c r="O32" i="3"/>
  <c r="AD32" i="3"/>
  <c r="N32" i="3"/>
  <c r="AA32" i="3"/>
  <c r="K32" i="3"/>
  <c r="Z32" i="3"/>
  <c r="J32" i="3"/>
  <c r="W32" i="3"/>
  <c r="G32" i="3"/>
  <c r="V32" i="3"/>
  <c r="S32" i="3"/>
  <c r="R32" i="3"/>
  <c r="AB6" i="3"/>
  <c r="T6" i="3"/>
  <c r="L6" i="3"/>
  <c r="AA6" i="3"/>
  <c r="S6" i="3"/>
  <c r="K6" i="3"/>
  <c r="Y6" i="3"/>
  <c r="Q6" i="3"/>
  <c r="I6" i="3"/>
  <c r="AF6" i="3"/>
  <c r="X6" i="3"/>
  <c r="P6" i="3"/>
  <c r="H6" i="3"/>
  <c r="AC6" i="3"/>
  <c r="M6" i="3"/>
  <c r="Z6" i="3"/>
  <c r="J6" i="3"/>
  <c r="W6" i="3"/>
  <c r="G6" i="3"/>
  <c r="V6" i="3"/>
  <c r="U6" i="3"/>
  <c r="L17" i="1"/>
  <c r="R6" i="3"/>
  <c r="AE6" i="3"/>
  <c r="N6" i="3"/>
  <c r="AD6" i="3"/>
  <c r="O6" i="3"/>
  <c r="AD33" i="3"/>
  <c r="V33" i="3"/>
  <c r="N33" i="3"/>
  <c r="AC33" i="3"/>
  <c r="U33" i="3"/>
  <c r="M33" i="3"/>
  <c r="Z33" i="3"/>
  <c r="R33" i="3"/>
  <c r="J33" i="3"/>
  <c r="Y33" i="3"/>
  <c r="Q33" i="3"/>
  <c r="I33" i="3"/>
  <c r="S33" i="3"/>
  <c r="AF33" i="3"/>
  <c r="P33" i="3"/>
  <c r="AE33" i="3"/>
  <c r="O33" i="3"/>
  <c r="AB33" i="3"/>
  <c r="L33" i="3"/>
  <c r="AA33" i="3"/>
  <c r="K33" i="3"/>
  <c r="X33" i="3"/>
  <c r="H33" i="3"/>
  <c r="W33" i="3"/>
  <c r="T33" i="3"/>
  <c r="G33" i="3"/>
  <c r="L18" i="1"/>
  <c r="AA34" i="3" l="1"/>
  <c r="S34" i="3"/>
  <c r="K34" i="3"/>
  <c r="Z34" i="3"/>
  <c r="R34" i="3"/>
  <c r="J34" i="3"/>
  <c r="AE34" i="3"/>
  <c r="W34" i="3"/>
  <c r="O34" i="3"/>
  <c r="G34" i="3"/>
  <c r="AD34" i="3"/>
  <c r="V34" i="3"/>
  <c r="N34" i="3"/>
  <c r="U34" i="3"/>
  <c r="T34" i="3"/>
  <c r="Q34" i="3"/>
  <c r="AF34" i="3"/>
  <c r="P34" i="3"/>
  <c r="AC34" i="3"/>
  <c r="M34" i="3"/>
  <c r="AB34" i="3"/>
  <c r="L34" i="3"/>
  <c r="X34" i="3"/>
  <c r="I34" i="3"/>
  <c r="M18" i="1"/>
  <c r="H34" i="3"/>
  <c r="Y34" i="3"/>
  <c r="Y7" i="3"/>
  <c r="Q7" i="3"/>
  <c r="I7" i="3"/>
  <c r="AF7" i="3"/>
  <c r="X7" i="3"/>
  <c r="P7" i="3"/>
  <c r="H7" i="3"/>
  <c r="AD7" i="3"/>
  <c r="V7" i="3"/>
  <c r="N7" i="3"/>
  <c r="AC7" i="3"/>
  <c r="U7" i="3"/>
  <c r="M7" i="3"/>
  <c r="AE7" i="3"/>
  <c r="O7" i="3"/>
  <c r="AB7" i="3"/>
  <c r="L7" i="3"/>
  <c r="AA7" i="3"/>
  <c r="K7" i="3"/>
  <c r="Z7" i="3"/>
  <c r="J7" i="3"/>
  <c r="W7" i="3"/>
  <c r="G7" i="3"/>
  <c r="T7" i="3"/>
  <c r="M17" i="1"/>
  <c r="S7" i="3"/>
  <c r="R7" i="3"/>
  <c r="AD8" i="3" l="1"/>
  <c r="V8" i="3"/>
  <c r="N8" i="3"/>
  <c r="AC8" i="3"/>
  <c r="U8" i="3"/>
  <c r="M8" i="3"/>
  <c r="AA8" i="3"/>
  <c r="S8" i="3"/>
  <c r="K8" i="3"/>
  <c r="Z8" i="3"/>
  <c r="R8" i="3"/>
  <c r="J8" i="3"/>
  <c r="Q8" i="3"/>
  <c r="AF8" i="3"/>
  <c r="P8" i="3"/>
  <c r="AE8" i="3"/>
  <c r="O8" i="3"/>
  <c r="AB8" i="3"/>
  <c r="L8" i="3"/>
  <c r="Y8" i="3"/>
  <c r="I8" i="3"/>
  <c r="X8" i="3"/>
  <c r="H8" i="3"/>
  <c r="T8" i="3"/>
  <c r="G8" i="3"/>
  <c r="W8" i="3"/>
  <c r="N17" i="1"/>
  <c r="AF35" i="3"/>
  <c r="X35" i="3"/>
  <c r="P35" i="3"/>
  <c r="H35" i="3"/>
  <c r="AE35" i="3"/>
  <c r="W35" i="3"/>
  <c r="O35" i="3"/>
  <c r="G35" i="3"/>
  <c r="AB35" i="3"/>
  <c r="T35" i="3"/>
  <c r="L35" i="3"/>
  <c r="AA35" i="3"/>
  <c r="S35" i="3"/>
  <c r="K35" i="3"/>
  <c r="Z35" i="3"/>
  <c r="J35" i="3"/>
  <c r="Y35" i="3"/>
  <c r="I35" i="3"/>
  <c r="V35" i="3"/>
  <c r="U35" i="3"/>
  <c r="R35" i="3"/>
  <c r="Q35" i="3"/>
  <c r="N18" i="1"/>
  <c r="AD35" i="3"/>
  <c r="AC35" i="3"/>
  <c r="N35" i="3"/>
  <c r="M35" i="3"/>
  <c r="AA9" i="3" l="1"/>
  <c r="S9" i="3"/>
  <c r="K9" i="3"/>
  <c r="Z9" i="3"/>
  <c r="R9" i="3"/>
  <c r="J9" i="3"/>
  <c r="AF9" i="3"/>
  <c r="X9" i="3"/>
  <c r="P9" i="3"/>
  <c r="H9" i="3"/>
  <c r="AE9" i="3"/>
  <c r="W9" i="3"/>
  <c r="O9" i="3"/>
  <c r="G9" i="3"/>
  <c r="V9" i="3"/>
  <c r="U9" i="3"/>
  <c r="O17" i="1"/>
  <c r="T9" i="3"/>
  <c r="Q9" i="3"/>
  <c r="AD9" i="3"/>
  <c r="N9" i="3"/>
  <c r="AC9" i="3"/>
  <c r="M9" i="3"/>
  <c r="AB9" i="3"/>
  <c r="Y9" i="3"/>
  <c r="L9" i="3"/>
  <c r="I9" i="3"/>
  <c r="AC36" i="3"/>
  <c r="U36" i="3"/>
  <c r="M36" i="3"/>
  <c r="AB36" i="3"/>
  <c r="T36" i="3"/>
  <c r="L36" i="3"/>
  <c r="Y36" i="3"/>
  <c r="Q36" i="3"/>
  <c r="I36" i="3"/>
  <c r="AF36" i="3"/>
  <c r="X36" i="3"/>
  <c r="P36" i="3"/>
  <c r="H36" i="3"/>
  <c r="AE36" i="3"/>
  <c r="O36" i="3"/>
  <c r="AD36" i="3"/>
  <c r="N36" i="3"/>
  <c r="AA36" i="3"/>
  <c r="K36" i="3"/>
  <c r="Z36" i="3"/>
  <c r="J36" i="3"/>
  <c r="W36" i="3"/>
  <c r="G36" i="3"/>
  <c r="V36" i="3"/>
  <c r="R36" i="3"/>
  <c r="O18" i="1"/>
  <c r="S36" i="3"/>
  <c r="Z37" i="3" l="1"/>
  <c r="R37" i="3"/>
  <c r="J37" i="3"/>
  <c r="Y37" i="3"/>
  <c r="Q37" i="3"/>
  <c r="I37" i="3"/>
  <c r="AD37" i="3"/>
  <c r="V37" i="3"/>
  <c r="N37" i="3"/>
  <c r="AC37" i="3"/>
  <c r="U37" i="3"/>
  <c r="M37" i="3"/>
  <c r="S37" i="3"/>
  <c r="AF37" i="3"/>
  <c r="P37" i="3"/>
  <c r="AE37" i="3"/>
  <c r="O37" i="3"/>
  <c r="AB37" i="3"/>
  <c r="L37" i="3"/>
  <c r="AA37" i="3"/>
  <c r="K37" i="3"/>
  <c r="X37" i="3"/>
  <c r="H37" i="3"/>
  <c r="W37" i="3"/>
  <c r="T37" i="3"/>
  <c r="G37" i="3"/>
  <c r="P18" i="1"/>
  <c r="AF10" i="3"/>
  <c r="X10" i="3"/>
  <c r="P10" i="3"/>
  <c r="H10" i="3"/>
  <c r="AE10" i="3"/>
  <c r="W10" i="3"/>
  <c r="O10" i="3"/>
  <c r="G10" i="3"/>
  <c r="AC10" i="3"/>
  <c r="U10" i="3"/>
  <c r="M10" i="3"/>
  <c r="AB10" i="3"/>
  <c r="T10" i="3"/>
  <c r="L10" i="3"/>
  <c r="AA10" i="3"/>
  <c r="K10" i="3"/>
  <c r="P17" i="1"/>
  <c r="Z10" i="3"/>
  <c r="J10" i="3"/>
  <c r="Y10" i="3"/>
  <c r="I10" i="3"/>
  <c r="V10" i="3"/>
  <c r="S10" i="3"/>
  <c r="R10" i="3"/>
  <c r="N10" i="3"/>
  <c r="AD10" i="3"/>
  <c r="Q10" i="3"/>
  <c r="AE38" i="3" l="1"/>
  <c r="W38" i="3"/>
  <c r="O38" i="3"/>
  <c r="G38" i="3"/>
  <c r="AD38" i="3"/>
  <c r="V38" i="3"/>
  <c r="N38" i="3"/>
  <c r="AA38" i="3"/>
  <c r="S38" i="3"/>
  <c r="K38" i="3"/>
  <c r="Z38" i="3"/>
  <c r="R38" i="3"/>
  <c r="J38" i="3"/>
  <c r="U38" i="3"/>
  <c r="T38" i="3"/>
  <c r="Q38" i="3"/>
  <c r="AF38" i="3"/>
  <c r="P38" i="3"/>
  <c r="AC38" i="3"/>
  <c r="M38" i="3"/>
  <c r="AB38" i="3"/>
  <c r="L38" i="3"/>
  <c r="I38" i="3"/>
  <c r="H38" i="3"/>
  <c r="Q18" i="1"/>
  <c r="X38" i="3"/>
  <c r="Y38" i="3"/>
  <c r="AC11" i="3"/>
  <c r="U11" i="3"/>
  <c r="M11" i="3"/>
  <c r="AB11" i="3"/>
  <c r="T11" i="3"/>
  <c r="L11" i="3"/>
  <c r="Z11" i="3"/>
  <c r="R11" i="3"/>
  <c r="J11" i="3"/>
  <c r="Y11" i="3"/>
  <c r="Q11" i="3"/>
  <c r="I11" i="3"/>
  <c r="AF11" i="3"/>
  <c r="P11" i="3"/>
  <c r="AE11" i="3"/>
  <c r="O11" i="3"/>
  <c r="AD11" i="3"/>
  <c r="N11" i="3"/>
  <c r="AA11" i="3"/>
  <c r="K11" i="3"/>
  <c r="X11" i="3"/>
  <c r="H11" i="3"/>
  <c r="W11" i="3"/>
  <c r="G11" i="3"/>
  <c r="S11" i="3"/>
  <c r="V11" i="3"/>
  <c r="Q17" i="1"/>
  <c r="Z12" i="3" l="1"/>
  <c r="R12" i="3"/>
  <c r="J12" i="3"/>
  <c r="Y12" i="3"/>
  <c r="Q12" i="3"/>
  <c r="I12" i="3"/>
  <c r="AE12" i="3"/>
  <c r="W12" i="3"/>
  <c r="O12" i="3"/>
  <c r="G12" i="3"/>
  <c r="AD12" i="3"/>
  <c r="V12" i="3"/>
  <c r="N12" i="3"/>
  <c r="T12" i="3"/>
  <c r="S12" i="3"/>
  <c r="AF12" i="3"/>
  <c r="P12" i="3"/>
  <c r="AC12" i="3"/>
  <c r="M12" i="3"/>
  <c r="AB12" i="3"/>
  <c r="L12" i="3"/>
  <c r="AA12" i="3"/>
  <c r="K12" i="3"/>
  <c r="H12" i="3"/>
  <c r="R17" i="1"/>
  <c r="U12" i="3"/>
  <c r="X12" i="3"/>
  <c r="AB39" i="3"/>
  <c r="T39" i="3"/>
  <c r="L39" i="3"/>
  <c r="AA39" i="3"/>
  <c r="S39" i="3"/>
  <c r="K39" i="3"/>
  <c r="AF39" i="3"/>
  <c r="X39" i="3"/>
  <c r="P39" i="3"/>
  <c r="H39" i="3"/>
  <c r="AE39" i="3"/>
  <c r="W39" i="3"/>
  <c r="O39" i="3"/>
  <c r="G39" i="3"/>
  <c r="Z39" i="3"/>
  <c r="J39" i="3"/>
  <c r="Y39" i="3"/>
  <c r="I39" i="3"/>
  <c r="V39" i="3"/>
  <c r="U39" i="3"/>
  <c r="R39" i="3"/>
  <c r="Q39" i="3"/>
  <c r="AD39" i="3"/>
  <c r="AC39" i="3"/>
  <c r="N39" i="3"/>
  <c r="M39" i="3"/>
  <c r="R18" i="1"/>
  <c r="Y40" i="3" l="1"/>
  <c r="Q40" i="3"/>
  <c r="I40" i="3"/>
  <c r="AF40" i="3"/>
  <c r="X40" i="3"/>
  <c r="P40" i="3"/>
  <c r="H40" i="3"/>
  <c r="AC40" i="3"/>
  <c r="U40" i="3"/>
  <c r="M40" i="3"/>
  <c r="AB40" i="3"/>
  <c r="T40" i="3"/>
  <c r="L40" i="3"/>
  <c r="AE40" i="3"/>
  <c r="O40" i="3"/>
  <c r="AD40" i="3"/>
  <c r="N40" i="3"/>
  <c r="AA40" i="3"/>
  <c r="K40" i="3"/>
  <c r="Z40" i="3"/>
  <c r="J40" i="3"/>
  <c r="W40" i="3"/>
  <c r="G40" i="3"/>
  <c r="V40" i="3"/>
  <c r="S18" i="1"/>
  <c r="S40" i="3"/>
  <c r="R40" i="3"/>
  <c r="AE13" i="3"/>
  <c r="W13" i="3"/>
  <c r="O13" i="3"/>
  <c r="G13" i="3"/>
  <c r="AD13" i="3"/>
  <c r="V13" i="3"/>
  <c r="N13" i="3"/>
  <c r="AC13" i="3"/>
  <c r="U13" i="3"/>
  <c r="AB13" i="3"/>
  <c r="T13" i="3"/>
  <c r="L13" i="3"/>
  <c r="AA13" i="3"/>
  <c r="S13" i="3"/>
  <c r="K13" i="3"/>
  <c r="Y13" i="3"/>
  <c r="H13" i="3"/>
  <c r="X13" i="3"/>
  <c r="R13" i="3"/>
  <c r="Q13" i="3"/>
  <c r="P13" i="3"/>
  <c r="M13" i="3"/>
  <c r="S17" i="1"/>
  <c r="AF13" i="3"/>
  <c r="Z13" i="3"/>
  <c r="J13" i="3"/>
  <c r="I13" i="3"/>
  <c r="AB14" i="3" l="1"/>
  <c r="T14" i="3"/>
  <c r="L14" i="3"/>
  <c r="AA14" i="3"/>
  <c r="S14" i="3"/>
  <c r="K14" i="3"/>
  <c r="Z14" i="3"/>
  <c r="R14" i="3"/>
  <c r="J14" i="3"/>
  <c r="Y14" i="3"/>
  <c r="Q14" i="3"/>
  <c r="I14" i="3"/>
  <c r="AF14" i="3"/>
  <c r="X14" i="3"/>
  <c r="P14" i="3"/>
  <c r="H14" i="3"/>
  <c r="U14" i="3"/>
  <c r="O14" i="3"/>
  <c r="N14" i="3"/>
  <c r="AE14" i="3"/>
  <c r="M14" i="3"/>
  <c r="AD14" i="3"/>
  <c r="G14" i="3"/>
  <c r="T17" i="1"/>
  <c r="AC14" i="3"/>
  <c r="W14" i="3"/>
  <c r="V14" i="3"/>
  <c r="AD41" i="3"/>
  <c r="V41" i="3"/>
  <c r="N41" i="3"/>
  <c r="AC41" i="3"/>
  <c r="U41" i="3"/>
  <c r="M41" i="3"/>
  <c r="AA41" i="3"/>
  <c r="S41" i="3"/>
  <c r="K41" i="3"/>
  <c r="Z41" i="3"/>
  <c r="R41" i="3"/>
  <c r="J41" i="3"/>
  <c r="Y41" i="3"/>
  <c r="Q41" i="3"/>
  <c r="I41" i="3"/>
  <c r="W41" i="3"/>
  <c r="T41" i="3"/>
  <c r="P41" i="3"/>
  <c r="O41" i="3"/>
  <c r="AF41" i="3"/>
  <c r="L41" i="3"/>
  <c r="AE41" i="3"/>
  <c r="H41" i="3"/>
  <c r="AB41" i="3"/>
  <c r="X41" i="3"/>
  <c r="G41" i="3"/>
  <c r="T18" i="1"/>
  <c r="Y15" i="3" l="1"/>
  <c r="Q15" i="3"/>
  <c r="I15" i="3"/>
  <c r="AF15" i="3"/>
  <c r="X15" i="3"/>
  <c r="P15" i="3"/>
  <c r="H15" i="3"/>
  <c r="AE15" i="3"/>
  <c r="W15" i="3"/>
  <c r="O15" i="3"/>
  <c r="G15" i="3"/>
  <c r="AD15" i="3"/>
  <c r="V15" i="3"/>
  <c r="N15" i="3"/>
  <c r="AC15" i="3"/>
  <c r="U15" i="3"/>
  <c r="M15" i="3"/>
  <c r="K15" i="3"/>
  <c r="AB15" i="3"/>
  <c r="J15" i="3"/>
  <c r="AA15" i="3"/>
  <c r="Z15" i="3"/>
  <c r="T15" i="3"/>
  <c r="S15" i="3"/>
  <c r="R15" i="3"/>
  <c r="U17" i="1"/>
  <c r="L15" i="3"/>
  <c r="AA42" i="3"/>
  <c r="S42" i="3"/>
  <c r="K42" i="3"/>
  <c r="Z42" i="3"/>
  <c r="R42" i="3"/>
  <c r="J42" i="3"/>
  <c r="AF42" i="3"/>
  <c r="X42" i="3"/>
  <c r="P42" i="3"/>
  <c r="H42" i="3"/>
  <c r="AE42" i="3"/>
  <c r="W42" i="3"/>
  <c r="O42" i="3"/>
  <c r="G42" i="3"/>
  <c r="AD42" i="3"/>
  <c r="V42" i="3"/>
  <c r="N42" i="3"/>
  <c r="M42" i="3"/>
  <c r="L42" i="3"/>
  <c r="AC42" i="3"/>
  <c r="I42" i="3"/>
  <c r="AB42" i="3"/>
  <c r="Y42" i="3"/>
  <c r="U42" i="3"/>
  <c r="Q42" i="3"/>
  <c r="U18" i="1"/>
  <c r="T42" i="3"/>
  <c r="AF43" i="3" l="1"/>
  <c r="X43" i="3"/>
  <c r="P43" i="3"/>
  <c r="H43" i="3"/>
  <c r="AE43" i="3"/>
  <c r="W43" i="3"/>
  <c r="O43" i="3"/>
  <c r="G43" i="3"/>
  <c r="AC43" i="3"/>
  <c r="U43" i="3"/>
  <c r="M43" i="3"/>
  <c r="AB43" i="3"/>
  <c r="T43" i="3"/>
  <c r="L43" i="3"/>
  <c r="AA43" i="3"/>
  <c r="S43" i="3"/>
  <c r="K43" i="3"/>
  <c r="AD43" i="3"/>
  <c r="I43" i="3"/>
  <c r="Z43" i="3"/>
  <c r="Y43" i="3"/>
  <c r="V43" i="3"/>
  <c r="R43" i="3"/>
  <c r="Q43" i="3"/>
  <c r="V18" i="1"/>
  <c r="N43" i="3"/>
  <c r="J43" i="3"/>
  <c r="AD16" i="3"/>
  <c r="V16" i="3"/>
  <c r="N16" i="3"/>
  <c r="AC16" i="3"/>
  <c r="U16" i="3"/>
  <c r="M16" i="3"/>
  <c r="AB16" i="3"/>
  <c r="T16" i="3"/>
  <c r="L16" i="3"/>
  <c r="AA16" i="3"/>
  <c r="S16" i="3"/>
  <c r="K16" i="3"/>
  <c r="Z16" i="3"/>
  <c r="R16" i="3"/>
  <c r="J16" i="3"/>
  <c r="X16" i="3"/>
  <c r="W16" i="3"/>
  <c r="Q16" i="3"/>
  <c r="P16" i="3"/>
  <c r="O16" i="3"/>
  <c r="AF16" i="3"/>
  <c r="I16" i="3"/>
  <c r="G16" i="3"/>
  <c r="V17" i="1"/>
  <c r="AE16" i="3"/>
  <c r="Y16" i="3"/>
  <c r="H16" i="3"/>
  <c r="AC44" i="3" l="1"/>
  <c r="U44" i="3"/>
  <c r="M44" i="3"/>
  <c r="AB44" i="3"/>
  <c r="T44" i="3"/>
  <c r="L44" i="3"/>
  <c r="Z44" i="3"/>
  <c r="R44" i="3"/>
  <c r="J44" i="3"/>
  <c r="Y44" i="3"/>
  <c r="Q44" i="3"/>
  <c r="I44" i="3"/>
  <c r="AF44" i="3"/>
  <c r="X44" i="3"/>
  <c r="P44" i="3"/>
  <c r="H44" i="3"/>
  <c r="W44" i="3"/>
  <c r="V44" i="3"/>
  <c r="S44" i="3"/>
  <c r="O44" i="3"/>
  <c r="N44" i="3"/>
  <c r="AE44" i="3"/>
  <c r="K44" i="3"/>
  <c r="AD44" i="3"/>
  <c r="AA44" i="3"/>
  <c r="G44" i="3"/>
  <c r="W18" i="1"/>
  <c r="AA17" i="3"/>
  <c r="S17" i="3"/>
  <c r="K17" i="3"/>
  <c r="Z17" i="3"/>
  <c r="R17" i="3"/>
  <c r="J17" i="3"/>
  <c r="Y17" i="3"/>
  <c r="Q17" i="3"/>
  <c r="I17" i="3"/>
  <c r="AF17" i="3"/>
  <c r="X17" i="3"/>
  <c r="P17" i="3"/>
  <c r="H17" i="3"/>
  <c r="AE17" i="3"/>
  <c r="W17" i="3"/>
  <c r="O17" i="3"/>
  <c r="G17" i="3"/>
  <c r="T17" i="3"/>
  <c r="N17" i="3"/>
  <c r="W17" i="1"/>
  <c r="M17" i="3"/>
  <c r="AD17" i="3"/>
  <c r="L17" i="3"/>
  <c r="AC17" i="3"/>
  <c r="AB17" i="3"/>
  <c r="V17" i="3"/>
  <c r="U17" i="3"/>
  <c r="AF18" i="3" l="1"/>
  <c r="X18" i="3"/>
  <c r="P18" i="3"/>
  <c r="H18" i="3"/>
  <c r="AE18" i="3"/>
  <c r="W18" i="3"/>
  <c r="O18" i="3"/>
  <c r="G18" i="3"/>
  <c r="AD18" i="3"/>
  <c r="V18" i="3"/>
  <c r="N18" i="3"/>
  <c r="AC18" i="3"/>
  <c r="U18" i="3"/>
  <c r="M18" i="3"/>
  <c r="AB18" i="3"/>
  <c r="T18" i="3"/>
  <c r="L18" i="3"/>
  <c r="J18" i="3"/>
  <c r="X17" i="1"/>
  <c r="AA18" i="3"/>
  <c r="I18" i="3"/>
  <c r="Z18" i="3"/>
  <c r="Y18" i="3"/>
  <c r="S18" i="3"/>
  <c r="R18" i="3"/>
  <c r="K18" i="3"/>
  <c r="Q18" i="3"/>
  <c r="Z45" i="3"/>
  <c r="R45" i="3"/>
  <c r="J45" i="3"/>
  <c r="Y45" i="3"/>
  <c r="Q45" i="3"/>
  <c r="I45" i="3"/>
  <c r="AE45" i="3"/>
  <c r="W45" i="3"/>
  <c r="O45" i="3"/>
  <c r="G45" i="3"/>
  <c r="AD45" i="3"/>
  <c r="V45" i="3"/>
  <c r="N45" i="3"/>
  <c r="AC45" i="3"/>
  <c r="U45" i="3"/>
  <c r="M45" i="3"/>
  <c r="P45" i="3"/>
  <c r="L45" i="3"/>
  <c r="AF45" i="3"/>
  <c r="K45" i="3"/>
  <c r="AB45" i="3"/>
  <c r="H45" i="3"/>
  <c r="AA45" i="3"/>
  <c r="X45" i="3"/>
  <c r="T45" i="3"/>
  <c r="S45" i="3"/>
  <c r="X18" i="1"/>
  <c r="AE46" i="3" l="1"/>
  <c r="W46" i="3"/>
  <c r="O46" i="3"/>
  <c r="G46" i="3"/>
  <c r="AD46" i="3"/>
  <c r="V46" i="3"/>
  <c r="N46" i="3"/>
  <c r="AB46" i="3"/>
  <c r="T46" i="3"/>
  <c r="L46" i="3"/>
  <c r="AA46" i="3"/>
  <c r="S46" i="3"/>
  <c r="K46" i="3"/>
  <c r="Z46" i="3"/>
  <c r="R46" i="3"/>
  <c r="J46" i="3"/>
  <c r="AC46" i="3"/>
  <c r="H46" i="3"/>
  <c r="Y46" i="3"/>
  <c r="X46" i="3"/>
  <c r="U46" i="3"/>
  <c r="Q46" i="3"/>
  <c r="P46" i="3"/>
  <c r="AF46" i="3"/>
  <c r="M46" i="3"/>
  <c r="I46" i="3"/>
  <c r="Y18" i="1"/>
  <c r="AC19" i="3"/>
  <c r="U19" i="3"/>
  <c r="M19" i="3"/>
  <c r="AB19" i="3"/>
  <c r="T19" i="3"/>
  <c r="L19" i="3"/>
  <c r="AA19" i="3"/>
  <c r="S19" i="3"/>
  <c r="K19" i="3"/>
  <c r="Z19" i="3"/>
  <c r="R19" i="3"/>
  <c r="J19" i="3"/>
  <c r="Y19" i="3"/>
  <c r="Q19" i="3"/>
  <c r="I19" i="3"/>
  <c r="X19" i="3"/>
  <c r="W19" i="3"/>
  <c r="V19" i="3"/>
  <c r="P19" i="3"/>
  <c r="O19" i="3"/>
  <c r="AF19" i="3"/>
  <c r="N19" i="3"/>
  <c r="Y17" i="1"/>
  <c r="AE19" i="3"/>
  <c r="AD19" i="3"/>
  <c r="H19" i="3"/>
  <c r="G19" i="3"/>
  <c r="Z20" i="3" l="1"/>
  <c r="R20" i="3"/>
  <c r="J20" i="3"/>
  <c r="Y20" i="3"/>
  <c r="Q20" i="3"/>
  <c r="I20" i="3"/>
  <c r="AF20" i="3"/>
  <c r="X20" i="3"/>
  <c r="P20" i="3"/>
  <c r="H20" i="3"/>
  <c r="AE20" i="3"/>
  <c r="W20" i="3"/>
  <c r="O20" i="3"/>
  <c r="G20" i="3"/>
  <c r="AD20" i="3"/>
  <c r="V20" i="3"/>
  <c r="N20" i="3"/>
  <c r="S20" i="3"/>
  <c r="M20" i="3"/>
  <c r="L20" i="3"/>
  <c r="AC20" i="3"/>
  <c r="K20" i="3"/>
  <c r="AB20" i="3"/>
  <c r="AA20" i="3"/>
  <c r="T20" i="3"/>
  <c r="Z17" i="1"/>
  <c r="U20" i="3"/>
  <c r="AB47" i="3"/>
  <c r="T47" i="3"/>
  <c r="L47" i="3"/>
  <c r="AA47" i="3"/>
  <c r="S47" i="3"/>
  <c r="K47" i="3"/>
  <c r="Y47" i="3"/>
  <c r="Q47" i="3"/>
  <c r="I47" i="3"/>
  <c r="AF47" i="3"/>
  <c r="X47" i="3"/>
  <c r="P47" i="3"/>
  <c r="H47" i="3"/>
  <c r="AE47" i="3"/>
  <c r="W47" i="3"/>
  <c r="O47" i="3"/>
  <c r="G47" i="3"/>
  <c r="V47" i="3"/>
  <c r="U47" i="3"/>
  <c r="R47" i="3"/>
  <c r="N47" i="3"/>
  <c r="M47" i="3"/>
  <c r="AD47" i="3"/>
  <c r="J47" i="3"/>
  <c r="Z18" i="1"/>
  <c r="Z47" i="3"/>
  <c r="AC47" i="3"/>
  <c r="Y48" i="3" l="1"/>
  <c r="Q48" i="3"/>
  <c r="I48" i="3"/>
  <c r="AF48" i="3"/>
  <c r="X48" i="3"/>
  <c r="P48" i="3"/>
  <c r="H48" i="3"/>
  <c r="AD48" i="3"/>
  <c r="V48" i="3"/>
  <c r="N48" i="3"/>
  <c r="AC48" i="3"/>
  <c r="U48" i="3"/>
  <c r="M48" i="3"/>
  <c r="AB48" i="3"/>
  <c r="T48" i="3"/>
  <c r="L48" i="3"/>
  <c r="O48" i="3"/>
  <c r="K48" i="3"/>
  <c r="AE48" i="3"/>
  <c r="J48" i="3"/>
  <c r="AA48" i="3"/>
  <c r="G48" i="3"/>
  <c r="Z48" i="3"/>
  <c r="W48" i="3"/>
  <c r="S48" i="3"/>
  <c r="R48" i="3"/>
  <c r="AA18" i="1"/>
  <c r="AE21" i="3"/>
  <c r="W21" i="3"/>
  <c r="O21" i="3"/>
  <c r="G21" i="3"/>
  <c r="AD21" i="3"/>
  <c r="V21" i="3"/>
  <c r="N21" i="3"/>
  <c r="AC21" i="3"/>
  <c r="U21" i="3"/>
  <c r="M21" i="3"/>
  <c r="AB21" i="3"/>
  <c r="T21" i="3"/>
  <c r="L21" i="3"/>
  <c r="AA21" i="3"/>
  <c r="S21" i="3"/>
  <c r="K21" i="3"/>
  <c r="AF21" i="3"/>
  <c r="I21" i="3"/>
  <c r="Z21" i="3"/>
  <c r="H21" i="3"/>
  <c r="Y21" i="3"/>
  <c r="X21" i="3"/>
  <c r="R21" i="3"/>
  <c r="Q21" i="3"/>
  <c r="AA17" i="1"/>
  <c r="P21" i="3"/>
  <c r="J21" i="3"/>
  <c r="AB22" i="3" l="1"/>
  <c r="T22" i="3"/>
  <c r="L22" i="3"/>
  <c r="AA22" i="3"/>
  <c r="S22" i="3"/>
  <c r="K22" i="3"/>
  <c r="Z22" i="3"/>
  <c r="R22" i="3"/>
  <c r="J22" i="3"/>
  <c r="Y22" i="3"/>
  <c r="Q22" i="3"/>
  <c r="I22" i="3"/>
  <c r="AF22" i="3"/>
  <c r="X22" i="3"/>
  <c r="P22" i="3"/>
  <c r="H22" i="3"/>
  <c r="W22" i="3"/>
  <c r="V22" i="3"/>
  <c r="U22" i="3"/>
  <c r="O22" i="3"/>
  <c r="N22" i="3"/>
  <c r="AB17" i="1"/>
  <c r="AE22" i="3"/>
  <c r="M22" i="3"/>
  <c r="AD22" i="3"/>
  <c r="G22" i="3"/>
  <c r="AC22" i="3"/>
  <c r="AD49" i="3"/>
  <c r="V49" i="3"/>
  <c r="N49" i="3"/>
  <c r="AC49" i="3"/>
  <c r="U49" i="3"/>
  <c r="M49" i="3"/>
  <c r="AB49" i="3"/>
  <c r="T49" i="3"/>
  <c r="AA49" i="3"/>
  <c r="S49" i="3"/>
  <c r="K49" i="3"/>
  <c r="Z49" i="3"/>
  <c r="R49" i="3"/>
  <c r="J49" i="3"/>
  <c r="Y49" i="3"/>
  <c r="Q49" i="3"/>
  <c r="I49" i="3"/>
  <c r="AF49" i="3"/>
  <c r="G49" i="3"/>
  <c r="AE49" i="3"/>
  <c r="X49" i="3"/>
  <c r="W49" i="3"/>
  <c r="P49" i="3"/>
  <c r="O49" i="3"/>
  <c r="L49" i="3"/>
  <c r="H49" i="3"/>
  <c r="AB18" i="1"/>
  <c r="AA50" i="3" l="1"/>
  <c r="S50" i="3"/>
  <c r="K50" i="3"/>
  <c r="Z50" i="3"/>
  <c r="R50" i="3"/>
  <c r="J50" i="3"/>
  <c r="Y50" i="3"/>
  <c r="Q50" i="3"/>
  <c r="I50" i="3"/>
  <c r="AF50" i="3"/>
  <c r="X50" i="3"/>
  <c r="P50" i="3"/>
  <c r="H50" i="3"/>
  <c r="AE50" i="3"/>
  <c r="W50" i="3"/>
  <c r="O50" i="3"/>
  <c r="G50" i="3"/>
  <c r="AD50" i="3"/>
  <c r="V50" i="3"/>
  <c r="N50" i="3"/>
  <c r="AC50" i="3"/>
  <c r="AB50" i="3"/>
  <c r="U50" i="3"/>
  <c r="T50" i="3"/>
  <c r="M50" i="3"/>
  <c r="AC18" i="1"/>
  <c r="L50" i="3"/>
  <c r="Y23" i="3"/>
  <c r="Q23" i="3"/>
  <c r="I23" i="3"/>
  <c r="AF23" i="3"/>
  <c r="X23" i="3"/>
  <c r="P23" i="3"/>
  <c r="H23" i="3"/>
  <c r="AE23" i="3"/>
  <c r="W23" i="3"/>
  <c r="O23" i="3"/>
  <c r="G23" i="3"/>
  <c r="AD23" i="3"/>
  <c r="V23" i="3"/>
  <c r="N23" i="3"/>
  <c r="AC23" i="3"/>
  <c r="U23" i="3"/>
  <c r="M23" i="3"/>
  <c r="R23" i="3"/>
  <c r="L23" i="3"/>
  <c r="K23" i="3"/>
  <c r="AB23" i="3"/>
  <c r="J23" i="3"/>
  <c r="AA23" i="3"/>
  <c r="Z23" i="3"/>
  <c r="T23" i="3"/>
  <c r="S23" i="3"/>
  <c r="AC17" i="1"/>
  <c r="AD24" i="3" l="1"/>
  <c r="V24" i="3"/>
  <c r="N24" i="3"/>
  <c r="AC24" i="3"/>
  <c r="U24" i="3"/>
  <c r="M24" i="3"/>
  <c r="AB24" i="3"/>
  <c r="T24" i="3"/>
  <c r="L24" i="3"/>
  <c r="AA24" i="3"/>
  <c r="S24" i="3"/>
  <c r="K24" i="3"/>
  <c r="Z24" i="3"/>
  <c r="R24" i="3"/>
  <c r="J24" i="3"/>
  <c r="AE24" i="3"/>
  <c r="H24" i="3"/>
  <c r="Y24" i="3"/>
  <c r="G24" i="3"/>
  <c r="X24" i="3"/>
  <c r="W24" i="3"/>
  <c r="Q24" i="3"/>
  <c r="P24" i="3"/>
  <c r="AF24" i="3"/>
  <c r="O24" i="3"/>
  <c r="I24" i="3"/>
  <c r="AD17" i="1"/>
  <c r="AE17" i="1" s="1"/>
  <c r="AF17" i="1" s="1"/>
  <c r="AG17" i="1" s="1"/>
  <c r="AH17" i="1" s="1"/>
  <c r="AF51" i="3"/>
  <c r="X51" i="3"/>
  <c r="P51" i="3"/>
  <c r="H51" i="3"/>
  <c r="AE51" i="3"/>
  <c r="W51" i="3"/>
  <c r="O51" i="3"/>
  <c r="G51" i="3"/>
  <c r="AD51" i="3"/>
  <c r="V51" i="3"/>
  <c r="N51" i="3"/>
  <c r="AC51" i="3"/>
  <c r="U51" i="3"/>
  <c r="M51" i="3"/>
  <c r="AB51" i="3"/>
  <c r="T51" i="3"/>
  <c r="L51" i="3"/>
  <c r="AA51" i="3"/>
  <c r="S51" i="3"/>
  <c r="K51" i="3"/>
  <c r="Z51" i="3"/>
  <c r="Y51" i="3"/>
  <c r="R51" i="3"/>
  <c r="Q51" i="3"/>
  <c r="AD18" i="1"/>
  <c r="AE18" i="1" s="1"/>
  <c r="AF18" i="1" s="1"/>
  <c r="AG18" i="1" s="1"/>
  <c r="AH18" i="1" s="1"/>
  <c r="J51" i="3"/>
  <c r="I51" i="3"/>
  <c r="AC52" i="3" l="1"/>
  <c r="U52" i="3"/>
  <c r="M52" i="3"/>
  <c r="AB52" i="3"/>
  <c r="T52" i="3"/>
  <c r="L52" i="3"/>
  <c r="AA52" i="3"/>
  <c r="S52" i="3"/>
  <c r="K52" i="3"/>
  <c r="Z52" i="3"/>
  <c r="R52" i="3"/>
  <c r="J52" i="3"/>
  <c r="Y52" i="3"/>
  <c r="Q52" i="3"/>
  <c r="I52" i="3"/>
  <c r="AF52" i="3"/>
  <c r="X52" i="3"/>
  <c r="P52" i="3"/>
  <c r="H52" i="3"/>
  <c r="G52" i="3"/>
  <c r="AE52" i="3"/>
  <c r="AD52" i="3"/>
  <c r="W52" i="3"/>
  <c r="V52" i="3"/>
  <c r="O52" i="3"/>
  <c r="N52" i="3"/>
  <c r="AI18" i="1"/>
  <c r="AJ18" i="1" s="1"/>
  <c r="AK18" i="1" s="1"/>
  <c r="AL18" i="1" s="1"/>
  <c r="AM18" i="1" s="1"/>
  <c r="AA25" i="3"/>
  <c r="S25" i="3"/>
  <c r="K25" i="3"/>
  <c r="Z25" i="3"/>
  <c r="R25" i="3"/>
  <c r="J25" i="3"/>
  <c r="Y25" i="3"/>
  <c r="Q25" i="3"/>
  <c r="I25" i="3"/>
  <c r="AF25" i="3"/>
  <c r="X25" i="3"/>
  <c r="P25" i="3"/>
  <c r="H25" i="3"/>
  <c r="AE25" i="3"/>
  <c r="W25" i="3"/>
  <c r="O25" i="3"/>
  <c r="G25" i="3"/>
  <c r="AD25" i="3"/>
  <c r="V25" i="3"/>
  <c r="U25" i="3"/>
  <c r="T25" i="3"/>
  <c r="N25" i="3"/>
  <c r="M25" i="3"/>
  <c r="L25" i="3"/>
  <c r="AI17" i="1"/>
  <c r="AJ17" i="1" s="1"/>
  <c r="AK17" i="1" s="1"/>
  <c r="AL17" i="1" s="1"/>
  <c r="AM17" i="1" s="1"/>
  <c r="AB25" i="3"/>
  <c r="AC25" i="3"/>
  <c r="AF26" i="3" l="1"/>
  <c r="X26" i="3"/>
  <c r="P26" i="3"/>
  <c r="H26" i="3"/>
  <c r="AE26" i="3"/>
  <c r="W26" i="3"/>
  <c r="O26" i="3"/>
  <c r="G26" i="3"/>
  <c r="AD26" i="3"/>
  <c r="V26" i="3"/>
  <c r="N26" i="3"/>
  <c r="AC26" i="3"/>
  <c r="U26" i="3"/>
  <c r="M26" i="3"/>
  <c r="AB26" i="3"/>
  <c r="T26" i="3"/>
  <c r="L26" i="3"/>
  <c r="AA26" i="3"/>
  <c r="S26" i="3"/>
  <c r="K26" i="3"/>
  <c r="Y26" i="3"/>
  <c r="R26" i="3"/>
  <c r="Q26" i="3"/>
  <c r="J26" i="3"/>
  <c r="I26" i="3"/>
  <c r="Z26" i="3"/>
  <c r="Z53" i="3"/>
  <c r="R53" i="3"/>
  <c r="J53" i="3"/>
  <c r="Y53" i="3"/>
  <c r="Q53" i="3"/>
  <c r="I53" i="3"/>
  <c r="AF53" i="3"/>
  <c r="X53" i="3"/>
  <c r="P53" i="3"/>
  <c r="H53" i="3"/>
  <c r="AE53" i="3"/>
  <c r="W53" i="3"/>
  <c r="O53" i="3"/>
  <c r="G53" i="3"/>
  <c r="AD53" i="3"/>
  <c r="V53" i="3"/>
  <c r="N53" i="3"/>
  <c r="AC53" i="3"/>
  <c r="U53" i="3"/>
  <c r="M53" i="3"/>
  <c r="K53" i="3"/>
  <c r="AB53" i="3"/>
  <c r="AA53" i="3"/>
  <c r="T53" i="3"/>
  <c r="S53" i="3"/>
  <c r="L5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I20" authorId="3" shapeId="0" xr:uid="{FA644243-5C82-49A2-9E18-155BC945F002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  <comment ref="J20" authorId="4" shapeId="0" xr:uid="{58A128E1-0CEE-4B03-8BAC-A4332CB39BA7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<sst xmlns="http://schemas.openxmlformats.org/spreadsheetml/2006/main" count="758" uniqueCount="214">
  <si>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</si>
  <si>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</si>
  <si>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</si>
  <si>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</si>
  <si>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</si>
  <si>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</si>
  <si>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</si>
  <si>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</si>
  <si>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</si>
  <si>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</si>
  <si>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</si>
  <si>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</si>
  <si>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</si>
  <si>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</si>
  <si>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</si>
  <si>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</si>
  <si>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</si>
  <si>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</si>
  <si>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</si>
  <si>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</si>
  <si>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</si>
  <si>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</si>
  <si>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</si>
  <si>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</si>
  <si>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</si>
  <si>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</si>
  <si>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</si>
  <si>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</si>
  <si>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</si>
  <si>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</si>
  <si>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</si>
  <si>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</si>
  <si>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</si>
  <si>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</si>
  <si>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</si>
  <si>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</si>
  <si>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</si>
  <si>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</si>
  <si>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</si>
  <si>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</si>
  <si>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</si>
  <si>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</si>
  <si>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</si>
  <si>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</si>
  <si>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</si>
  <si>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</si>
  <si>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</si>
  <si>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</si>
  <si>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</si>
  <si>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</si>
  <si>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</si>
  <si>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</si>
  <si>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</si>
  <si>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</si>
  <si>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</si>
  <si>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</si>
  <si>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</si>
  <si>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</si>
  <si>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</si>
  <si>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</si>
  <si>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</si>
  <si>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</si>
  <si>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</si>
  <si>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</si>
  <si>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</si>
  <si>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</si>
  <si>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</si>
  <si>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</si>
  <si>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</si>
  <si>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</si>
  <si>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</si>
  <si>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</si>
  <si>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</si>
  <si>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</si>
  <si>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</si>
  <si>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</si>
  <si>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</si>
  <si>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</si>
  <si>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</si>
  <si>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</si>
  <si>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</si>
  <si>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</si>
  <si>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</si>
  <si>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</si>
  <si>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</si>
  <si>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</si>
  <si>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</si>
  <si>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</si>
  <si>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</si>
  <si>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</si>
  <si>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</si>
  <si>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</si>
  <si>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</si>
  <si>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</si>
  <si>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</si>
  <si>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</si>
  <si>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</si>
  <si>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</si>
  <si>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</si>
  <si>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</si>
  <si>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</si>
  <si>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</si>
  <si>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</si>
  <si>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</si>
  <si>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</si>
  <si>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</si>
  <si>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</si>
  <si>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</si>
  <si>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</si>
  <si>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</si>
  <si>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</si>
  <si>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</si>
  <si>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</si>
  <si>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</si>
  <si>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</si>
  <si>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</si>
  <si>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</si>
  <si>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</si>
  <si>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</si>
  <si>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</si>
  <si>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</si>
  <si>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</si>
  <si>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</si>
  <si>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~TFM_FILL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</si>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</sst>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160740989410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160740989410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FFFFFF"/>
      </top>
      <bottom style="medium">
        <color rgb="FFFFFFFF"/>
      </bottom>
      <diagonal/>
    </border>
  </borders>
  <cellStyleXfs count="354">
    <xf numFmtId="0" fontId="0" fillId="0" borderId="0"/>
    <xf numFmtId="9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4" fillId="0" borderId="0"/>
    <xf numFmtId="169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22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24" fillId="8" borderId="0" applyNumberFormat="0" applyBorder="0" applyAlignment="0" applyProtection="0"/>
    <xf numFmtId="0" fontId="25" fillId="0" borderId="0" applyNumberFormat="0" applyFill="0" applyBorder="0" applyAlignment="0" applyProtection="0"/>
    <xf numFmtId="164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</cellStyleXfs>
  <cellXfs count="90">
    <xf numFmtId="0" fontId="0" fillId="0" borderId="0" xfId="0"/>
    <xf numFmtId="0" fontId="28" fillId="0" borderId="1" xfId="0" applyFont="1" applyBorder="1" applyAlignment="1">
      <alignment horizontal="left"/>
    </xf>
    <xf numFmtId="0" fontId="11" fillId="9" borderId="0" xfId="3" applyFill="1" applyAlignment="1">
      <alignment vertical="center"/>
    </xf>
    <xf numFmtId="0" fontId="15" fillId="9" borderId="0" xfId="4" applyFont="1" applyFill="1" applyAlignment="1">
      <alignment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 applyProtection="1">
      <alignment horizontal="left" vertical="center"/>
      <protection locked="0"/>
    </xf>
    <xf numFmtId="0" fontId="2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5" fillId="12" borderId="2" xfId="0" applyFont="1" applyFill="1" applyBorder="1"/>
    <xf numFmtId="0" fontId="6" fillId="13" borderId="2" xfId="0" applyFont="1" applyFill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14" borderId="2" xfId="0" applyFont="1" applyFill="1" applyBorder="1"/>
    <xf numFmtId="0" fontId="5" fillId="13" borderId="2" xfId="0" applyFont="1" applyFill="1" applyBorder="1"/>
    <xf numFmtId="0" fontId="4" fillId="13" borderId="2" xfId="0" applyFont="1" applyFill="1" applyBorder="1"/>
    <xf numFmtId="0" fontId="5" fillId="0" borderId="0" xfId="0" applyFont="1"/>
    <xf numFmtId="2" fontId="5" fillId="15" borderId="0" xfId="0" applyNumberFormat="1" applyFont="1" applyFill="1"/>
    <xf numFmtId="0" fontId="5" fillId="15" borderId="0" xfId="0" applyFont="1" applyFill="1"/>
    <xf numFmtId="0" fontId="10" fillId="0" borderId="0" xfId="0" applyFont="1"/>
    <xf numFmtId="0" fontId="1" fillId="0" borderId="0" xfId="0" applyFont="1"/>
    <xf numFmtId="0" fontId="4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4" applyFont="1" applyFill="1" applyAlignment="1">
      <alignment vertical="center"/>
    </xf>
    <xf numFmtId="0" fontId="0" fillId="17" borderId="0" xfId="4" applyFont="1" applyFill="1" applyAlignment="1">
      <alignment vertical="center"/>
    </xf>
    <xf numFmtId="0" fontId="12" fillId="17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0" fillId="18" borderId="0" xfId="4" applyFont="1" applyFill="1" applyAlignment="1">
      <alignment vertical="center"/>
    </xf>
    <xf numFmtId="0" fontId="6" fillId="17" borderId="0" xfId="4" applyFont="1" applyFill="1" applyAlignment="1">
      <alignment vertical="center"/>
    </xf>
    <xf numFmtId="0" fontId="13" fillId="17" borderId="0" xfId="4" applyFont="1" applyFill="1" applyAlignment="1">
      <alignment vertical="center"/>
    </xf>
    <xf numFmtId="0" fontId="14" fillId="9" borderId="0" xfId="4" applyFont="1" applyFill="1" applyAlignment="1">
      <alignment vertical="center"/>
    </xf>
    <xf numFmtId="0" fontId="15" fillId="17" borderId="0" xfId="4" applyFont="1" applyFill="1" applyAlignment="1">
      <alignment vertical="center"/>
    </xf>
    <xf numFmtId="0" fontId="16" fillId="17" borderId="0" xfId="4" applyFont="1" applyFill="1" applyAlignment="1">
      <alignment vertical="center"/>
    </xf>
    <xf numFmtId="166" fontId="15" fillId="9" borderId="0" xfId="4" applyNumberFormat="1" applyFont="1" applyFill="1" applyAlignment="1">
      <alignment horizontal="left" vertical="center"/>
    </xf>
    <xf numFmtId="0" fontId="17" fillId="17" borderId="0" xfId="4" applyFont="1" applyFill="1" applyAlignment="1">
      <alignment vertical="center"/>
    </xf>
    <xf numFmtId="0" fontId="18" fillId="9" borderId="0" xfId="4" applyFont="1" applyFill="1" applyAlignment="1">
      <alignment vertical="center"/>
    </xf>
    <xf numFmtId="2" fontId="1" fillId="0" borderId="0" xfId="0" applyNumberFormat="1" applyFont="1"/>
    <xf numFmtId="2" fontId="0" fillId="0" borderId="0" xfId="0" applyNumberFormat="1"/>
    <xf numFmtId="0" fontId="6" fillId="13" borderId="2" xfId="4" applyFont="1" applyFill="1" applyBorder="1" applyAlignment="1">
      <alignment vertical="center"/>
    </xf>
    <xf numFmtId="0" fontId="2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1" fillId="0" borderId="1" xfId="0" applyFont="1" applyBorder="1"/>
    <xf numFmtId="3" fontId="28" fillId="0" borderId="1" xfId="0" applyNumberFormat="1" applyFont="1" applyBorder="1"/>
    <xf numFmtId="3" fontId="31" fillId="0" borderId="1" xfId="0" applyNumberFormat="1" applyFont="1" applyBorder="1"/>
    <xf numFmtId="0" fontId="31" fillId="0" borderId="0" xfId="0" applyFont="1"/>
    <xf numFmtId="3" fontId="28" fillId="0" borderId="0" xfId="0" applyNumberFormat="1" applyFont="1"/>
    <xf numFmtId="3" fontId="31" fillId="0" borderId="0" xfId="0" applyNumberFormat="1" applyFont="1"/>
    <xf numFmtId="0" fontId="28" fillId="0" borderId="0" xfId="0" applyFont="1" applyAlignment="1">
      <alignment horizontal="left"/>
    </xf>
    <xf numFmtId="0" fontId="28" fillId="0" borderId="7" xfId="0" applyFont="1" applyBorder="1" applyAlignment="1">
      <alignment horizontal="right" wrapText="1"/>
    </xf>
    <xf numFmtId="0" fontId="28" fillId="0" borderId="1" xfId="0" applyFont="1" applyBorder="1" applyAlignment="1">
      <alignment horizontal="right" wrapText="1"/>
    </xf>
    <xf numFmtId="0" fontId="28" fillId="0" borderId="7" xfId="0" applyFont="1" applyBorder="1" applyAlignment="1">
      <alignment horizontal="left" wrapText="1"/>
    </xf>
    <xf numFmtId="0" fontId="2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5" fillId="0" borderId="0" xfId="0" applyFont="1"/>
    <xf numFmtId="3" fontId="0" fillId="0" borderId="0" xfId="0" applyNumberFormat="1"/>
    <xf numFmtId="0" fontId="27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3" fontId="26" fillId="0" borderId="0" xfId="0" applyNumberFormat="1" applyFont="1"/>
    <xf numFmtId="0" fontId="21" fillId="0" borderId="0" xfId="0" applyFont="1" applyAlignment="1">
      <alignment horizontal="left"/>
    </xf>
    <xf numFmtId="1" fontId="0" fillId="0" borderId="0" xfId="2" applyNumberFormat="1" applyFont="1"/>
    <xf numFmtId="0" fontId="27" fillId="0" borderId="0" xfId="0" applyFont="1" applyAlignment="1">
      <alignment horizontal="center"/>
    </xf>
    <xf numFmtId="3" fontId="26" fillId="0" borderId="0" xfId="0" applyNumberFormat="1" applyFont="1" applyAlignment="1">
      <alignment horizontal="center"/>
    </xf>
    <xf numFmtId="167" fontId="0" fillId="0" borderId="0" xfId="1" applyNumberFormat="1" applyFont="1"/>
    <xf numFmtId="167" fontId="0" fillId="0" borderId="0" xfId="1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5" fillId="0" borderId="0" xfId="0" applyNumberFormat="1" applyFont="1"/>
    <xf numFmtId="3" fontId="0" fillId="0" borderId="1" xfId="0" applyNumberFormat="1" applyBorder="1"/>
    <xf numFmtId="0" fontId="32" fillId="19" borderId="8" xfId="0" applyFont="1" applyFill="1" applyBorder="1" applyAlignment="1">
      <alignment horizontal="left" vertical="center"/>
    </xf>
    <xf numFmtId="171" fontId="4" fillId="0" borderId="0" xfId="0" applyNumberFormat="1" applyFont="1"/>
    <xf numFmtId="0" fontId="15" fillId="9" borderId="0" xfId="4" applyFont="1" applyFill="1" applyAlignment="1">
      <alignment vertical="center"/>
    </xf>
    <xf numFmtId="0" fontId="12" fillId="9" borderId="0" xfId="4" applyFont="1" applyFill="1" applyAlignment="1">
      <alignment horizontal="center" vertical="center"/>
    </xf>
    <xf numFmtId="0" fontId="11" fillId="9" borderId="0" xfId="3" applyFill="1" applyAlignment="1">
      <alignment vertical="center"/>
    </xf>
    <xf numFmtId="0" fontId="29" fillId="0" borderId="1" xfId="0" applyFont="1" applyBorder="1" applyAlignment="1">
      <alignment horizontal="right"/>
    </xf>
    <xf numFmtId="0" fontId="30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</cellXfs>
  <cellStyles count="354">
    <cellStyle name="60% - Accent1 2" xfId="345" xr:uid="{00000000-0005-0000-0000-00005C010000}"/>
    <cellStyle name="60% - Accent2 2" xfId="344" xr:uid="{00000000-0005-0000-0000-00005B010000}"/>
    <cellStyle name="60% - Accent3 2" xfId="343" xr:uid="{00000000-0005-0000-0000-00005A010000}"/>
    <cellStyle name="60% - Accent4 2" xfId="342" xr:uid="{00000000-0005-0000-0000-000059010000}"/>
    <cellStyle name="60% - Accent5 2" xfId="341" xr:uid="{00000000-0005-0000-0000-000058010000}"/>
    <cellStyle name="60% - Accent6 2" xfId="340" xr:uid="{00000000-0005-0000-0000-000057010000}"/>
    <cellStyle name="Comma" xfId="2" builtinId="3"/>
    <cellStyle name="Comma 2" xfId="5" xr:uid="{00000000-0005-0000-0000-000008000000}"/>
    <cellStyle name="Comma 2 2" xfId="351" xr:uid="{00000000-0005-0000-0000-000062010000}"/>
    <cellStyle name="Comma 3" xfId="348" xr:uid="{00000000-0005-0000-0000-00005F010000}"/>
    <cellStyle name="Comma 3 2" xfId="352" xr:uid="{00000000-0005-0000-0000-000063010000}"/>
    <cellStyle name="Comma 4" xfId="349" xr:uid="{00000000-0005-0000-0000-000060010000}"/>
    <cellStyle name="Comma 4 2" xfId="353" xr:uid="{00000000-0005-0000-0000-000064010000}"/>
    <cellStyle name="Comma 5" xfId="350" xr:uid="{00000000-0005-0000-0000-000061010000}"/>
    <cellStyle name="Currency 2" xfId="6" xr:uid="{00000000-0005-0000-0000-000009000000}"/>
    <cellStyle name="Currency 2 2" xfId="7" xr:uid="{00000000-0005-0000-0000-00000A000000}"/>
    <cellStyle name="Currency 3" xfId="8" xr:uid="{00000000-0005-0000-0000-00000B000000}"/>
    <cellStyle name="Currency 4" xfId="9" xr:uid="{00000000-0005-0000-0000-00000C000000}"/>
    <cellStyle name="Currency 4 2" xfId="10" xr:uid="{00000000-0005-0000-0000-00000D000000}"/>
    <cellStyle name="Currency 4 3" xfId="11" xr:uid="{00000000-0005-0000-0000-00000E000000}"/>
    <cellStyle name="Hyperlink" xfId="3" builtinId="8"/>
    <cellStyle name="Neutral 2" xfId="346" xr:uid="{00000000-0005-0000-0000-00005D010000}"/>
    <cellStyle name="Normal" xfId="0" builtinId="0"/>
    <cellStyle name="Normal 10" xfId="12" xr:uid="{00000000-0005-0000-0000-00000F000000}"/>
    <cellStyle name="Normal 10 2" xfId="13" xr:uid="{00000000-0005-0000-0000-000010000000}"/>
    <cellStyle name="Normal 10 2 2" xfId="14" xr:uid="{00000000-0005-0000-0000-000011000000}"/>
    <cellStyle name="Normal 10 2_BOS Workings" xfId="15" xr:uid="{00000000-0005-0000-0000-000012000000}"/>
    <cellStyle name="Normal 10 3" xfId="16" xr:uid="{00000000-0005-0000-0000-000013000000}"/>
    <cellStyle name="Normal 10_BOS Workings" xfId="17" xr:uid="{00000000-0005-0000-0000-000014000000}"/>
    <cellStyle name="Normal 100" xfId="18" xr:uid="{00000000-0005-0000-0000-000015000000}"/>
    <cellStyle name="Normal 100 2" xfId="19" xr:uid="{00000000-0005-0000-0000-000016000000}"/>
    <cellStyle name="Normal 101" xfId="20" xr:uid="{00000000-0005-0000-0000-000017000000}"/>
    <cellStyle name="Normal 101 2" xfId="21" xr:uid="{00000000-0005-0000-0000-000018000000}"/>
    <cellStyle name="Normal 102" xfId="22" xr:uid="{00000000-0005-0000-0000-000019000000}"/>
    <cellStyle name="Normal 102 2" xfId="23" xr:uid="{00000000-0005-0000-0000-00001A000000}"/>
    <cellStyle name="Normal 103" xfId="24" xr:uid="{00000000-0005-0000-0000-00001B000000}"/>
    <cellStyle name="Normal 103 2" xfId="25" xr:uid="{00000000-0005-0000-0000-00001C000000}"/>
    <cellStyle name="Normal 104" xfId="26" xr:uid="{00000000-0005-0000-0000-00001D000000}"/>
    <cellStyle name="Normal 104 2" xfId="27" xr:uid="{00000000-0005-0000-0000-00001E000000}"/>
    <cellStyle name="Normal 105" xfId="28" xr:uid="{00000000-0005-0000-0000-00001F000000}"/>
    <cellStyle name="Normal 105 2" xfId="29" xr:uid="{00000000-0005-0000-0000-000020000000}"/>
    <cellStyle name="Normal 106" xfId="30" xr:uid="{00000000-0005-0000-0000-000021000000}"/>
    <cellStyle name="Normal 106 2" xfId="31" xr:uid="{00000000-0005-0000-0000-000022000000}"/>
    <cellStyle name="Normal 107" xfId="32" xr:uid="{00000000-0005-0000-0000-000023000000}"/>
    <cellStyle name="Normal 107 2" xfId="33" xr:uid="{00000000-0005-0000-0000-000024000000}"/>
    <cellStyle name="Normal 108" xfId="34" xr:uid="{00000000-0005-0000-0000-000025000000}"/>
    <cellStyle name="Normal 108 2" xfId="35" xr:uid="{00000000-0005-0000-0000-000026000000}"/>
    <cellStyle name="Normal 109" xfId="36" xr:uid="{00000000-0005-0000-0000-000027000000}"/>
    <cellStyle name="Normal 11" xfId="37" xr:uid="{00000000-0005-0000-0000-000028000000}"/>
    <cellStyle name="Normal 11 2" xfId="38" xr:uid="{00000000-0005-0000-0000-000029000000}"/>
    <cellStyle name="Normal 11 2 2" xfId="39" xr:uid="{00000000-0005-0000-0000-00002A000000}"/>
    <cellStyle name="Normal 11 2_BOS Workings" xfId="40" xr:uid="{00000000-0005-0000-0000-00002B000000}"/>
    <cellStyle name="Normal 11 3" xfId="41" xr:uid="{00000000-0005-0000-0000-00002C000000}"/>
    <cellStyle name="Normal 11_BOS Workings" xfId="42" xr:uid="{00000000-0005-0000-0000-00002D000000}"/>
    <cellStyle name="Normal 110" xfId="43" xr:uid="{00000000-0005-0000-0000-00002E000000}"/>
    <cellStyle name="Normal 111" xfId="44" xr:uid="{00000000-0005-0000-0000-00002F000000}"/>
    <cellStyle name="Normal 112" xfId="45" xr:uid="{00000000-0005-0000-0000-000030000000}"/>
    <cellStyle name="Normal 113" xfId="46" xr:uid="{00000000-0005-0000-0000-000031000000}"/>
    <cellStyle name="Normal 114" xfId="47" xr:uid="{00000000-0005-0000-0000-000032000000}"/>
    <cellStyle name="Normal 115" xfId="48" xr:uid="{00000000-0005-0000-0000-000033000000}"/>
    <cellStyle name="Normal 116" xfId="49" xr:uid="{00000000-0005-0000-0000-000034000000}"/>
    <cellStyle name="Normal 117" xfId="50" xr:uid="{00000000-0005-0000-0000-000035000000}"/>
    <cellStyle name="Normal 118" xfId="51" xr:uid="{00000000-0005-0000-0000-000036000000}"/>
    <cellStyle name="Normal 119" xfId="52" xr:uid="{00000000-0005-0000-0000-000037000000}"/>
    <cellStyle name="Normal 12" xfId="53" xr:uid="{00000000-0005-0000-0000-000038000000}"/>
    <cellStyle name="Normal 12 2" xfId="54" xr:uid="{00000000-0005-0000-0000-000039000000}"/>
    <cellStyle name="Normal 12 2 2" xfId="55" xr:uid="{00000000-0005-0000-0000-00003A000000}"/>
    <cellStyle name="Normal 12 2_BOS Workings" xfId="56" xr:uid="{00000000-0005-0000-0000-00003B000000}"/>
    <cellStyle name="Normal 12 3" xfId="57" xr:uid="{00000000-0005-0000-0000-00003C000000}"/>
    <cellStyle name="Normal 12_BOS Workings" xfId="58" xr:uid="{00000000-0005-0000-0000-00003D000000}"/>
    <cellStyle name="Normal 13" xfId="59" xr:uid="{00000000-0005-0000-0000-00003E000000}"/>
    <cellStyle name="Normal 13 2" xfId="60" xr:uid="{00000000-0005-0000-0000-00003F000000}"/>
    <cellStyle name="Normal 13 2 2" xfId="61" xr:uid="{00000000-0005-0000-0000-000040000000}"/>
    <cellStyle name="Normal 13 2_BOS Workings" xfId="62" xr:uid="{00000000-0005-0000-0000-000041000000}"/>
    <cellStyle name="Normal 13 3" xfId="63" xr:uid="{00000000-0005-0000-0000-000042000000}"/>
    <cellStyle name="Normal 13_BOS Workings" xfId="64" xr:uid="{00000000-0005-0000-0000-000043000000}"/>
    <cellStyle name="Normal 14" xfId="65" xr:uid="{00000000-0005-0000-0000-000044000000}"/>
    <cellStyle name="Normal 14 2" xfId="66" xr:uid="{00000000-0005-0000-0000-000045000000}"/>
    <cellStyle name="Normal 14_BOS Workings" xfId="67" xr:uid="{00000000-0005-0000-0000-000046000000}"/>
    <cellStyle name="Normal 15" xfId="68" xr:uid="{00000000-0005-0000-0000-000047000000}"/>
    <cellStyle name="Normal 15 2" xfId="69" xr:uid="{00000000-0005-0000-0000-000048000000}"/>
    <cellStyle name="Normal 15_BOS Workings" xfId="70" xr:uid="{00000000-0005-0000-0000-000049000000}"/>
    <cellStyle name="Normal 16" xfId="71" xr:uid="{00000000-0005-0000-0000-00004A000000}"/>
    <cellStyle name="Normal 16 2" xfId="72" xr:uid="{00000000-0005-0000-0000-00004B000000}"/>
    <cellStyle name="Normal 16_BOS Workings" xfId="73" xr:uid="{00000000-0005-0000-0000-00004C000000}"/>
    <cellStyle name="Normal 17" xfId="74" xr:uid="{00000000-0005-0000-0000-00004D000000}"/>
    <cellStyle name="Normal 17 2" xfId="75" xr:uid="{00000000-0005-0000-0000-00004E000000}"/>
    <cellStyle name="Normal 17_BOS Workings" xfId="76" xr:uid="{00000000-0005-0000-0000-00004F000000}"/>
    <cellStyle name="Normal 18" xfId="77" xr:uid="{00000000-0005-0000-0000-000050000000}"/>
    <cellStyle name="Normal 18 2" xfId="78" xr:uid="{00000000-0005-0000-0000-000051000000}"/>
    <cellStyle name="Normal 18_BOS Workings" xfId="79" xr:uid="{00000000-0005-0000-0000-000052000000}"/>
    <cellStyle name="Normal 19" xfId="80" xr:uid="{00000000-0005-0000-0000-000053000000}"/>
    <cellStyle name="Normal 19 2" xfId="81" xr:uid="{00000000-0005-0000-0000-000054000000}"/>
    <cellStyle name="Normal 19_BOS Workings" xfId="82" xr:uid="{00000000-0005-0000-0000-000055000000}"/>
    <cellStyle name="Normal 2" xfId="4" xr:uid="{00000000-0005-0000-0000-000007000000}"/>
    <cellStyle name="Normal 2 2" xfId="83" xr:uid="{00000000-0005-0000-0000-000056000000}"/>
    <cellStyle name="Normal 20" xfId="84" xr:uid="{00000000-0005-0000-0000-000057000000}"/>
    <cellStyle name="Normal 20 2" xfId="85" xr:uid="{00000000-0005-0000-0000-000058000000}"/>
    <cellStyle name="Normal 20_BOS Workings" xfId="86" xr:uid="{00000000-0005-0000-0000-000059000000}"/>
    <cellStyle name="Normal 21" xfId="87" xr:uid="{00000000-0005-0000-0000-00005A000000}"/>
    <cellStyle name="Normal 21 2" xfId="88" xr:uid="{00000000-0005-0000-0000-00005B000000}"/>
    <cellStyle name="Normal 21_BOS Workings" xfId="89" xr:uid="{00000000-0005-0000-0000-00005C000000}"/>
    <cellStyle name="Normal 22" xfId="90" xr:uid="{00000000-0005-0000-0000-00005D000000}"/>
    <cellStyle name="Normal 22 2" xfId="91" xr:uid="{00000000-0005-0000-0000-00005E000000}"/>
    <cellStyle name="Normal 22_BOS Workings" xfId="92" xr:uid="{00000000-0005-0000-0000-00005F000000}"/>
    <cellStyle name="Normal 23" xfId="93" xr:uid="{00000000-0005-0000-0000-000060000000}"/>
    <cellStyle name="Normal 23 2" xfId="94" xr:uid="{00000000-0005-0000-0000-000061000000}"/>
    <cellStyle name="Normal 23_BOS Workings" xfId="95" xr:uid="{00000000-0005-0000-0000-000062000000}"/>
    <cellStyle name="Normal 24" xfId="96" xr:uid="{00000000-0005-0000-0000-000063000000}"/>
    <cellStyle name="Normal 24 2" xfId="97" xr:uid="{00000000-0005-0000-0000-000064000000}"/>
    <cellStyle name="Normal 24_BOS Workings" xfId="98" xr:uid="{00000000-0005-0000-0000-000065000000}"/>
    <cellStyle name="Normal 25" xfId="99" xr:uid="{00000000-0005-0000-0000-000066000000}"/>
    <cellStyle name="Normal 25 2" xfId="100" xr:uid="{00000000-0005-0000-0000-000067000000}"/>
    <cellStyle name="Normal 25_BOS Workings" xfId="101" xr:uid="{00000000-0005-0000-0000-000068000000}"/>
    <cellStyle name="Normal 26" xfId="102" xr:uid="{00000000-0005-0000-0000-000069000000}"/>
    <cellStyle name="Normal 26 2" xfId="103" xr:uid="{00000000-0005-0000-0000-00006A000000}"/>
    <cellStyle name="Normal 26_BOS Workings" xfId="104" xr:uid="{00000000-0005-0000-0000-00006B000000}"/>
    <cellStyle name="Normal 27" xfId="105" xr:uid="{00000000-0005-0000-0000-00006C000000}"/>
    <cellStyle name="Normal 27 2" xfId="106" xr:uid="{00000000-0005-0000-0000-00006D000000}"/>
    <cellStyle name="Normal 27_BOS Workings" xfId="107" xr:uid="{00000000-0005-0000-0000-00006E000000}"/>
    <cellStyle name="Normal 28" xfId="108" xr:uid="{00000000-0005-0000-0000-00006F000000}"/>
    <cellStyle name="Normal 28 2" xfId="109" xr:uid="{00000000-0005-0000-0000-000070000000}"/>
    <cellStyle name="Normal 28_BOS Workings" xfId="110" xr:uid="{00000000-0005-0000-0000-000071000000}"/>
    <cellStyle name="Normal 29" xfId="111" xr:uid="{00000000-0005-0000-0000-000072000000}"/>
    <cellStyle name="Normal 29 2" xfId="112" xr:uid="{00000000-0005-0000-0000-000073000000}"/>
    <cellStyle name="Normal 29_BOS Workings" xfId="113" xr:uid="{00000000-0005-0000-0000-000074000000}"/>
    <cellStyle name="Normal 3" xfId="114" xr:uid="{00000000-0005-0000-0000-000075000000}"/>
    <cellStyle name="Normal 3 2" xfId="115" xr:uid="{00000000-0005-0000-0000-000076000000}"/>
    <cellStyle name="Normal 30" xfId="116" xr:uid="{00000000-0005-0000-0000-000077000000}"/>
    <cellStyle name="Normal 30 2" xfId="117" xr:uid="{00000000-0005-0000-0000-000078000000}"/>
    <cellStyle name="Normal 30_BOS Workings" xfId="118" xr:uid="{00000000-0005-0000-0000-000079000000}"/>
    <cellStyle name="Normal 31" xfId="119" xr:uid="{00000000-0005-0000-0000-00007A000000}"/>
    <cellStyle name="Normal 31 2" xfId="120" xr:uid="{00000000-0005-0000-0000-00007B000000}"/>
    <cellStyle name="Normal 31_BOS Workings" xfId="121" xr:uid="{00000000-0005-0000-0000-00007C000000}"/>
    <cellStyle name="Normal 32" xfId="122" xr:uid="{00000000-0005-0000-0000-00007D000000}"/>
    <cellStyle name="Normal 32 2" xfId="123" xr:uid="{00000000-0005-0000-0000-00007E000000}"/>
    <cellStyle name="Normal 32_BOS Workings" xfId="124" xr:uid="{00000000-0005-0000-0000-00007F000000}"/>
    <cellStyle name="Normal 33" xfId="125" xr:uid="{00000000-0005-0000-0000-000080000000}"/>
    <cellStyle name="Normal 33 2" xfId="126" xr:uid="{00000000-0005-0000-0000-000081000000}"/>
    <cellStyle name="Normal 33_BOS Workings" xfId="127" xr:uid="{00000000-0005-0000-0000-000082000000}"/>
    <cellStyle name="Normal 34" xfId="128" xr:uid="{00000000-0005-0000-0000-000083000000}"/>
    <cellStyle name="Normal 34 2" xfId="129" xr:uid="{00000000-0005-0000-0000-000084000000}"/>
    <cellStyle name="Normal 34_BOS Workings" xfId="130" xr:uid="{00000000-0005-0000-0000-000085000000}"/>
    <cellStyle name="Normal 35" xfId="131" xr:uid="{00000000-0005-0000-0000-000086000000}"/>
    <cellStyle name="Normal 35 2" xfId="132" xr:uid="{00000000-0005-0000-0000-000087000000}"/>
    <cellStyle name="Normal 35_BOS Workings" xfId="133" xr:uid="{00000000-0005-0000-0000-000088000000}"/>
    <cellStyle name="Normal 36" xfId="134" xr:uid="{00000000-0005-0000-0000-000089000000}"/>
    <cellStyle name="Normal 36 2" xfId="135" xr:uid="{00000000-0005-0000-0000-00008A000000}"/>
    <cellStyle name="Normal 36_BOS Workings" xfId="136" xr:uid="{00000000-0005-0000-0000-00008B000000}"/>
    <cellStyle name="Normal 37" xfId="137" xr:uid="{00000000-0005-0000-0000-00008C000000}"/>
    <cellStyle name="Normal 37 2" xfId="138" xr:uid="{00000000-0005-0000-0000-00008D000000}"/>
    <cellStyle name="Normal 37_BOS Workings" xfId="139" xr:uid="{00000000-0005-0000-0000-00008E000000}"/>
    <cellStyle name="Normal 38" xfId="140" xr:uid="{00000000-0005-0000-0000-00008F000000}"/>
    <cellStyle name="Normal 38 2" xfId="141" xr:uid="{00000000-0005-0000-0000-000090000000}"/>
    <cellStyle name="Normal 38_BOS Workings" xfId="142" xr:uid="{00000000-0005-0000-0000-000091000000}"/>
    <cellStyle name="Normal 39" xfId="143" xr:uid="{00000000-0005-0000-0000-000092000000}"/>
    <cellStyle name="Normal 39 2" xfId="144" xr:uid="{00000000-0005-0000-0000-000093000000}"/>
    <cellStyle name="Normal 39_BOS Workings" xfId="145" xr:uid="{00000000-0005-0000-0000-000094000000}"/>
    <cellStyle name="Normal 4" xfId="146" xr:uid="{00000000-0005-0000-0000-000095000000}"/>
    <cellStyle name="Normal 4 2" xfId="147" xr:uid="{00000000-0005-0000-0000-000096000000}"/>
    <cellStyle name="Normal 4 3" xfId="148" xr:uid="{00000000-0005-0000-0000-000097000000}"/>
    <cellStyle name="Normal 4_BOS Workings" xfId="149" xr:uid="{00000000-0005-0000-0000-000098000000}"/>
    <cellStyle name="Normal 40" xfId="150" xr:uid="{00000000-0005-0000-0000-000099000000}"/>
    <cellStyle name="Normal 40 2" xfId="151" xr:uid="{00000000-0005-0000-0000-00009A000000}"/>
    <cellStyle name="Normal 40_BOS Workings" xfId="152" xr:uid="{00000000-0005-0000-0000-00009B000000}"/>
    <cellStyle name="Normal 41" xfId="153" xr:uid="{00000000-0005-0000-0000-00009C000000}"/>
    <cellStyle name="Normal 41 2" xfId="154" xr:uid="{00000000-0005-0000-0000-00009D000000}"/>
    <cellStyle name="Normal 41_BOS Workings" xfId="155" xr:uid="{00000000-0005-0000-0000-00009E000000}"/>
    <cellStyle name="Normal 42" xfId="156" xr:uid="{00000000-0005-0000-0000-00009F000000}"/>
    <cellStyle name="Normal 42 2" xfId="157" xr:uid="{00000000-0005-0000-0000-0000A0000000}"/>
    <cellStyle name="Normal 42_BOS Workings" xfId="158" xr:uid="{00000000-0005-0000-0000-0000A1000000}"/>
    <cellStyle name="Normal 43" xfId="159" xr:uid="{00000000-0005-0000-0000-0000A2000000}"/>
    <cellStyle name="Normal 43 2" xfId="160" xr:uid="{00000000-0005-0000-0000-0000A3000000}"/>
    <cellStyle name="Normal 43_BOS Workings" xfId="161" xr:uid="{00000000-0005-0000-0000-0000A4000000}"/>
    <cellStyle name="Normal 44" xfId="162" xr:uid="{00000000-0005-0000-0000-0000A5000000}"/>
    <cellStyle name="Normal 44 2" xfId="163" xr:uid="{00000000-0005-0000-0000-0000A6000000}"/>
    <cellStyle name="Normal 44_BOS Workings" xfId="164" xr:uid="{00000000-0005-0000-0000-0000A7000000}"/>
    <cellStyle name="Normal 45" xfId="165" xr:uid="{00000000-0005-0000-0000-0000A8000000}"/>
    <cellStyle name="Normal 45 2" xfId="166" xr:uid="{00000000-0005-0000-0000-0000A9000000}"/>
    <cellStyle name="Normal 45_BOS Workings" xfId="167" xr:uid="{00000000-0005-0000-0000-0000AA000000}"/>
    <cellStyle name="Normal 46" xfId="168" xr:uid="{00000000-0005-0000-0000-0000AB000000}"/>
    <cellStyle name="Normal 46 2" xfId="169" xr:uid="{00000000-0005-0000-0000-0000AC000000}"/>
    <cellStyle name="Normal 46_BOS Workings" xfId="170" xr:uid="{00000000-0005-0000-0000-0000AD000000}"/>
    <cellStyle name="Normal 47" xfId="171" xr:uid="{00000000-0005-0000-0000-0000AE000000}"/>
    <cellStyle name="Normal 47 2" xfId="172" xr:uid="{00000000-0005-0000-0000-0000AF000000}"/>
    <cellStyle name="Normal 47_BOS Workings" xfId="173" xr:uid="{00000000-0005-0000-0000-0000B0000000}"/>
    <cellStyle name="Normal 48" xfId="174" xr:uid="{00000000-0005-0000-0000-0000B1000000}"/>
    <cellStyle name="Normal 48 2" xfId="175" xr:uid="{00000000-0005-0000-0000-0000B2000000}"/>
    <cellStyle name="Normal 48_BOS Workings" xfId="176" xr:uid="{00000000-0005-0000-0000-0000B3000000}"/>
    <cellStyle name="Normal 49" xfId="177" xr:uid="{00000000-0005-0000-0000-0000B4000000}"/>
    <cellStyle name="Normal 49 2" xfId="178" xr:uid="{00000000-0005-0000-0000-0000B5000000}"/>
    <cellStyle name="Normal 49_BOS Workings" xfId="179" xr:uid="{00000000-0005-0000-0000-0000B6000000}"/>
    <cellStyle name="Normal 5" xfId="180" xr:uid="{00000000-0005-0000-0000-0000B7000000}"/>
    <cellStyle name="Normal 5 2" xfId="181" xr:uid="{00000000-0005-0000-0000-0000B8000000}"/>
    <cellStyle name="Normal 5_BOS Workings" xfId="182" xr:uid="{00000000-0005-0000-0000-0000B9000000}"/>
    <cellStyle name="Normal 50" xfId="183" xr:uid="{00000000-0005-0000-0000-0000BA000000}"/>
    <cellStyle name="Normal 50 2" xfId="184" xr:uid="{00000000-0005-0000-0000-0000BB000000}"/>
    <cellStyle name="Normal 50_BOS Workings" xfId="185" xr:uid="{00000000-0005-0000-0000-0000BC000000}"/>
    <cellStyle name="Normal 51" xfId="186" xr:uid="{00000000-0005-0000-0000-0000BD000000}"/>
    <cellStyle name="Normal 51 2" xfId="187" xr:uid="{00000000-0005-0000-0000-0000BE000000}"/>
    <cellStyle name="Normal 51_BOS Workings" xfId="188" xr:uid="{00000000-0005-0000-0000-0000BF000000}"/>
    <cellStyle name="Normal 52" xfId="189" xr:uid="{00000000-0005-0000-0000-0000C0000000}"/>
    <cellStyle name="Normal 52 2" xfId="190" xr:uid="{00000000-0005-0000-0000-0000C1000000}"/>
    <cellStyle name="Normal 52_BOS Workings" xfId="191" xr:uid="{00000000-0005-0000-0000-0000C2000000}"/>
    <cellStyle name="Normal 53" xfId="192" xr:uid="{00000000-0005-0000-0000-0000C3000000}"/>
    <cellStyle name="Normal 53 2" xfId="193" xr:uid="{00000000-0005-0000-0000-0000C4000000}"/>
    <cellStyle name="Normal 53_BOS Workings" xfId="194" xr:uid="{00000000-0005-0000-0000-0000C5000000}"/>
    <cellStyle name="Normal 54" xfId="195" xr:uid="{00000000-0005-0000-0000-0000C6000000}"/>
    <cellStyle name="Normal 54 2" xfId="196" xr:uid="{00000000-0005-0000-0000-0000C7000000}"/>
    <cellStyle name="Normal 54_BOS Workings" xfId="197" xr:uid="{00000000-0005-0000-0000-0000C8000000}"/>
    <cellStyle name="Normal 55" xfId="198" xr:uid="{00000000-0005-0000-0000-0000C9000000}"/>
    <cellStyle name="Normal 55 2" xfId="199" xr:uid="{00000000-0005-0000-0000-0000CA000000}"/>
    <cellStyle name="Normal 55_BOS Workings" xfId="200" xr:uid="{00000000-0005-0000-0000-0000CB000000}"/>
    <cellStyle name="Normal 56" xfId="201" xr:uid="{00000000-0005-0000-0000-0000CC000000}"/>
    <cellStyle name="Normal 56 2" xfId="202" xr:uid="{00000000-0005-0000-0000-0000CD000000}"/>
    <cellStyle name="Normal 56_BOS Workings" xfId="203" xr:uid="{00000000-0005-0000-0000-0000CE000000}"/>
    <cellStyle name="Normal 57" xfId="204" xr:uid="{00000000-0005-0000-0000-0000CF000000}"/>
    <cellStyle name="Normal 57 2" xfId="205" xr:uid="{00000000-0005-0000-0000-0000D0000000}"/>
    <cellStyle name="Normal 57_BOS Workings" xfId="206" xr:uid="{00000000-0005-0000-0000-0000D1000000}"/>
    <cellStyle name="Normal 58" xfId="207" xr:uid="{00000000-0005-0000-0000-0000D2000000}"/>
    <cellStyle name="Normal 58 2" xfId="208" xr:uid="{00000000-0005-0000-0000-0000D3000000}"/>
    <cellStyle name="Normal 58_BOS Workings" xfId="209" xr:uid="{00000000-0005-0000-0000-0000D4000000}"/>
    <cellStyle name="Normal 59" xfId="210" xr:uid="{00000000-0005-0000-0000-0000D5000000}"/>
    <cellStyle name="Normal 59 2" xfId="211" xr:uid="{00000000-0005-0000-0000-0000D6000000}"/>
    <cellStyle name="Normal 59_BOS Workings" xfId="212" xr:uid="{00000000-0005-0000-0000-0000D7000000}"/>
    <cellStyle name="Normal 6" xfId="213" xr:uid="{00000000-0005-0000-0000-0000D8000000}"/>
    <cellStyle name="Normal 6 2" xfId="214" xr:uid="{00000000-0005-0000-0000-0000D9000000}"/>
    <cellStyle name="Normal 6_BOS Workings" xfId="215" xr:uid="{00000000-0005-0000-0000-0000DA000000}"/>
    <cellStyle name="Normal 60" xfId="216" xr:uid="{00000000-0005-0000-0000-0000DB000000}"/>
    <cellStyle name="Normal 60 2" xfId="217" xr:uid="{00000000-0005-0000-0000-0000DC000000}"/>
    <cellStyle name="Normal 60_BOS Workings" xfId="218" xr:uid="{00000000-0005-0000-0000-0000DD000000}"/>
    <cellStyle name="Normal 61" xfId="219" xr:uid="{00000000-0005-0000-0000-0000DE000000}"/>
    <cellStyle name="Normal 61 2" xfId="220" xr:uid="{00000000-0005-0000-0000-0000DF000000}"/>
    <cellStyle name="Normal 61_BOS Workings" xfId="221" xr:uid="{00000000-0005-0000-0000-0000E0000000}"/>
    <cellStyle name="Normal 62" xfId="222" xr:uid="{00000000-0005-0000-0000-0000E1000000}"/>
    <cellStyle name="Normal 62 2" xfId="223" xr:uid="{00000000-0005-0000-0000-0000E2000000}"/>
    <cellStyle name="Normal 62_BOS Workings" xfId="224" xr:uid="{00000000-0005-0000-0000-0000E3000000}"/>
    <cellStyle name="Normal 63" xfId="225" xr:uid="{00000000-0005-0000-0000-0000E4000000}"/>
    <cellStyle name="Normal 63 2" xfId="226" xr:uid="{00000000-0005-0000-0000-0000E5000000}"/>
    <cellStyle name="Normal 63_BOS Workings" xfId="227" xr:uid="{00000000-0005-0000-0000-0000E6000000}"/>
    <cellStyle name="Normal 64" xfId="228" xr:uid="{00000000-0005-0000-0000-0000E7000000}"/>
    <cellStyle name="Normal 64 2" xfId="229" xr:uid="{00000000-0005-0000-0000-0000E8000000}"/>
    <cellStyle name="Normal 64_BOS Workings" xfId="230" xr:uid="{00000000-0005-0000-0000-0000E9000000}"/>
    <cellStyle name="Normal 65" xfId="231" xr:uid="{00000000-0005-0000-0000-0000EA000000}"/>
    <cellStyle name="Normal 65 2" xfId="232" xr:uid="{00000000-0005-0000-0000-0000EB000000}"/>
    <cellStyle name="Normal 65_BOS Workings" xfId="233" xr:uid="{00000000-0005-0000-0000-0000EC000000}"/>
    <cellStyle name="Normal 66" xfId="234" xr:uid="{00000000-0005-0000-0000-0000ED000000}"/>
    <cellStyle name="Normal 66 2" xfId="235" xr:uid="{00000000-0005-0000-0000-0000EE000000}"/>
    <cellStyle name="Normal 66_BOS Workings" xfId="236" xr:uid="{00000000-0005-0000-0000-0000EF000000}"/>
    <cellStyle name="Normal 67" xfId="237" xr:uid="{00000000-0005-0000-0000-0000F0000000}"/>
    <cellStyle name="Normal 67 2" xfId="238" xr:uid="{00000000-0005-0000-0000-0000F1000000}"/>
    <cellStyle name="Normal 67_BOS Workings" xfId="239" xr:uid="{00000000-0005-0000-0000-0000F2000000}"/>
    <cellStyle name="Normal 68" xfId="240" xr:uid="{00000000-0005-0000-0000-0000F3000000}"/>
    <cellStyle name="Normal 68 2" xfId="241" xr:uid="{00000000-0005-0000-0000-0000F4000000}"/>
    <cellStyle name="Normal 68_BOS Workings" xfId="242" xr:uid="{00000000-0005-0000-0000-0000F5000000}"/>
    <cellStyle name="Normal 69" xfId="243" xr:uid="{00000000-0005-0000-0000-0000F6000000}"/>
    <cellStyle name="Normal 69 2" xfId="244" xr:uid="{00000000-0005-0000-0000-0000F7000000}"/>
    <cellStyle name="Normal 69_BOS Workings" xfId="245" xr:uid="{00000000-0005-0000-0000-0000F8000000}"/>
    <cellStyle name="Normal 7" xfId="246" xr:uid="{00000000-0005-0000-0000-0000F9000000}"/>
    <cellStyle name="Normal 7 2" xfId="247" xr:uid="{00000000-0005-0000-0000-0000FA000000}"/>
    <cellStyle name="Normal 7_BOS Workings" xfId="248" xr:uid="{00000000-0005-0000-0000-0000FB000000}"/>
    <cellStyle name="Normal 70" xfId="249" xr:uid="{00000000-0005-0000-0000-0000FC000000}"/>
    <cellStyle name="Normal 70 2" xfId="250" xr:uid="{00000000-0005-0000-0000-0000FD000000}"/>
    <cellStyle name="Normal 70_BOS Workings" xfId="251" xr:uid="{00000000-0005-0000-0000-0000FE000000}"/>
    <cellStyle name="Normal 71" xfId="252" xr:uid="{00000000-0005-0000-0000-0000FF000000}"/>
    <cellStyle name="Normal 71 2" xfId="253" xr:uid="{00000000-0005-0000-0000-000000010000}"/>
    <cellStyle name="Normal 71_BOS Workings" xfId="254" xr:uid="{00000000-0005-0000-0000-000001010000}"/>
    <cellStyle name="Normal 72" xfId="255" xr:uid="{00000000-0005-0000-0000-000002010000}"/>
    <cellStyle name="Normal 72 2" xfId="256" xr:uid="{00000000-0005-0000-0000-000003010000}"/>
    <cellStyle name="Normal 72_BOS Workings" xfId="257" xr:uid="{00000000-0005-0000-0000-000004010000}"/>
    <cellStyle name="Normal 73" xfId="258" xr:uid="{00000000-0005-0000-0000-000005010000}"/>
    <cellStyle name="Normal 73 2" xfId="259" xr:uid="{00000000-0005-0000-0000-000006010000}"/>
    <cellStyle name="Normal 73_BOS Workings" xfId="260" xr:uid="{00000000-0005-0000-0000-000007010000}"/>
    <cellStyle name="Normal 74" xfId="261" xr:uid="{00000000-0005-0000-0000-000008010000}"/>
    <cellStyle name="Normal 74 2" xfId="262" xr:uid="{00000000-0005-0000-0000-000009010000}"/>
    <cellStyle name="Normal 74_BOS Workings" xfId="263" xr:uid="{00000000-0005-0000-0000-00000A010000}"/>
    <cellStyle name="Normal 75" xfId="264" xr:uid="{00000000-0005-0000-0000-00000B010000}"/>
    <cellStyle name="Normal 75 2" xfId="265" xr:uid="{00000000-0005-0000-0000-00000C010000}"/>
    <cellStyle name="Normal 75_BOS Workings" xfId="266" xr:uid="{00000000-0005-0000-0000-00000D010000}"/>
    <cellStyle name="Normal 76" xfId="267" xr:uid="{00000000-0005-0000-0000-00000E010000}"/>
    <cellStyle name="Normal 76 2" xfId="268" xr:uid="{00000000-0005-0000-0000-00000F010000}"/>
    <cellStyle name="Normal 76_BOS Workings" xfId="269" xr:uid="{00000000-0005-0000-0000-000010010000}"/>
    <cellStyle name="Normal 77" xfId="270" xr:uid="{00000000-0005-0000-0000-000011010000}"/>
    <cellStyle name="Normal 77 2" xfId="271" xr:uid="{00000000-0005-0000-0000-000012010000}"/>
    <cellStyle name="Normal 77_BOS Workings" xfId="272" xr:uid="{00000000-0005-0000-0000-000013010000}"/>
    <cellStyle name="Normal 78" xfId="273" xr:uid="{00000000-0005-0000-0000-000014010000}"/>
    <cellStyle name="Normal 78 2" xfId="274" xr:uid="{00000000-0005-0000-0000-000015010000}"/>
    <cellStyle name="Normal 78_BOS Workings" xfId="275" xr:uid="{00000000-0005-0000-0000-000016010000}"/>
    <cellStyle name="Normal 79" xfId="276" xr:uid="{00000000-0005-0000-0000-000017010000}"/>
    <cellStyle name="Normal 79 2" xfId="277" xr:uid="{00000000-0005-0000-0000-000018010000}"/>
    <cellStyle name="Normal 79_BOS Workings" xfId="278" xr:uid="{00000000-0005-0000-0000-000019010000}"/>
    <cellStyle name="Normal 8" xfId="279" xr:uid="{00000000-0005-0000-0000-00001A010000}"/>
    <cellStyle name="Normal 8 2" xfId="280" xr:uid="{00000000-0005-0000-0000-00001B010000}"/>
    <cellStyle name="Normal 8_BOS Workings" xfId="281" xr:uid="{00000000-0005-0000-0000-00001C010000}"/>
    <cellStyle name="Normal 80" xfId="282" xr:uid="{00000000-0005-0000-0000-00001D010000}"/>
    <cellStyle name="Normal 80 2" xfId="283" xr:uid="{00000000-0005-0000-0000-00001E010000}"/>
    <cellStyle name="Normal 80_BOS Workings" xfId="284" xr:uid="{00000000-0005-0000-0000-00001F010000}"/>
    <cellStyle name="Normal 81" xfId="285" xr:uid="{00000000-0005-0000-0000-000020010000}"/>
    <cellStyle name="Normal 81 2" xfId="286" xr:uid="{00000000-0005-0000-0000-000021010000}"/>
    <cellStyle name="Normal 81_BOS Workings" xfId="287" xr:uid="{00000000-0005-0000-0000-000022010000}"/>
    <cellStyle name="Normal 82" xfId="288" xr:uid="{00000000-0005-0000-0000-000023010000}"/>
    <cellStyle name="Normal 82 2" xfId="289" xr:uid="{00000000-0005-0000-0000-000024010000}"/>
    <cellStyle name="Normal 82_BOS Workings" xfId="290" xr:uid="{00000000-0005-0000-0000-000025010000}"/>
    <cellStyle name="Normal 83" xfId="291" xr:uid="{00000000-0005-0000-0000-000026010000}"/>
    <cellStyle name="Normal 83 2" xfId="292" xr:uid="{00000000-0005-0000-0000-000027010000}"/>
    <cellStyle name="Normal 83_BOS Workings" xfId="293" xr:uid="{00000000-0005-0000-0000-000028010000}"/>
    <cellStyle name="Normal 84" xfId="294" xr:uid="{00000000-0005-0000-0000-000029010000}"/>
    <cellStyle name="Normal 84 2" xfId="295" xr:uid="{00000000-0005-0000-0000-00002A010000}"/>
    <cellStyle name="Normal 84_BOS Workings" xfId="296" xr:uid="{00000000-0005-0000-0000-00002B010000}"/>
    <cellStyle name="Normal 85" xfId="297" xr:uid="{00000000-0005-0000-0000-00002C010000}"/>
    <cellStyle name="Normal 85 2" xfId="298" xr:uid="{00000000-0005-0000-0000-00002D010000}"/>
    <cellStyle name="Normal 85_BOS Workings" xfId="299" xr:uid="{00000000-0005-0000-0000-00002E010000}"/>
    <cellStyle name="Normal 86" xfId="300" xr:uid="{00000000-0005-0000-0000-00002F010000}"/>
    <cellStyle name="Normal 86 2" xfId="301" xr:uid="{00000000-0005-0000-0000-000030010000}"/>
    <cellStyle name="Normal 86_BOS Workings" xfId="302" xr:uid="{00000000-0005-0000-0000-000031010000}"/>
    <cellStyle name="Normal 87" xfId="303" xr:uid="{00000000-0005-0000-0000-000032010000}"/>
    <cellStyle name="Normal 87 2" xfId="304" xr:uid="{00000000-0005-0000-0000-000033010000}"/>
    <cellStyle name="Normal 87_BOS Workings" xfId="305" xr:uid="{00000000-0005-0000-0000-000034010000}"/>
    <cellStyle name="Normal 88" xfId="306" xr:uid="{00000000-0005-0000-0000-000035010000}"/>
    <cellStyle name="Normal 88 2" xfId="307" xr:uid="{00000000-0005-0000-0000-000036010000}"/>
    <cellStyle name="Normal 88_BOS Workings" xfId="308" xr:uid="{00000000-0005-0000-0000-000037010000}"/>
    <cellStyle name="Normal 89" xfId="309" xr:uid="{00000000-0005-0000-0000-000038010000}"/>
    <cellStyle name="Normal 89 2" xfId="310" xr:uid="{00000000-0005-0000-0000-000039010000}"/>
    <cellStyle name="Normal 89_BOS Workings" xfId="311" xr:uid="{00000000-0005-0000-0000-00003A010000}"/>
    <cellStyle name="Normal 9" xfId="312" xr:uid="{00000000-0005-0000-0000-00003B010000}"/>
    <cellStyle name="Normal 9 2" xfId="313" xr:uid="{00000000-0005-0000-0000-00003C010000}"/>
    <cellStyle name="Normal 9 3" xfId="314" xr:uid="{00000000-0005-0000-0000-00003D010000}"/>
    <cellStyle name="Normal 9 3 2" xfId="315" xr:uid="{00000000-0005-0000-0000-00003E010000}"/>
    <cellStyle name="Normal 9 3_BOS Workings" xfId="316" xr:uid="{00000000-0005-0000-0000-00003F010000}"/>
    <cellStyle name="Normal 90" xfId="317" xr:uid="{00000000-0005-0000-0000-000040010000}"/>
    <cellStyle name="Normal 90 2" xfId="318" xr:uid="{00000000-0005-0000-0000-000041010000}"/>
    <cellStyle name="Normal 91" xfId="319" xr:uid="{00000000-0005-0000-0000-000042010000}"/>
    <cellStyle name="Normal 91 2" xfId="320" xr:uid="{00000000-0005-0000-0000-000043010000}"/>
    <cellStyle name="Normal 92" xfId="321" xr:uid="{00000000-0005-0000-0000-000044010000}"/>
    <cellStyle name="Normal 92 2" xfId="322" xr:uid="{00000000-0005-0000-0000-000045010000}"/>
    <cellStyle name="Normal 93" xfId="323" xr:uid="{00000000-0005-0000-0000-000046010000}"/>
    <cellStyle name="Normal 93 2" xfId="324" xr:uid="{00000000-0005-0000-0000-000047010000}"/>
    <cellStyle name="Normal 94" xfId="325" xr:uid="{00000000-0005-0000-0000-000048010000}"/>
    <cellStyle name="Normal 94 2" xfId="326" xr:uid="{00000000-0005-0000-0000-000049010000}"/>
    <cellStyle name="Normal 95" xfId="327" xr:uid="{00000000-0005-0000-0000-00004A010000}"/>
    <cellStyle name="Normal 95 2" xfId="328" xr:uid="{00000000-0005-0000-0000-00004B010000}"/>
    <cellStyle name="Normal 95 3" xfId="329" xr:uid="{00000000-0005-0000-0000-00004C010000}"/>
    <cellStyle name="Normal 96" xfId="330" xr:uid="{00000000-0005-0000-0000-00004D010000}"/>
    <cellStyle name="Normal 96 2" xfId="331" xr:uid="{00000000-0005-0000-0000-00004E010000}"/>
    <cellStyle name="Normal 96 3" xfId="332" xr:uid="{00000000-0005-0000-0000-00004F010000}"/>
    <cellStyle name="Normal 97" xfId="333" xr:uid="{00000000-0005-0000-0000-000050010000}"/>
    <cellStyle name="Normal 97 2" xfId="334" xr:uid="{00000000-0005-0000-0000-000051010000}"/>
    <cellStyle name="Normal 98" xfId="335" xr:uid="{00000000-0005-0000-0000-000052010000}"/>
    <cellStyle name="Normal 98 2" xfId="336" xr:uid="{00000000-0005-0000-0000-000053010000}"/>
    <cellStyle name="Normal 99" xfId="337" xr:uid="{00000000-0005-0000-0000-000054010000}"/>
    <cellStyle name="Normal 99 2" xfId="338" xr:uid="{00000000-0005-0000-0000-000055010000}"/>
    <cellStyle name="Percent" xfId="1" builtinId="5"/>
    <cellStyle name="Percent 2" xfId="339" xr:uid="{00000000-0005-0000-0000-000056010000}"/>
    <cellStyle name="Title 2" xfId="347" xr:uid="{00000000-0005-0000-0000-00005E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15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0"/>
          <a:ext cx="5800725" cy="23241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4505" t="8821" r="7633" b="12812"/>
        <a:stretch>
          <a:fillRect/>
        </a:stretch>
      </xdr:blipFill>
      <xdr:spPr>
        <a:xfrm>
          <a:off x="19050" y="8810625"/>
          <a:ext cx="1428750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52625" y="8810625"/>
          <a:ext cx="1247775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33800" y="8810625"/>
          <a:ext cx="201930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1255" t="6451" r="3898" b="6250"/>
        <a:stretch>
          <a:fillRect/>
        </a:stretch>
      </xdr:blipFill>
      <xdr:spPr>
        <a:xfrm>
          <a:off x="3629025" y="7962900"/>
          <a:ext cx="1400175" cy="5715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 l="3886" t="26086" r="3886" b="26084"/>
        <a:stretch>
          <a:fillRect/>
        </a:stretch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topLeftCell="A18" workbookViewId="0">
      <selection activeCell="B26" sqref="B26:D26"/>
    </sheetView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32"/>
      <c r="B1" s="32"/>
      <c r="C1" s="32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>
      <c r="A2" s="32"/>
      <c r="B2" s="32"/>
      <c r="C2" s="32"/>
      <c r="D2" s="32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>
      <c r="A3" s="32"/>
      <c r="B3" s="32"/>
      <c r="C3" s="32"/>
      <c r="D3" s="32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>
      <c r="A4" s="32"/>
      <c r="B4" s="32"/>
      <c r="C4" s="32"/>
      <c r="D4" s="32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>
      <c r="A5" s="32"/>
      <c r="B5" s="32"/>
      <c r="C5" s="32"/>
      <c r="D5" s="32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>
      <c r="A6" s="32"/>
      <c r="B6" s="32"/>
      <c r="C6" s="32"/>
      <c r="D6" s="32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>
      <c r="A7" s="32"/>
      <c r="B7" s="32"/>
      <c r="C7" s="32"/>
      <c r="D7" s="32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>
      <c r="A8" s="32"/>
      <c r="B8" s="32"/>
      <c r="C8" s="32"/>
      <c r="D8" s="32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>
      <c r="A9" s="32"/>
      <c r="B9" s="32"/>
      <c r="C9" s="32"/>
      <c r="D9" s="32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>
      <c r="A10" s="32"/>
      <c r="B10" s="32"/>
      <c r="C10" s="32"/>
      <c r="D10" s="32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>
      <c r="A11" s="32"/>
      <c r="B11" s="32"/>
      <c r="C11" s="32"/>
      <c r="D11" s="32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>
      <c r="A12" s="32"/>
      <c r="B12" s="32"/>
      <c r="C12" s="32"/>
      <c r="D12" s="3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>
      <c r="A13" s="32"/>
      <c r="B13" s="32"/>
      <c r="C13" s="32"/>
      <c r="D13" s="32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>
      <c r="A14" s="32"/>
      <c r="B14" s="32"/>
      <c r="C14" s="32"/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>
      <c r="A15" s="32"/>
      <c r="B15" s="32"/>
      <c r="C15" s="32"/>
      <c r="D15" s="32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02.75" customHeight="1">
      <c r="A16" s="85" t="s">
        <v>143</v>
      </c>
      <c r="B16" s="85"/>
      <c r="C16" s="85"/>
      <c r="D16" s="85"/>
      <c r="E16" s="34"/>
      <c r="F16" s="34"/>
      <c r="G16" s="35"/>
      <c r="H16" s="35"/>
      <c r="I16" s="35"/>
      <c r="J16" s="35"/>
      <c r="K16" s="35"/>
      <c r="L16" s="35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7.25" customHeight="1">
      <c r="A17" s="36"/>
      <c r="B17" s="36"/>
      <c r="C17" s="36"/>
      <c r="D17" s="36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7.25" customHeight="1">
      <c r="A18" s="36"/>
      <c r="B18" s="36"/>
      <c r="C18" s="36"/>
      <c r="D18" s="36"/>
      <c r="E18" s="37"/>
      <c r="F18" s="37"/>
      <c r="G18" s="38"/>
      <c r="H18" s="38"/>
      <c r="I18" s="38"/>
      <c r="J18" s="38"/>
      <c r="K18" s="38"/>
      <c r="L18" s="38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7.25" customHeight="1">
      <c r="A19" s="39" t="s">
        <v>144</v>
      </c>
      <c r="B19" s="84" t="s">
        <v>155</v>
      </c>
      <c r="C19" s="84"/>
      <c r="D19" s="84"/>
      <c r="E19" s="40"/>
      <c r="F19" s="40"/>
      <c r="G19" s="41"/>
      <c r="H19" s="41"/>
      <c r="I19" s="41"/>
      <c r="J19" s="41"/>
      <c r="K19" s="41"/>
      <c r="L19" s="41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7.25" customHeight="1">
      <c r="A20" s="39" t="s">
        <v>145</v>
      </c>
      <c r="B20" s="84" t="s">
        <v>156</v>
      </c>
      <c r="C20" s="84"/>
      <c r="D20" s="84"/>
      <c r="E20" s="40"/>
      <c r="F20" s="40"/>
      <c r="G20" s="41"/>
      <c r="H20" s="41"/>
      <c r="I20" s="41"/>
      <c r="J20" s="41"/>
      <c r="K20" s="41"/>
      <c r="L20" s="41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7.25" customHeight="1">
      <c r="A21" s="39" t="s">
        <v>146</v>
      </c>
      <c r="B21" s="3" t="s">
        <v>157</v>
      </c>
      <c r="C21" s="3"/>
      <c r="D21" s="3"/>
      <c r="E21" s="40"/>
      <c r="F21" s="40"/>
      <c r="G21" s="41"/>
      <c r="H21" s="41"/>
      <c r="I21" s="41"/>
      <c r="J21" s="41"/>
      <c r="K21" s="41"/>
      <c r="L21" s="41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7.25" customHeight="1">
      <c r="A22" s="39"/>
      <c r="B22" s="3"/>
      <c r="C22" s="3"/>
      <c r="D22" s="3"/>
      <c r="E22" s="40"/>
      <c r="F22" s="40"/>
      <c r="G22" s="41"/>
      <c r="H22" s="41"/>
      <c r="I22" s="41"/>
      <c r="J22" s="41"/>
      <c r="K22" s="41"/>
      <c r="L22" s="41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7.25" customHeight="1">
      <c r="A23" s="39" t="s">
        <v>147</v>
      </c>
      <c r="B23" s="84" t="s">
        <v>158</v>
      </c>
      <c r="C23" s="84"/>
      <c r="D23" s="84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7.25" customHeight="1">
      <c r="A24" s="39"/>
      <c r="B24" s="84" t="s">
        <v>160</v>
      </c>
      <c r="C24" s="84"/>
      <c r="D24" s="84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7.25" customHeight="1">
      <c r="A25" s="39"/>
      <c r="B25" s="3" t="s">
        <v>159</v>
      </c>
      <c r="C25" s="3"/>
      <c r="D25" s="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7.25" customHeight="1">
      <c r="A26" s="39" t="s">
        <v>148</v>
      </c>
      <c r="B26" s="84" t="s">
        <v>158</v>
      </c>
      <c r="C26" s="84"/>
      <c r="D26" s="84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7.25" customHeight="1">
      <c r="A27" s="39"/>
      <c r="B27" s="84" t="s">
        <v>160</v>
      </c>
      <c r="C27" s="84"/>
      <c r="D27" s="84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7.25" customHeight="1">
      <c r="A28" s="39"/>
      <c r="B28" s="3" t="s">
        <v>159</v>
      </c>
      <c r="C28" s="3"/>
      <c r="D28" s="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7.25" customHeight="1">
      <c r="A29" s="39" t="s">
        <v>149</v>
      </c>
      <c r="B29" s="42">
        <v>1</v>
      </c>
      <c r="C29" s="3"/>
      <c r="D29" s="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7.25" customHeight="1">
      <c r="A30" s="39" t="s">
        <v>150</v>
      </c>
      <c r="B30" s="86" t="s">
        <v>151</v>
      </c>
      <c r="C30" s="84"/>
      <c r="D30" s="84"/>
      <c r="E30" s="43"/>
      <c r="F30" s="4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7.25" customHeight="1">
      <c r="A31" s="39" t="s">
        <v>152</v>
      </c>
      <c r="B31" s="84" t="s">
        <v>153</v>
      </c>
      <c r="C31" s="84"/>
      <c r="D31" s="84"/>
      <c r="E31" s="43"/>
      <c r="F31" s="4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7.25" customHeight="1">
      <c r="A32" s="44"/>
      <c r="B32" s="2" t="s">
        <v>154</v>
      </c>
      <c r="C32" s="44"/>
      <c r="D32" s="4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>
      <c r="A33" s="32"/>
      <c r="B33" s="32"/>
      <c r="C33" s="32"/>
      <c r="D33" s="32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>
      <c r="A34" s="32"/>
      <c r="B34" s="32"/>
      <c r="C34" s="32"/>
      <c r="D34" s="32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>
      <c r="A35" s="32"/>
      <c r="B35" s="32"/>
      <c r="C35" s="32"/>
      <c r="D35" s="32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>
      <c r="A36" s="32"/>
      <c r="B36" s="32"/>
      <c r="C36" s="32"/>
      <c r="D36" s="32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>
      <c r="A37" s="32"/>
      <c r="B37" s="32"/>
      <c r="C37" s="32"/>
      <c r="D37" s="32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>
      <c r="A38" s="32"/>
      <c r="B38" s="32"/>
      <c r="C38" s="32"/>
      <c r="D38" s="32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>
      <c r="A39" s="32"/>
      <c r="B39" s="32"/>
      <c r="C39" s="32"/>
      <c r="D39" s="32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>
      <c r="A40" s="32"/>
      <c r="B40" s="32"/>
      <c r="C40" s="32"/>
      <c r="D40" s="32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>
      <c r="A41" s="32"/>
      <c r="B41" s="32"/>
      <c r="C41" s="32"/>
      <c r="D41" s="32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>
      <c r="A42" s="32"/>
      <c r="B42" s="32"/>
      <c r="C42" s="32"/>
      <c r="D42" s="32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xr:uid="{00000000-0004-0000-0000-000000000000}"/>
    <hyperlink ref="B32" r:id="rId2" xr:uid="{00000000-0004-0000-0000-000001000000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topLeftCell="A4" workbookViewId="0">
      <selection activeCell="J10" sqref="J10"/>
    </sheetView>
  </sheetViews>
  <sheetFormatPr defaultColWidth="9.1796875" defaultRowHeight="14.5"/>
  <cols>
    <col min="7" max="7" width="10.54296875" bestFit="1" customWidth="1"/>
    <col min="9" max="9" width="11.54296875" bestFit="1" customWidth="1"/>
  </cols>
  <sheetData>
    <row r="1" spans="3:37">
      <c r="K1" s="79"/>
      <c r="L1" s="79"/>
      <c r="M1" s="79"/>
      <c r="N1" s="79"/>
      <c r="O1" s="79"/>
      <c r="P1" s="79"/>
      <c r="Q1" s="79"/>
      <c r="R1" s="79"/>
      <c r="S1" s="79"/>
    </row>
    <row r="3" spans="3:37"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</row>
    <row r="4" spans="3:37">
      <c r="C4" s="17" t="s">
        <v>123</v>
      </c>
    </row>
    <row r="5" spans="3:37" ht="15" thickBot="1">
      <c r="C5" s="18" t="s">
        <v>124</v>
      </c>
      <c r="D5" s="19" t="s">
        <v>125</v>
      </c>
      <c r="E5" s="20" t="s">
        <v>121</v>
      </c>
      <c r="F5" s="20" t="s">
        <v>2</v>
      </c>
      <c r="G5" s="20" t="s">
        <v>3</v>
      </c>
      <c r="H5" s="20" t="s">
        <v>120</v>
      </c>
      <c r="I5" s="21" t="s">
        <v>5</v>
      </c>
      <c r="J5" s="15" t="str">
        <f>Regions!C$3</f>
        <v>IE</v>
      </c>
      <c r="K5" s="15" t="str">
        <f>Regions!D$3</f>
        <v>National</v>
      </c>
      <c r="L5" s="15" t="str">
        <f>Regions!E$3</f>
        <v>IE-CW</v>
      </c>
      <c r="M5" s="15" t="str">
        <f>Regions!F$3</f>
        <v>IE-D</v>
      </c>
      <c r="N5" s="15" t="str">
        <f>Regions!G$3</f>
        <v>IE-KE</v>
      </c>
      <c r="O5" s="15" t="str">
        <f>Regions!H$3</f>
        <v>IE-KK</v>
      </c>
      <c r="P5" s="15" t="str">
        <f>Regions!I$3</f>
        <v>IE-LS</v>
      </c>
      <c r="Q5" s="15" t="str">
        <f>Regions!J$3</f>
        <v>IE-LD</v>
      </c>
      <c r="R5" s="15" t="str">
        <f>Regions!K$3</f>
        <v>IE-LH</v>
      </c>
      <c r="S5" s="15" t="str">
        <f>Regions!L$3</f>
        <v>IE-MH</v>
      </c>
      <c r="T5" s="15" t="str">
        <f>Regions!M$3</f>
        <v>IE-OY</v>
      </c>
      <c r="U5" s="15" t="str">
        <f>Regions!N$3</f>
        <v>IE-WH</v>
      </c>
      <c r="V5" s="15" t="str">
        <f>Regions!O$3</f>
        <v>IE-WX</v>
      </c>
      <c r="W5" s="15" t="str">
        <f>Regions!P$3</f>
        <v>IE-WW</v>
      </c>
      <c r="X5" s="15" t="str">
        <f>Regions!Q$3</f>
        <v>IE-CE</v>
      </c>
      <c r="Y5" s="15" t="str">
        <f>Regions!R$3</f>
        <v>IE-CO</v>
      </c>
      <c r="Z5" s="15" t="str">
        <f>Regions!S$3</f>
        <v>IE-KY</v>
      </c>
      <c r="AA5" s="15" t="str">
        <f>Regions!T$3</f>
        <v>IE-LK</v>
      </c>
      <c r="AB5" s="15" t="str">
        <f>Regions!U$3</f>
        <v>IE-TA</v>
      </c>
      <c r="AC5" s="15" t="str">
        <f>Regions!V$3</f>
        <v>IE-WD</v>
      </c>
      <c r="AD5" s="15" t="str">
        <f>Regions!W$3</f>
        <v>IE-G</v>
      </c>
      <c r="AE5" s="15" t="str">
        <f>Regions!X$3</f>
        <v>IE-LM</v>
      </c>
      <c r="AF5" s="15" t="str">
        <f>Regions!Y$3</f>
        <v>IE-MO</v>
      </c>
      <c r="AG5" s="15" t="str">
        <f>Regions!Z$3</f>
        <v>IE-RN</v>
      </c>
      <c r="AH5" s="15" t="str">
        <f>Regions!AA$3</f>
        <v>IE-SO</v>
      </c>
      <c r="AI5" s="15" t="str">
        <f>Regions!AB$3</f>
        <v>IE-CN</v>
      </c>
      <c r="AJ5" s="15" t="str">
        <f>Regions!AC$3</f>
        <v>IE-DL</v>
      </c>
      <c r="AK5" s="15" t="str">
        <f>Regions!AD$3</f>
        <v>IE-MN</v>
      </c>
    </row>
    <row r="6" spans="3:37">
      <c r="C6" t="s">
        <v>126</v>
      </c>
      <c r="D6" s="22" t="s">
        <v>127</v>
      </c>
      <c r="G6" t="s">
        <v>6</v>
      </c>
      <c r="H6">
        <v>2018</v>
      </c>
      <c r="I6" t="s">
        <v>35</v>
      </c>
      <c r="J6" s="23">
        <v>14.5565610923972</v>
      </c>
      <c r="K6" s="24"/>
      <c r="L6" s="23">
        <v>0.19075815329593299</v>
      </c>
      <c r="M6" s="23">
        <v>3.8137077787050999</v>
      </c>
      <c r="N6" s="23">
        <v>0.70334338163959498</v>
      </c>
      <c r="O6" s="23">
        <v>0.32630593319176299</v>
      </c>
      <c r="P6" s="23">
        <v>0.25725946218495199</v>
      </c>
      <c r="Q6" s="23">
        <v>0.129264106093787</v>
      </c>
      <c r="R6" s="23">
        <v>0.37066642356770202</v>
      </c>
      <c r="S6" s="23">
        <v>0.61012642539130302</v>
      </c>
      <c r="T6" s="23">
        <v>0.25256357827040099</v>
      </c>
      <c r="U6" s="23">
        <v>0.28627808516599801</v>
      </c>
      <c r="V6" s="23">
        <v>0.49824919039150301</v>
      </c>
      <c r="W6" s="23">
        <v>0.44072764898712002</v>
      </c>
      <c r="X6" s="23">
        <v>0.38789417997018399</v>
      </c>
      <c r="Y6" s="23">
        <v>1.6403528726431</v>
      </c>
      <c r="Z6" s="23">
        <v>0.50223766282260596</v>
      </c>
      <c r="AA6" s="23">
        <v>0.59887772521592197</v>
      </c>
      <c r="AB6" s="23">
        <v>0.54597893159747002</v>
      </c>
      <c r="AC6" s="23">
        <v>0.36254754715780002</v>
      </c>
      <c r="AD6" s="23">
        <v>0.81031808544859996</v>
      </c>
      <c r="AE6" s="23">
        <v>0.103998215898054</v>
      </c>
      <c r="AF6" s="23">
        <v>0.43396473286285803</v>
      </c>
      <c r="AG6" s="23">
        <v>0.22701130303233</v>
      </c>
      <c r="AH6" s="23">
        <v>0.20014421509334299</v>
      </c>
      <c r="AI6" s="23">
        <v>0.22324073939976699</v>
      </c>
      <c r="AJ6" s="23">
        <v>0.43304852577361902</v>
      </c>
      <c r="AK6" s="23">
        <v>0.20769618859639599</v>
      </c>
    </row>
    <row r="7" spans="3:37">
      <c r="C7" t="s">
        <v>126</v>
      </c>
      <c r="D7" s="22" t="s">
        <v>127</v>
      </c>
      <c r="G7" t="s">
        <v>6</v>
      </c>
      <c r="H7">
        <v>2018</v>
      </c>
      <c r="I7" t="s">
        <v>37</v>
      </c>
      <c r="J7" s="23">
        <v>31.276118540281001</v>
      </c>
      <c r="K7" s="23"/>
      <c r="L7" s="23">
        <v>0.43519149385547101</v>
      </c>
      <c r="M7" s="23">
        <v>7.6211536449989303</v>
      </c>
      <c r="N7" s="23">
        <v>1.55190938276765</v>
      </c>
      <c r="O7" s="23">
        <v>0.73703191607760699</v>
      </c>
      <c r="P7" s="23">
        <v>0.55451713599955699</v>
      </c>
      <c r="Q7" s="23">
        <v>0.28568437258778701</v>
      </c>
      <c r="R7" s="23">
        <v>0.76950577172521395</v>
      </c>
      <c r="S7" s="23">
        <v>1.33594997982505</v>
      </c>
      <c r="T7" s="23">
        <v>0.56616320344762305</v>
      </c>
      <c r="U7" s="23">
        <v>0.63911185847442997</v>
      </c>
      <c r="V7" s="23">
        <v>1.1334816009734401</v>
      </c>
      <c r="W7" s="23">
        <v>0.96185938421931305</v>
      </c>
      <c r="X7" s="23">
        <v>0.87235861089184197</v>
      </c>
      <c r="Y7" s="23">
        <v>3.5254749048173299</v>
      </c>
      <c r="Z7" s="23">
        <v>1.15388698840036</v>
      </c>
      <c r="AA7" s="23">
        <v>1.29957366713114</v>
      </c>
      <c r="AB7" s="23">
        <v>1.2604324784412999</v>
      </c>
      <c r="AC7" s="23">
        <v>0.79517788054022298</v>
      </c>
      <c r="AD7" s="23">
        <v>1.7803554187858499</v>
      </c>
      <c r="AE7" s="23">
        <v>0.23333731031609201</v>
      </c>
      <c r="AF7" s="23">
        <v>0.98601597898071303</v>
      </c>
      <c r="AG7" s="23">
        <v>0.53090140271719199</v>
      </c>
      <c r="AH7" s="23">
        <v>0.43310682655274901</v>
      </c>
      <c r="AI7" s="23">
        <v>0.47060177269377002</v>
      </c>
      <c r="AJ7" s="23">
        <v>0.86668930093951202</v>
      </c>
      <c r="AK7" s="23">
        <v>0.47664625412085698</v>
      </c>
    </row>
    <row r="8" spans="3:37">
      <c r="C8" t="s">
        <v>126</v>
      </c>
      <c r="D8" s="22" t="s">
        <v>127</v>
      </c>
      <c r="G8" t="s">
        <v>6</v>
      </c>
      <c r="H8">
        <v>2018</v>
      </c>
      <c r="I8" t="s">
        <v>39</v>
      </c>
      <c r="J8" s="23">
        <v>27.131577542973599</v>
      </c>
      <c r="K8" s="24"/>
      <c r="L8" s="23">
        <v>0.373897486374975</v>
      </c>
      <c r="M8" s="23">
        <v>6.66074493403499</v>
      </c>
      <c r="N8" s="23">
        <v>1.3457957919305099</v>
      </c>
      <c r="O8" s="23">
        <v>0.64805463087287196</v>
      </c>
      <c r="P8" s="23">
        <v>0.48149946813234101</v>
      </c>
      <c r="Q8" s="23">
        <v>0.247929982488685</v>
      </c>
      <c r="R8" s="23">
        <v>0.67368745787157902</v>
      </c>
      <c r="S8" s="23">
        <v>1.1456149031137799</v>
      </c>
      <c r="T8" s="23">
        <v>0.49378011021821799</v>
      </c>
      <c r="U8" s="23">
        <v>0.54722173482691405</v>
      </c>
      <c r="V8" s="23">
        <v>0.97262646758485305</v>
      </c>
      <c r="W8" s="23">
        <v>0.83286416374941896</v>
      </c>
      <c r="X8" s="23">
        <v>0.74674766413249005</v>
      </c>
      <c r="Y8" s="23">
        <v>3.0449422514531701</v>
      </c>
      <c r="Z8" s="23">
        <v>1.0126394376791299</v>
      </c>
      <c r="AA8" s="23">
        <v>1.1217784798314201</v>
      </c>
      <c r="AB8" s="23">
        <v>1.08524276473925</v>
      </c>
      <c r="AC8" s="23">
        <v>0.68342924139985906</v>
      </c>
      <c r="AD8" s="23">
        <v>1.55274051805081</v>
      </c>
      <c r="AE8" s="23">
        <v>0.20031586047476799</v>
      </c>
      <c r="AF8" s="23">
        <v>0.86102306186829503</v>
      </c>
      <c r="AG8" s="23">
        <v>0.451316097288886</v>
      </c>
      <c r="AH8" s="23">
        <v>0.37617525772313698</v>
      </c>
      <c r="AI8" s="23">
        <v>0.40231788404487301</v>
      </c>
      <c r="AJ8" s="23">
        <v>0.74109890371757103</v>
      </c>
      <c r="AK8" s="23">
        <v>0.42809298937083901</v>
      </c>
    </row>
    <row r="9" spans="3:37">
      <c r="C9" t="s">
        <v>126</v>
      </c>
      <c r="D9" s="22" t="s">
        <v>127</v>
      </c>
      <c r="G9" t="s">
        <v>6</v>
      </c>
      <c r="H9">
        <v>2018</v>
      </c>
      <c r="I9" t="s">
        <v>41</v>
      </c>
      <c r="J9" s="23">
        <v>0.32</v>
      </c>
      <c r="K9" s="24"/>
      <c r="L9" s="23">
        <v>0.17794099599204999</v>
      </c>
      <c r="M9" s="23">
        <v>2.6576907930321299</v>
      </c>
      <c r="N9" s="23">
        <v>0.48228404218784598</v>
      </c>
      <c r="O9" s="23">
        <v>0.31014966827589202</v>
      </c>
      <c r="P9" s="23">
        <v>0.22090468018989401</v>
      </c>
      <c r="Q9" s="23">
        <v>0.106603976450188</v>
      </c>
      <c r="R9" s="23">
        <v>0.27935990585939302</v>
      </c>
      <c r="S9" s="23">
        <v>0.43225128206324598</v>
      </c>
      <c r="T9" s="23">
        <v>0.20333600685129699</v>
      </c>
      <c r="U9" s="23">
        <v>0.23152778091853199</v>
      </c>
      <c r="V9" s="23">
        <v>0.46795618987426502</v>
      </c>
      <c r="W9" s="23">
        <v>0.30871042636808299</v>
      </c>
      <c r="X9" s="23">
        <v>0.30378726686741397</v>
      </c>
      <c r="Y9" s="23">
        <v>1.6254277052660899</v>
      </c>
      <c r="Z9" s="23">
        <v>0.44225677339931202</v>
      </c>
      <c r="AA9" s="23">
        <v>0.49831113834882401</v>
      </c>
      <c r="AB9" s="23">
        <v>0.40793968700183098</v>
      </c>
      <c r="AC9" s="23">
        <v>0.3789208277735</v>
      </c>
      <c r="AD9" s="23">
        <v>0.60506096800451603</v>
      </c>
      <c r="AE9" s="23">
        <v>8.0693470189707697E-2</v>
      </c>
      <c r="AF9" s="23">
        <v>0.34078379979033402</v>
      </c>
      <c r="AG9" s="23">
        <v>0.15133440977952001</v>
      </c>
      <c r="AH9" s="23">
        <v>0.16503078794415499</v>
      </c>
      <c r="AI9" s="23">
        <v>0.19182704360164701</v>
      </c>
      <c r="AJ9" s="23">
        <v>0.40087863270627699</v>
      </c>
      <c r="AK9" s="23">
        <v>0.154582741264056</v>
      </c>
    </row>
    <row r="10" spans="3:37">
      <c r="C10" t="s">
        <v>126</v>
      </c>
      <c r="D10" s="22" t="s">
        <v>127</v>
      </c>
      <c r="G10" t="s">
        <v>6</v>
      </c>
      <c r="H10">
        <v>2018</v>
      </c>
      <c r="I10" t="s">
        <v>43</v>
      </c>
      <c r="J10" s="23">
        <v>7.7105748259750104</v>
      </c>
      <c r="K10" s="24"/>
      <c r="L10" s="23">
        <v>9.2186243413538399E-2</v>
      </c>
      <c r="M10" s="23">
        <v>2.1816898183696698</v>
      </c>
      <c r="N10" s="23">
        <v>0.360286094015421</v>
      </c>
      <c r="O10" s="23">
        <v>0.160679851514302</v>
      </c>
      <c r="P10" s="23">
        <v>0.13714428192223099</v>
      </c>
      <c r="Q10" s="23">
        <v>6.6182960848759104E-2</v>
      </c>
      <c r="R10" s="23">
        <v>0.20869338502266699</v>
      </c>
      <c r="S10" s="23">
        <v>0.31582192194811698</v>
      </c>
      <c r="T10" s="23">
        <v>0.12623712012159899</v>
      </c>
      <c r="U10" s="23">
        <v>0.14373942295756001</v>
      </c>
      <c r="V10" s="23">
        <v>0.24243498799202201</v>
      </c>
      <c r="W10" s="23">
        <v>0.23061943578608199</v>
      </c>
      <c r="X10" s="23">
        <v>0.19239255398837901</v>
      </c>
      <c r="Y10" s="23">
        <v>0.879030450176013</v>
      </c>
      <c r="Z10" s="23">
        <v>0.23917223101039001</v>
      </c>
      <c r="AA10" s="23">
        <v>0.31558713298417801</v>
      </c>
      <c r="AB10" s="23">
        <v>0.25835367974707202</v>
      </c>
      <c r="AC10" s="23">
        <v>0.188116156376225</v>
      </c>
      <c r="AD10" s="23">
        <v>0.41785634797321203</v>
      </c>
      <c r="AE10" s="23">
        <v>5.1886741796237999E-2</v>
      </c>
      <c r="AF10" s="23">
        <v>0.21132140218454701</v>
      </c>
      <c r="AG10" s="23">
        <v>0.104511854403208</v>
      </c>
      <c r="AH10" s="23">
        <v>0.106116515529162</v>
      </c>
      <c r="AI10" s="23">
        <v>0.123346787013801</v>
      </c>
      <c r="AJ10" s="23">
        <v>0.257769136188576</v>
      </c>
      <c r="AK10" s="23">
        <v>9.9398312692044299E-2</v>
      </c>
    </row>
    <row r="11" spans="3:37">
      <c r="C11" t="s">
        <v>126</v>
      </c>
      <c r="D11" s="22" t="s">
        <v>127</v>
      </c>
      <c r="G11" t="s">
        <v>6</v>
      </c>
      <c r="H11">
        <v>2018</v>
      </c>
      <c r="I11" t="s">
        <v>45</v>
      </c>
      <c r="J11" s="23">
        <v>3.5132998087277101</v>
      </c>
      <c r="K11" s="24"/>
      <c r="L11" s="23">
        <v>4.2004379525771102E-2</v>
      </c>
      <c r="M11" s="23">
        <v>0.99408028513777102</v>
      </c>
      <c r="N11" s="23">
        <v>0.16416325549782501</v>
      </c>
      <c r="O11" s="23">
        <v>7.3213282321037701E-2</v>
      </c>
      <c r="P11" s="23">
        <v>6.2489372105217399E-2</v>
      </c>
      <c r="Q11" s="23">
        <v>3.0156063450376601E-2</v>
      </c>
      <c r="R11" s="23">
        <v>9.5090501840783506E-2</v>
      </c>
      <c r="S11" s="23">
        <v>0.143903291650118</v>
      </c>
      <c r="T11" s="23">
        <v>5.75195572298293E-2</v>
      </c>
      <c r="U11" s="23">
        <v>6.5494427922832596E-2</v>
      </c>
      <c r="V11" s="23">
        <v>0.110464759912835</v>
      </c>
      <c r="W11" s="23">
        <v>0.105081039730871</v>
      </c>
      <c r="X11" s="23">
        <v>8.7663078095158206E-2</v>
      </c>
      <c r="Y11" s="23">
        <v>0.40052753292342302</v>
      </c>
      <c r="Z11" s="23">
        <v>0.108978094685117</v>
      </c>
      <c r="AA11" s="23">
        <v>0.14379631077765201</v>
      </c>
      <c r="AB11" s="23">
        <v>0.117718063066032</v>
      </c>
      <c r="AC11" s="23">
        <v>8.5714550618035304E-2</v>
      </c>
      <c r="AD11" s="23">
        <v>0.190394965426499</v>
      </c>
      <c r="AE11" s="23">
        <v>2.36420350158753E-2</v>
      </c>
      <c r="AF11" s="23">
        <v>9.6287949813282703E-2</v>
      </c>
      <c r="AG11" s="23">
        <v>4.7620506430678201E-2</v>
      </c>
      <c r="AH11" s="23">
        <v>4.8351665359049598E-2</v>
      </c>
      <c r="AI11" s="23">
        <v>5.6202585799816303E-2</v>
      </c>
      <c r="AJ11" s="23">
        <v>0.117451717583548</v>
      </c>
      <c r="AK11" s="23">
        <v>4.5290536808279797E-2</v>
      </c>
    </row>
    <row r="12" spans="3:37">
      <c r="C12" t="s">
        <v>126</v>
      </c>
      <c r="D12" s="22" t="s">
        <v>127</v>
      </c>
      <c r="G12" t="s">
        <v>6</v>
      </c>
      <c r="H12">
        <v>2018</v>
      </c>
      <c r="I12" t="s">
        <v>47</v>
      </c>
      <c r="J12" s="23">
        <v>20.831454920682301</v>
      </c>
      <c r="K12" s="24"/>
      <c r="L12" s="23">
        <v>0.24905712185126699</v>
      </c>
      <c r="M12" s="23">
        <v>5.8942133534813896</v>
      </c>
      <c r="N12" s="23">
        <v>0.97337535727524804</v>
      </c>
      <c r="O12" s="23">
        <v>0.434104481057138</v>
      </c>
      <c r="P12" s="23">
        <v>0.37051905869171597</v>
      </c>
      <c r="Q12" s="23">
        <v>0.17880474498396101</v>
      </c>
      <c r="R12" s="23">
        <v>0.56382136746783496</v>
      </c>
      <c r="S12" s="23">
        <v>0.85324768626358805</v>
      </c>
      <c r="T12" s="23">
        <v>0.34105146976474798</v>
      </c>
      <c r="U12" s="23">
        <v>0.38833697580863102</v>
      </c>
      <c r="V12" s="23">
        <v>0.654980158747549</v>
      </c>
      <c r="W12" s="23">
        <v>0.62305839562402099</v>
      </c>
      <c r="X12" s="23">
        <v>0.51978184583366205</v>
      </c>
      <c r="Y12" s="23">
        <v>2.3748531866991098</v>
      </c>
      <c r="Z12" s="23">
        <v>0.64616525499341604</v>
      </c>
      <c r="AA12" s="23">
        <v>0.85261336316465597</v>
      </c>
      <c r="AB12" s="23">
        <v>0.69798726485518303</v>
      </c>
      <c r="AC12" s="23">
        <v>0.50822841614896397</v>
      </c>
      <c r="AD12" s="23">
        <v>1.1289113811335301</v>
      </c>
      <c r="AE12" s="23">
        <v>0.140181030222055</v>
      </c>
      <c r="AF12" s="23">
        <v>0.57092141153381903</v>
      </c>
      <c r="AG12" s="23">
        <v>0.28235689722420099</v>
      </c>
      <c r="AH12" s="23">
        <v>0.28669216750725102</v>
      </c>
      <c r="AI12" s="23">
        <v>0.33324273368478402</v>
      </c>
      <c r="AJ12" s="23">
        <v>0.69640801907094396</v>
      </c>
      <c r="AK12" s="23">
        <v>0.268541777593654</v>
      </c>
    </row>
    <row r="13" spans="3:37">
      <c r="C13" t="s">
        <v>126</v>
      </c>
      <c r="D13" s="22" t="s">
        <v>127</v>
      </c>
      <c r="G13" t="s">
        <v>6</v>
      </c>
      <c r="H13">
        <v>2018</v>
      </c>
      <c r="I13" t="s">
        <v>49</v>
      </c>
      <c r="J13" s="23">
        <v>0.23349320028657899</v>
      </c>
      <c r="K13" s="24"/>
      <c r="L13" s="23">
        <v>0</v>
      </c>
      <c r="M13" s="23">
        <v>0.13599128494106499</v>
      </c>
      <c r="N13" s="23">
        <v>0</v>
      </c>
      <c r="O13" s="23">
        <v>0</v>
      </c>
      <c r="P13" s="23">
        <v>0</v>
      </c>
      <c r="Q13" s="23">
        <v>0</v>
      </c>
      <c r="R13" s="23">
        <v>0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4.7489540821759602E-2</v>
      </c>
      <c r="Y13" s="23">
        <v>4.7056267691773199E-4</v>
      </c>
      <c r="Z13" s="23">
        <v>4.7235778638893701E-2</v>
      </c>
      <c r="AA13" s="23">
        <v>0</v>
      </c>
      <c r="AB13" s="23">
        <v>0</v>
      </c>
      <c r="AC13" s="23">
        <v>0</v>
      </c>
      <c r="AD13" s="23">
        <v>0</v>
      </c>
      <c r="AE13" s="23">
        <v>0</v>
      </c>
      <c r="AF13" s="23">
        <v>9.4112535383546506E-5</v>
      </c>
      <c r="AG13" s="23">
        <v>0</v>
      </c>
      <c r="AH13" s="23">
        <v>0</v>
      </c>
      <c r="AI13" s="23">
        <v>0</v>
      </c>
      <c r="AJ13" s="23">
        <v>0</v>
      </c>
      <c r="AK13" s="23">
        <v>0</v>
      </c>
    </row>
    <row r="14" spans="3:37">
      <c r="C14" t="s">
        <v>126</v>
      </c>
      <c r="D14" s="22" t="s">
        <v>127</v>
      </c>
      <c r="G14" t="s">
        <v>6</v>
      </c>
      <c r="H14">
        <v>2018</v>
      </c>
      <c r="I14" s="10" t="s">
        <v>51</v>
      </c>
      <c r="J14" s="23">
        <v>45.9683637522608</v>
      </c>
      <c r="K14" s="24"/>
      <c r="L14" s="23">
        <v>0</v>
      </c>
      <c r="M14" s="23">
        <v>40.4401628128524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2.39450762427477</v>
      </c>
      <c r="Y14" s="23">
        <v>2.2140070109418901</v>
      </c>
      <c r="Z14" s="23">
        <v>0.24127325087308299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0.68881548910784596</v>
      </c>
      <c r="AG14" s="23">
        <v>0</v>
      </c>
      <c r="AH14" s="23">
        <v>0</v>
      </c>
      <c r="AI14" s="23">
        <v>0</v>
      </c>
      <c r="AJ14" s="23">
        <v>0</v>
      </c>
      <c r="AK14" s="23">
        <v>0</v>
      </c>
    </row>
    <row r="15" spans="3:37">
      <c r="C15" t="s">
        <v>126</v>
      </c>
      <c r="D15" s="25" t="s">
        <v>127</v>
      </c>
      <c r="G15" t="s">
        <v>6</v>
      </c>
      <c r="H15">
        <v>2018</v>
      </c>
      <c r="I15" t="s">
        <v>128</v>
      </c>
      <c r="J15" s="24">
        <v>1.1544546193487999</v>
      </c>
      <c r="K15" s="24">
        <v>1.1544546193487999</v>
      </c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</row>
    <row r="16" spans="3:37">
      <c r="C16" t="s">
        <v>126</v>
      </c>
      <c r="D16" s="25" t="s">
        <v>127</v>
      </c>
      <c r="G16" t="s">
        <v>6</v>
      </c>
      <c r="H16">
        <v>2018</v>
      </c>
      <c r="I16" t="s">
        <v>129</v>
      </c>
      <c r="J16" s="24">
        <v>2.0006897535500099</v>
      </c>
      <c r="K16" s="24">
        <v>2.0006897535500099</v>
      </c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</row>
    <row r="17" spans="3:37">
      <c r="C17" t="s">
        <v>126</v>
      </c>
      <c r="D17" s="25" t="s">
        <v>127</v>
      </c>
      <c r="G17" t="s">
        <v>6</v>
      </c>
      <c r="H17">
        <v>2018</v>
      </c>
      <c r="I17" t="s">
        <v>130</v>
      </c>
      <c r="J17" s="24">
        <v>0.78876799986757495</v>
      </c>
      <c r="K17" s="24">
        <v>0.78876799986757495</v>
      </c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</row>
    <row r="18" spans="3:37">
      <c r="C18" t="s">
        <v>126</v>
      </c>
      <c r="D18" s="25" t="s">
        <v>127</v>
      </c>
      <c r="G18" t="s">
        <v>6</v>
      </c>
      <c r="H18">
        <v>2018</v>
      </c>
      <c r="I18" t="s">
        <v>131</v>
      </c>
      <c r="J18" s="24">
        <v>1.05169316530962</v>
      </c>
      <c r="K18" s="24">
        <v>1.05169316530962</v>
      </c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</row>
    <row r="19" spans="3:37">
      <c r="C19" t="s">
        <v>126</v>
      </c>
      <c r="D19" s="25" t="s">
        <v>127</v>
      </c>
      <c r="G19" t="s">
        <v>6</v>
      </c>
      <c r="H19">
        <v>2018</v>
      </c>
      <c r="I19" t="s">
        <v>132</v>
      </c>
      <c r="J19" s="24">
        <v>0.84878652127122001</v>
      </c>
      <c r="K19" s="24">
        <v>0.84878652127122001</v>
      </c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</row>
    <row r="20" spans="3:37">
      <c r="C20" t="s">
        <v>126</v>
      </c>
      <c r="D20" s="25" t="s">
        <v>127</v>
      </c>
      <c r="G20" t="s">
        <v>6</v>
      </c>
      <c r="H20">
        <v>2018</v>
      </c>
      <c r="I20" t="s">
        <v>133</v>
      </c>
      <c r="J20" s="24">
        <v>9.2169270601308995</v>
      </c>
      <c r="K20" s="24">
        <v>9.2169270601308995</v>
      </c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</row>
    <row r="21" spans="3:37">
      <c r="C21" t="s">
        <v>126</v>
      </c>
      <c r="D21" s="25" t="s">
        <v>127</v>
      </c>
      <c r="G21" t="s">
        <v>6</v>
      </c>
      <c r="H21">
        <v>2018</v>
      </c>
      <c r="I21" t="s">
        <v>134</v>
      </c>
      <c r="J21" s="24">
        <v>0</v>
      </c>
      <c r="K21" s="24">
        <v>0</v>
      </c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</row>
    <row r="22" spans="3:37">
      <c r="C22" t="s">
        <v>126</v>
      </c>
      <c r="D22" s="25" t="s">
        <v>127</v>
      </c>
      <c r="G22" t="s">
        <v>6</v>
      </c>
      <c r="H22">
        <v>2018</v>
      </c>
      <c r="I22" t="s">
        <v>53</v>
      </c>
      <c r="J22" s="24">
        <v>211.819885</v>
      </c>
      <c r="K22" s="24">
        <v>211.819885</v>
      </c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</row>
    <row r="23" spans="3:37">
      <c r="C23" t="s">
        <v>126</v>
      </c>
      <c r="D23" s="25" t="s">
        <v>127</v>
      </c>
      <c r="G23" t="s">
        <v>6</v>
      </c>
      <c r="H23">
        <v>2018</v>
      </c>
      <c r="I23" t="s">
        <v>55</v>
      </c>
      <c r="J23" s="24">
        <v>788.06472099999996</v>
      </c>
      <c r="K23" s="24">
        <v>788.06472099999996</v>
      </c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</row>
    <row r="24" spans="3:37">
      <c r="C24" t="s">
        <v>126</v>
      </c>
      <c r="D24" s="25" t="s">
        <v>127</v>
      </c>
      <c r="G24" t="s">
        <v>6</v>
      </c>
      <c r="H24">
        <v>2018</v>
      </c>
      <c r="I24" t="s">
        <v>57</v>
      </c>
      <c r="J24" s="24">
        <v>735.40672900000004</v>
      </c>
      <c r="K24" s="24">
        <v>735.40672900000004</v>
      </c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</row>
    <row r="25" spans="3:37">
      <c r="C25" t="s">
        <v>126</v>
      </c>
      <c r="D25" s="22" t="s">
        <v>127</v>
      </c>
      <c r="G25" t="s">
        <v>6</v>
      </c>
      <c r="H25">
        <v>2018</v>
      </c>
      <c r="I25" t="s">
        <v>7</v>
      </c>
      <c r="J25" s="23"/>
      <c r="K25" s="23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</row>
    <row r="26" spans="3:37">
      <c r="C26" t="s">
        <v>126</v>
      </c>
      <c r="D26" s="22" t="s">
        <v>127</v>
      </c>
      <c r="G26" t="s">
        <v>6</v>
      </c>
      <c r="H26">
        <v>2018</v>
      </c>
      <c r="I26" t="s">
        <v>9</v>
      </c>
      <c r="J26" s="23"/>
      <c r="K26" s="23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</row>
    <row r="27" spans="3:37">
      <c r="C27" t="s">
        <v>126</v>
      </c>
      <c r="D27" s="22" t="s">
        <v>127</v>
      </c>
      <c r="G27" t="s">
        <v>6</v>
      </c>
      <c r="H27">
        <v>2018</v>
      </c>
      <c r="I27" t="s">
        <v>11</v>
      </c>
      <c r="J27" s="23"/>
      <c r="K27" s="23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</row>
    <row r="28" spans="3:37">
      <c r="C28" t="s">
        <v>126</v>
      </c>
      <c r="D28" s="22" t="s">
        <v>127</v>
      </c>
      <c r="G28" t="s">
        <v>6</v>
      </c>
      <c r="H28">
        <v>2018</v>
      </c>
      <c r="I28" t="s">
        <v>13</v>
      </c>
      <c r="J28" s="23">
        <v>5</v>
      </c>
      <c r="K28" s="23">
        <v>5</v>
      </c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</row>
    <row r="29" spans="3:37">
      <c r="C29" t="s">
        <v>126</v>
      </c>
      <c r="D29" s="22" t="s">
        <v>127</v>
      </c>
      <c r="G29" t="s">
        <v>6</v>
      </c>
      <c r="H29">
        <v>2018</v>
      </c>
      <c r="I29" t="s">
        <v>15</v>
      </c>
      <c r="J29" s="23"/>
      <c r="K29" s="23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</row>
    <row r="30" spans="3:37">
      <c r="C30" t="s">
        <v>126</v>
      </c>
      <c r="D30" s="22" t="s">
        <v>127</v>
      </c>
      <c r="G30" t="s">
        <v>6</v>
      </c>
      <c r="H30">
        <v>2018</v>
      </c>
      <c r="I30" t="s">
        <v>17</v>
      </c>
      <c r="J30" s="23">
        <v>5.7</v>
      </c>
      <c r="K30" s="23">
        <v>5.7</v>
      </c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</row>
    <row r="31" spans="3:37">
      <c r="C31" t="s">
        <v>126</v>
      </c>
      <c r="D31" s="22" t="s">
        <v>127</v>
      </c>
      <c r="G31" t="s">
        <v>6</v>
      </c>
      <c r="H31">
        <v>2018</v>
      </c>
      <c r="I31" t="s">
        <v>19</v>
      </c>
      <c r="J31" s="23"/>
      <c r="K31" s="23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</row>
    <row r="32" spans="3:37">
      <c r="C32" t="s">
        <v>126</v>
      </c>
      <c r="D32" s="22" t="s">
        <v>127</v>
      </c>
      <c r="G32" t="s">
        <v>6</v>
      </c>
      <c r="H32">
        <v>2018</v>
      </c>
      <c r="I32" t="s">
        <v>21</v>
      </c>
      <c r="J32" s="23">
        <v>2.4</v>
      </c>
      <c r="K32" s="23">
        <v>2.4</v>
      </c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</row>
    <row r="33" spans="3:37">
      <c r="C33" t="s">
        <v>126</v>
      </c>
      <c r="D33" s="22" t="s">
        <v>127</v>
      </c>
      <c r="G33" t="s">
        <v>6</v>
      </c>
      <c r="H33">
        <v>2018</v>
      </c>
      <c r="I33" t="s">
        <v>23</v>
      </c>
      <c r="J33" s="23">
        <v>16.5</v>
      </c>
      <c r="K33" s="23">
        <v>16.5</v>
      </c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</row>
    <row r="34" spans="3:37">
      <c r="C34" t="s">
        <v>126</v>
      </c>
      <c r="D34" s="22" t="s">
        <v>127</v>
      </c>
      <c r="G34" t="s">
        <v>6</v>
      </c>
      <c r="H34">
        <v>2018</v>
      </c>
      <c r="I34" t="s">
        <v>25</v>
      </c>
      <c r="J34" s="23"/>
      <c r="K34" s="23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</row>
    <row r="35" spans="3:37">
      <c r="C35" t="s">
        <v>126</v>
      </c>
      <c r="D35" s="22" t="s">
        <v>127</v>
      </c>
      <c r="G35" t="s">
        <v>6</v>
      </c>
      <c r="H35">
        <v>2018</v>
      </c>
      <c r="I35" t="s">
        <v>27</v>
      </c>
      <c r="J35" s="23"/>
      <c r="K35" s="23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</row>
    <row r="36" spans="3:37">
      <c r="C36" t="s">
        <v>126</v>
      </c>
      <c r="D36" s="22" t="s">
        <v>127</v>
      </c>
      <c r="G36" t="s">
        <v>6</v>
      </c>
      <c r="H36">
        <v>2018</v>
      </c>
      <c r="I36" t="s">
        <v>29</v>
      </c>
      <c r="J36" s="23"/>
      <c r="K36" s="23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</row>
    <row r="37" spans="3:37">
      <c r="C37" t="s">
        <v>126</v>
      </c>
      <c r="D37" s="22" t="s">
        <v>127</v>
      </c>
      <c r="G37" t="s">
        <v>6</v>
      </c>
      <c r="H37">
        <v>2018</v>
      </c>
      <c r="I37" t="s">
        <v>31</v>
      </c>
      <c r="J37" s="23">
        <v>3.8</v>
      </c>
      <c r="K37" s="23">
        <v>3.8</v>
      </c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</row>
    <row r="38" spans="3:37">
      <c r="C38" t="s">
        <v>126</v>
      </c>
      <c r="D38" s="22" t="s">
        <v>127</v>
      </c>
      <c r="G38" t="s">
        <v>6</v>
      </c>
      <c r="H38">
        <v>2018</v>
      </c>
      <c r="I38" s="27" t="s">
        <v>33</v>
      </c>
    </row>
    <row r="39" spans="3:37">
      <c r="C39" t="s">
        <v>126</v>
      </c>
      <c r="D39" s="22" t="s">
        <v>127</v>
      </c>
      <c r="G39" t="s">
        <v>6</v>
      </c>
      <c r="H39">
        <v>2018</v>
      </c>
      <c r="I39" t="s">
        <v>135</v>
      </c>
      <c r="J39">
        <v>28.901664567933999</v>
      </c>
      <c r="K39">
        <v>28.901664567933999</v>
      </c>
    </row>
    <row r="40" spans="3:37">
      <c r="C40" t="s">
        <v>126</v>
      </c>
      <c r="D40" s="22" t="s">
        <v>127</v>
      </c>
      <c r="G40" t="s">
        <v>6</v>
      </c>
      <c r="H40">
        <v>2018</v>
      </c>
      <c r="I40" t="s">
        <v>137</v>
      </c>
      <c r="J40">
        <v>58.151541961987597</v>
      </c>
      <c r="K40">
        <v>58.151541961987597</v>
      </c>
    </row>
    <row r="41" spans="3:37">
      <c r="C41" t="s">
        <v>126</v>
      </c>
      <c r="D41" s="22" t="s">
        <v>127</v>
      </c>
      <c r="G41" t="s">
        <v>6</v>
      </c>
      <c r="H41">
        <v>2018</v>
      </c>
      <c r="I41" t="s">
        <v>139</v>
      </c>
      <c r="J41">
        <v>5.6291760000000002</v>
      </c>
      <c r="K41">
        <v>5.6291760000000002</v>
      </c>
    </row>
    <row r="42" spans="3:37">
      <c r="C42" t="s">
        <v>126</v>
      </c>
      <c r="D42" s="22" t="s">
        <v>127</v>
      </c>
      <c r="G42" t="s">
        <v>6</v>
      </c>
      <c r="H42">
        <v>2018</v>
      </c>
      <c r="I42" t="s">
        <v>141</v>
      </c>
      <c r="J42">
        <v>0.48</v>
      </c>
      <c r="K42">
        <v>0.48</v>
      </c>
    </row>
    <row r="47" spans="3:37">
      <c r="C47" s="89" t="s">
        <v>191</v>
      </c>
      <c r="D47" s="89"/>
      <c r="E47" s="89"/>
      <c r="F47" s="89"/>
      <c r="G47" s="89"/>
    </row>
    <row r="48" spans="3:37">
      <c r="C48" s="87"/>
      <c r="D48" s="88"/>
      <c r="E48" s="88"/>
      <c r="F48" s="65" t="s">
        <v>197</v>
      </c>
      <c r="G48" s="65" t="s">
        <v>192</v>
      </c>
    </row>
    <row r="49" spans="3:7" ht="32.5">
      <c r="C49" s="64" t="s">
        <v>120</v>
      </c>
      <c r="D49" s="63" t="s">
        <v>193</v>
      </c>
      <c r="E49" s="63" t="s">
        <v>194</v>
      </c>
      <c r="F49" s="62" t="s">
        <v>195</v>
      </c>
      <c r="G49" s="62" t="s">
        <v>196</v>
      </c>
    </row>
    <row r="50" spans="3:7">
      <c r="C50" s="61">
        <v>2015</v>
      </c>
      <c r="D50" s="60">
        <v>1236</v>
      </c>
      <c r="E50" s="60">
        <v>23364</v>
      </c>
      <c r="F50" s="59">
        <v>24600</v>
      </c>
      <c r="G50" s="58">
        <v>5</v>
      </c>
    </row>
    <row r="51" spans="3:7">
      <c r="C51" s="61">
        <v>2016</v>
      </c>
      <c r="D51" s="60">
        <v>1477</v>
      </c>
      <c r="E51" s="60">
        <v>23879</v>
      </c>
      <c r="F51" s="59">
        <v>25356</v>
      </c>
      <c r="G51" s="58">
        <v>6</v>
      </c>
    </row>
    <row r="52" spans="3:7">
      <c r="C52" s="61">
        <v>2017</v>
      </c>
      <c r="D52" s="60">
        <v>1755</v>
      </c>
      <c r="E52" s="60">
        <v>23970</v>
      </c>
      <c r="F52" s="59">
        <v>25725</v>
      </c>
      <c r="G52" s="58">
        <v>7</v>
      </c>
    </row>
    <row r="53" spans="3:7">
      <c r="C53" s="61">
        <v>2018</v>
      </c>
      <c r="D53" s="60">
        <v>2172</v>
      </c>
      <c r="E53" s="60">
        <v>24558</v>
      </c>
      <c r="F53" s="59">
        <v>26730</v>
      </c>
      <c r="G53" s="58">
        <v>8</v>
      </c>
    </row>
    <row r="54" spans="3:7">
      <c r="C54" s="61">
        <v>2019</v>
      </c>
      <c r="D54" s="60">
        <v>2478</v>
      </c>
      <c r="E54" s="60">
        <v>24027</v>
      </c>
      <c r="F54" s="59">
        <v>26505</v>
      </c>
      <c r="G54" s="58">
        <v>9</v>
      </c>
    </row>
    <row r="55" spans="3:7">
      <c r="C55" s="61">
        <v>2020</v>
      </c>
      <c r="D55" s="60">
        <v>3019</v>
      </c>
      <c r="E55" s="60">
        <v>24037</v>
      </c>
      <c r="F55" s="59">
        <v>27056</v>
      </c>
      <c r="G55" s="58">
        <v>11</v>
      </c>
    </row>
    <row r="56" spans="3:7">
      <c r="C56" s="61">
        <v>2021</v>
      </c>
      <c r="D56" s="60">
        <v>4001</v>
      </c>
      <c r="E56" s="60">
        <v>24505</v>
      </c>
      <c r="F56" s="59">
        <v>28506</v>
      </c>
      <c r="G56" s="58">
        <v>14</v>
      </c>
    </row>
    <row r="57" spans="3:7">
      <c r="C57" s="1">
        <v>2022</v>
      </c>
      <c r="D57" s="57">
        <v>5252</v>
      </c>
      <c r="E57" s="57">
        <v>24248</v>
      </c>
      <c r="F57" s="56">
        <v>29500</v>
      </c>
      <c r="G57" s="55">
        <v>18</v>
      </c>
    </row>
    <row r="59" spans="3:7">
      <c r="D59" s="63" t="s">
        <v>193</v>
      </c>
      <c r="E59" s="10"/>
    </row>
    <row r="60" spans="3:7">
      <c r="C60" s="64" t="s">
        <v>120</v>
      </c>
      <c r="D60" s="10" t="s">
        <v>197</v>
      </c>
      <c r="E60" s="10" t="s">
        <v>198</v>
      </c>
    </row>
    <row r="61" spans="3:7">
      <c r="C61" s="61">
        <v>2015</v>
      </c>
      <c r="D61" s="60">
        <v>1236</v>
      </c>
      <c r="E61">
        <f>D61*3.6/1000</f>
        <v>4.4496000000000002</v>
      </c>
    </row>
    <row r="62" spans="3:7">
      <c r="C62" s="61">
        <v>2016</v>
      </c>
      <c r="D62" s="60">
        <v>1477</v>
      </c>
      <c r="E62">
        <f t="shared" ref="E62:E68" si="0">D62*3.6/1000</f>
        <v>5.3171999999999997</v>
      </c>
    </row>
    <row r="63" spans="3:7">
      <c r="C63" s="61">
        <v>2017</v>
      </c>
      <c r="D63" s="60">
        <v>1755</v>
      </c>
      <c r="E63">
        <f t="shared" si="0"/>
        <v>6.3179999999999996</v>
      </c>
    </row>
    <row r="64" spans="3:7">
      <c r="C64" s="61">
        <v>2018</v>
      </c>
      <c r="D64" s="60">
        <v>2172</v>
      </c>
      <c r="E64">
        <f t="shared" si="0"/>
        <v>7.8191999999999995</v>
      </c>
    </row>
    <row r="65" spans="3:5">
      <c r="C65" s="61">
        <v>2019</v>
      </c>
      <c r="D65" s="60">
        <v>2478</v>
      </c>
      <c r="E65">
        <f t="shared" si="0"/>
        <v>8.9208000000000016</v>
      </c>
    </row>
    <row r="66" spans="3:5">
      <c r="C66" s="61">
        <v>2020</v>
      </c>
      <c r="D66" s="60">
        <v>3019</v>
      </c>
      <c r="E66">
        <f t="shared" si="0"/>
        <v>10.868399999999999</v>
      </c>
    </row>
    <row r="67" spans="3:5">
      <c r="C67" s="61">
        <v>2021</v>
      </c>
      <c r="D67" s="60">
        <v>4001</v>
      </c>
      <c r="E67">
        <f t="shared" si="0"/>
        <v>14.403600000000001</v>
      </c>
    </row>
    <row r="68" spans="3:5">
      <c r="C68" s="1">
        <v>2022</v>
      </c>
      <c r="D68" s="57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topLeftCell="A181" workbookViewId="0">
      <selection activeCell="F86" sqref="F86"/>
    </sheetView>
  </sheetViews>
  <sheetFormatPr defaultColWidth="9.1796875" defaultRowHeight="14.5"/>
  <cols>
    <col min="4" max="4" width="11.1796875" bestFit="1" customWidth="1"/>
    <col min="27" max="27" width="9.1796875" customWidth="1"/>
  </cols>
  <sheetData>
    <row r="2" spans="2:32">
      <c r="B2" t="s">
        <v>122</v>
      </c>
    </row>
    <row r="3" spans="2:32" ht="15" thickBot="1">
      <c r="B3" s="16" t="s">
        <v>121</v>
      </c>
      <c r="C3" s="16" t="s">
        <v>2</v>
      </c>
      <c r="D3" s="16" t="s">
        <v>3</v>
      </c>
      <c r="E3" s="16" t="s">
        <v>5</v>
      </c>
      <c r="F3" s="16" t="s">
        <v>120</v>
      </c>
      <c r="G3" s="15" t="str">
        <f>Regions!E$3</f>
        <v>IE-CW</v>
      </c>
      <c r="H3" s="15" t="str">
        <f>Regions!F$3</f>
        <v>IE-D</v>
      </c>
      <c r="I3" s="15" t="str">
        <f>Regions!G$3</f>
        <v>IE-KE</v>
      </c>
      <c r="J3" s="15" t="str">
        <f>Regions!H$3</f>
        <v>IE-KK</v>
      </c>
      <c r="K3" s="15" t="str">
        <f>Regions!I$3</f>
        <v>IE-LS</v>
      </c>
      <c r="L3" s="15" t="str">
        <f>Regions!J$3</f>
        <v>IE-LD</v>
      </c>
      <c r="M3" s="15" t="str">
        <f>Regions!K$3</f>
        <v>IE-LH</v>
      </c>
      <c r="N3" s="15" t="str">
        <f>Regions!L$3</f>
        <v>IE-MH</v>
      </c>
      <c r="O3" s="15" t="str">
        <f>Regions!M$3</f>
        <v>IE-OY</v>
      </c>
      <c r="P3" s="15" t="str">
        <f>Regions!N$3</f>
        <v>IE-WH</v>
      </c>
      <c r="Q3" s="15" t="str">
        <f>Regions!O$3</f>
        <v>IE-WX</v>
      </c>
      <c r="R3" s="15" t="str">
        <f>Regions!P$3</f>
        <v>IE-WW</v>
      </c>
      <c r="S3" s="15" t="str">
        <f>Regions!Q$3</f>
        <v>IE-CE</v>
      </c>
      <c r="T3" s="15" t="str">
        <f>Regions!R$3</f>
        <v>IE-CO</v>
      </c>
      <c r="U3" s="15" t="str">
        <f>Regions!S$3</f>
        <v>IE-KY</v>
      </c>
      <c r="V3" s="15" t="str">
        <f>Regions!T$3</f>
        <v>IE-LK</v>
      </c>
      <c r="W3" s="15" t="str">
        <f>Regions!U$3</f>
        <v>IE-TA</v>
      </c>
      <c r="X3" s="15" t="str">
        <f>Regions!V$3</f>
        <v>IE-WD</v>
      </c>
      <c r="Y3" s="15" t="str">
        <f>Regions!W$3</f>
        <v>IE-G</v>
      </c>
      <c r="Z3" s="15" t="str">
        <f>Regions!X$3</f>
        <v>IE-LM</v>
      </c>
      <c r="AA3" s="15" t="str">
        <f>Regions!Y$3</f>
        <v>IE-MO</v>
      </c>
      <c r="AB3" s="15" t="str">
        <f>Regions!Z$3</f>
        <v>IE-RN</v>
      </c>
      <c r="AC3" s="15" t="str">
        <f>Regions!AA$3</f>
        <v>IE-SO</v>
      </c>
      <c r="AD3" s="15" t="str">
        <f>Regions!AB$3</f>
        <v>IE-CN</v>
      </c>
      <c r="AE3" s="15" t="str">
        <f>Regions!AC$3</f>
        <v>IE-DL</v>
      </c>
      <c r="AF3" s="15" t="str">
        <f>Regions!AD$3</f>
        <v>IE-MN</v>
      </c>
    </row>
    <row r="4" spans="2:32">
      <c r="D4" t="s">
        <v>6</v>
      </c>
      <c r="E4" t="str">
        <f>DEMANDS!$E$17</f>
        <v>TRAPS</v>
      </c>
      <c r="F4">
        <v>2020</v>
      </c>
      <c r="G4" s="12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2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2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2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2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2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9.5561633661176384E-2</v>
      </c>
      <c r="M4" s="12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2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2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2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2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2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2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2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2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2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2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2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2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2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7.6883209959732524E-2</v>
      </c>
      <c r="AA4" s="12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2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2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2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2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2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2:32">
      <c r="D5" t="s">
        <v>6</v>
      </c>
      <c r="E5" t="str">
        <f>DEMANDS!$E$17</f>
        <v>TRAPS</v>
      </c>
      <c r="F5">
        <v>2021</v>
      </c>
      <c r="G5" s="12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2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2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2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2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2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2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2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2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2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2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2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2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2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2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2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2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2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2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2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9.6967781632631034E-2</v>
      </c>
      <c r="AA5" s="12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2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2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2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2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2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2:32">
      <c r="D6" t="s">
        <v>6</v>
      </c>
      <c r="E6" t="str">
        <f>DEMANDS!$E$17</f>
        <v>TRAPS</v>
      </c>
      <c r="F6">
        <v>2022</v>
      </c>
      <c r="G6" s="12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2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2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2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2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2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2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2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2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2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2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2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2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2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2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2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2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2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2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2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2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2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2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2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2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2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2:32">
      <c r="D7" t="s">
        <v>6</v>
      </c>
      <c r="E7" t="str">
        <f>DEMANDS!$E$17</f>
        <v>TRAPS</v>
      </c>
      <c r="F7">
        <v>2023</v>
      </c>
      <c r="G7" s="12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2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2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2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2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2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2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2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2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2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2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2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2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2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2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2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2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2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2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2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2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2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2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2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2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2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2:32">
      <c r="D8" t="s">
        <v>6</v>
      </c>
      <c r="E8" t="str">
        <f>DEMANDS!$E$17</f>
        <v>TRAPS</v>
      </c>
      <c r="F8">
        <v>2024</v>
      </c>
      <c r="G8" s="12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2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2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2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2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2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2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2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2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2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2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2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2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2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2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2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2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2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2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2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2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2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2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2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2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2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2:32">
      <c r="D9" t="s">
        <v>6</v>
      </c>
      <c r="E9" t="str">
        <f>DEMANDS!$E$17</f>
        <v>TRAPS</v>
      </c>
      <c r="F9">
        <v>2025</v>
      </c>
      <c r="G9" s="12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2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2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2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2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2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2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2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2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2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2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2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2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2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2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2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2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2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2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2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2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2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2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2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2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2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2:32">
      <c r="D10" t="s">
        <v>6</v>
      </c>
      <c r="E10" t="str">
        <f>DEMANDS!$E$17</f>
        <v>TRAPS</v>
      </c>
      <c r="F10">
        <v>2026</v>
      </c>
      <c r="G10" s="12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2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2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2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2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2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2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2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2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2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2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2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2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2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2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2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2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2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2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2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2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2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2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2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2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2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2:32">
      <c r="D11" t="s">
        <v>6</v>
      </c>
      <c r="E11" t="str">
        <f>DEMANDS!$E$17</f>
        <v>TRAPS</v>
      </c>
      <c r="F11">
        <v>2027</v>
      </c>
      <c r="G11" s="12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2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2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2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2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2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2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2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2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2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2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2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2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2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2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2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2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2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2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2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2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2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2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2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2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2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2:32">
      <c r="D12" t="s">
        <v>6</v>
      </c>
      <c r="E12" t="str">
        <f>DEMANDS!$E$17</f>
        <v>TRAPS</v>
      </c>
      <c r="F12">
        <v>2028</v>
      </c>
      <c r="G12" s="12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2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2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2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2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2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2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2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2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2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2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2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2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2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2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2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2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2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2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2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2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2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2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2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2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2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2:32">
      <c r="D13" t="s">
        <v>6</v>
      </c>
      <c r="E13" t="str">
        <f>DEMANDS!$E$17</f>
        <v>TRAPS</v>
      </c>
      <c r="F13">
        <v>2029</v>
      </c>
      <c r="G13" s="12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2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2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2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2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2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2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2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2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2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2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2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2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2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2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2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2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2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2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2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2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2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2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2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2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2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2:32">
      <c r="D14" t="s">
        <v>6</v>
      </c>
      <c r="E14" t="str">
        <f>DEMANDS!$E$17</f>
        <v>TRAPS</v>
      </c>
      <c r="F14">
        <v>2030</v>
      </c>
      <c r="G14" s="12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2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2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2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2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2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2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2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2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2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2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2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2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2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2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2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2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2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2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2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2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2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2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2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2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2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2:32">
      <c r="D15" t="s">
        <v>6</v>
      </c>
      <c r="E15" t="str">
        <f>DEMANDS!$E$17</f>
        <v>TRAPS</v>
      </c>
      <c r="F15">
        <v>2031</v>
      </c>
      <c r="G15" s="12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2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2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2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2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2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2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2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2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2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2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2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2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2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2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2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2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2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2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2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2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2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2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2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2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2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2:32">
      <c r="D16" t="s">
        <v>6</v>
      </c>
      <c r="E16" t="str">
        <f>DEMANDS!$E$17</f>
        <v>TRAPS</v>
      </c>
      <c r="F16">
        <v>2032</v>
      </c>
      <c r="G16" s="12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2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2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2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2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2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2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2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2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2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2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2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2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2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2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2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2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2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2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2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2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2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2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2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2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2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>
      <c r="D17" t="s">
        <v>6</v>
      </c>
      <c r="E17" t="str">
        <f>DEMANDS!$E$17</f>
        <v>TRAPS</v>
      </c>
      <c r="F17">
        <v>2033</v>
      </c>
      <c r="G17" s="12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2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2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2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2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2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2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2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2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2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2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2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2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2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2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2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2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2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2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2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2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2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2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2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2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2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>
      <c r="D18" t="s">
        <v>6</v>
      </c>
      <c r="E18" t="str">
        <f>DEMANDS!$E$17</f>
        <v>TRAPS</v>
      </c>
      <c r="F18">
        <v>2034</v>
      </c>
      <c r="G18" s="12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2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2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2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2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2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2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2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2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2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2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2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2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2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2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2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2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2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2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2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2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2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2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2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2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2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>
      <c r="D19" t="s">
        <v>6</v>
      </c>
      <c r="E19" t="str">
        <f>DEMANDS!$E$17</f>
        <v>TRAPS</v>
      </c>
      <c r="F19">
        <v>2035</v>
      </c>
      <c r="G19" s="12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2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2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2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2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2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2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2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2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2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2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2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2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2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2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2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2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2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2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2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2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2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2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2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2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2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>
      <c r="D20" t="s">
        <v>6</v>
      </c>
      <c r="E20" t="str">
        <f>DEMANDS!$E$17</f>
        <v>TRAPS</v>
      </c>
      <c r="F20">
        <v>2036</v>
      </c>
      <c r="G20" s="12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2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2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2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2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2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2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2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2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2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2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2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2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2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2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2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2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2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2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2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2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2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2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2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2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2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>
      <c r="D21" t="s">
        <v>6</v>
      </c>
      <c r="E21" t="str">
        <f>DEMANDS!$E$17</f>
        <v>TRAPS</v>
      </c>
      <c r="F21">
        <v>2037</v>
      </c>
      <c r="G21" s="12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2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2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2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2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2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2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2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2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2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2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2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2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2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2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2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2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2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2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2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2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2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2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2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2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2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>
      <c r="D22" t="s">
        <v>6</v>
      </c>
      <c r="E22" t="str">
        <f>DEMANDS!$E$17</f>
        <v>TRAPS</v>
      </c>
      <c r="F22">
        <v>2038</v>
      </c>
      <c r="G22" s="12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2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2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2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2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2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2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2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2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2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2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2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2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2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2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2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2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2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2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2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2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2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2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2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2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2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>
      <c r="D23" t="s">
        <v>6</v>
      </c>
      <c r="E23" t="str">
        <f>DEMANDS!$E$17</f>
        <v>TRAPS</v>
      </c>
      <c r="F23">
        <v>2039</v>
      </c>
      <c r="G23" s="12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2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2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2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2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2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2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2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2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2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2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2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2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2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2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2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2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2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2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2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2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2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2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2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2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2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>
      <c r="D24" t="s">
        <v>6</v>
      </c>
      <c r="E24" t="str">
        <f>DEMANDS!$E$17</f>
        <v>TRAPS</v>
      </c>
      <c r="F24">
        <v>2040</v>
      </c>
      <c r="G24" s="12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2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2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2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2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2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2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2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2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2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2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2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2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2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2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2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2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2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2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2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2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2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2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2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2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2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>
      <c r="D25" t="s">
        <v>6</v>
      </c>
      <c r="E25" t="str">
        <f>DEMANDS!$E$17</f>
        <v>TRAPS</v>
      </c>
      <c r="F25">
        <v>2045</v>
      </c>
      <c r="G25" s="12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2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2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2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2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2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2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2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2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2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2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2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2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2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2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2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2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2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2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2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2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2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2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2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2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2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>
      <c r="D26" t="s">
        <v>6</v>
      </c>
      <c r="E26" t="str">
        <f>DEMANDS!$E$17</f>
        <v>TRAPS</v>
      </c>
      <c r="F26">
        <v>2050</v>
      </c>
      <c r="G26" s="12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2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2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2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2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2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2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2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2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2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2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2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2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2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2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2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2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2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2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2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2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2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2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2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2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2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>
      <c r="D27" t="s">
        <v>6</v>
      </c>
      <c r="E27" t="str">
        <f>DEMANDS!$E$17</f>
        <v>TRAPS</v>
      </c>
      <c r="F27">
        <v>2055</v>
      </c>
      <c r="G27" s="12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2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2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2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2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2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2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2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2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2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2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2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2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2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2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2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2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2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2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2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2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2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2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2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2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2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>
      <c r="D28" t="s">
        <v>6</v>
      </c>
      <c r="E28" t="str">
        <f>DEMANDS!$E$17</f>
        <v>TRAPS</v>
      </c>
      <c r="F28">
        <v>2060</v>
      </c>
      <c r="G28" s="12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2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2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2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2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2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2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2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2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2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2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2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2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2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2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2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2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2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2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2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2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2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2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2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2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2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>
      <c r="D29" t="s">
        <v>6</v>
      </c>
      <c r="E29" t="str">
        <f>DEMANDS!$E$17</f>
        <v>TRAPS</v>
      </c>
      <c r="F29">
        <v>2065</v>
      </c>
      <c r="G29" s="12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2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2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2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2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2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2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2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2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2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2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2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2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2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2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2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2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2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2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2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2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2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2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2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2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2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>
      <c r="D30" t="s">
        <v>6</v>
      </c>
      <c r="E30" t="str">
        <f>DEMANDS!$E$17</f>
        <v>TRAPS</v>
      </c>
      <c r="F30">
        <v>2070</v>
      </c>
      <c r="G30" s="12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2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2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2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2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2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2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2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2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2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2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2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2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2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2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2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2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2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2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2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2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2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2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2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2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2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>
      <c r="D31" s="13" t="s">
        <v>6</v>
      </c>
      <c r="E31" s="13" t="str">
        <f>DEMANDS!$E$18</f>
        <v>TRAPM</v>
      </c>
      <c r="F31" s="13">
        <v>2020</v>
      </c>
      <c r="G31" s="14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14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14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14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14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14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14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14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14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14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14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14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14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14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14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14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14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14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14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14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14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14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14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14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14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14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>
      <c r="D32" t="s">
        <v>6</v>
      </c>
      <c r="E32" t="str">
        <f>DEMANDS!$E$18</f>
        <v>TRAPM</v>
      </c>
      <c r="F32">
        <v>2021</v>
      </c>
      <c r="G32" s="12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2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2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2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2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2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2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2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2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2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2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2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2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2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2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2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2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2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2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2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2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2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2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2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2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2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>
      <c r="D33" t="s">
        <v>6</v>
      </c>
      <c r="E33" t="str">
        <f>DEMANDS!$E$18</f>
        <v>TRAPM</v>
      </c>
      <c r="F33">
        <v>2022</v>
      </c>
      <c r="G33" s="12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2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2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2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2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2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2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2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2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2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2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2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2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2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2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2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2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2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2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2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2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2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2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2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2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2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>
      <c r="D34" t="s">
        <v>6</v>
      </c>
      <c r="E34" t="str">
        <f>DEMANDS!$E$18</f>
        <v>TRAPM</v>
      </c>
      <c r="F34">
        <v>2023</v>
      </c>
      <c r="G34" s="12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2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2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2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2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2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2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2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2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2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2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2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2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2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2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2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2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2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2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2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2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2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2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2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2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2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>
      <c r="D35" t="s">
        <v>6</v>
      </c>
      <c r="E35" t="str">
        <f>DEMANDS!$E$18</f>
        <v>TRAPM</v>
      </c>
      <c r="F35">
        <v>2024</v>
      </c>
      <c r="G35" s="12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2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2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2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2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2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2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2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2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2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2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2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2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2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2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2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2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2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2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2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2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2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2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2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2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2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>
      <c r="D36" t="s">
        <v>6</v>
      </c>
      <c r="E36" t="str">
        <f>DEMANDS!$E$18</f>
        <v>TRAPM</v>
      </c>
      <c r="F36">
        <v>2025</v>
      </c>
      <c r="G36" s="12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2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2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2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2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2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2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2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2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2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2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2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2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2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2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2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2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2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2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2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2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2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2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2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2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2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>
      <c r="D37" t="s">
        <v>6</v>
      </c>
      <c r="E37" t="str">
        <f>DEMANDS!$E$18</f>
        <v>TRAPM</v>
      </c>
      <c r="F37">
        <v>2026</v>
      </c>
      <c r="G37" s="12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2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2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2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2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2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2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2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2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2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2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2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2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2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2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2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2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2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2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2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2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2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2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2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2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2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>
      <c r="D38" t="s">
        <v>6</v>
      </c>
      <c r="E38" t="str">
        <f>DEMANDS!$E$18</f>
        <v>TRAPM</v>
      </c>
      <c r="F38">
        <v>2027</v>
      </c>
      <c r="G38" s="12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2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2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2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2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2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2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2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2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2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2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2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2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2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2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2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2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2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2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2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2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2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2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2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2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2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>
      <c r="D39" t="s">
        <v>6</v>
      </c>
      <c r="E39" t="str">
        <f>DEMANDS!$E$18</f>
        <v>TRAPM</v>
      </c>
      <c r="F39">
        <v>2028</v>
      </c>
      <c r="G39" s="12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2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2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2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2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2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2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2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2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2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2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2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2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2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2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2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2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2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2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2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2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2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2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2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2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2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>
      <c r="D40" t="s">
        <v>6</v>
      </c>
      <c r="E40" t="str">
        <f>DEMANDS!$E$18</f>
        <v>TRAPM</v>
      </c>
      <c r="F40">
        <v>2029</v>
      </c>
      <c r="G40" s="12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2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2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2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2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2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2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2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2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2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2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2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2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2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2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2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2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2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2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2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2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2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2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2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2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2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>
      <c r="D41" t="s">
        <v>6</v>
      </c>
      <c r="E41" t="str">
        <f>DEMANDS!$E$18</f>
        <v>TRAPM</v>
      </c>
      <c r="F41">
        <v>2030</v>
      </c>
      <c r="G41" s="12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2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2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2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2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2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2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2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2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2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2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2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2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2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2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2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2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2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2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2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2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2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2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2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2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2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>
      <c r="D42" t="s">
        <v>6</v>
      </c>
      <c r="E42" t="str">
        <f>DEMANDS!$E$18</f>
        <v>TRAPM</v>
      </c>
      <c r="F42">
        <v>2031</v>
      </c>
      <c r="G42" s="12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2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2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2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2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2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2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2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2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2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2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2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2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2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2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2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2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2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2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2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2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2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2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2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2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2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>
      <c r="D43" t="s">
        <v>6</v>
      </c>
      <c r="E43" t="str">
        <f>DEMANDS!$E$18</f>
        <v>TRAPM</v>
      </c>
      <c r="F43">
        <v>2032</v>
      </c>
      <c r="G43" s="12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2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2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2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2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2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2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2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2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2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2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2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2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2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2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2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2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2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2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2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2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2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2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2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2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2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>
      <c r="D44" t="s">
        <v>6</v>
      </c>
      <c r="E44" t="str">
        <f>DEMANDS!$E$18</f>
        <v>TRAPM</v>
      </c>
      <c r="F44">
        <v>2033</v>
      </c>
      <c r="G44" s="12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2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2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2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2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2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2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2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2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2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2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2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2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2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2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2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2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2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2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2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2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2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2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2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2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2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>
      <c r="D45" t="s">
        <v>6</v>
      </c>
      <c r="E45" t="str">
        <f>DEMANDS!$E$18</f>
        <v>TRAPM</v>
      </c>
      <c r="F45">
        <v>2034</v>
      </c>
      <c r="G45" s="12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2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2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2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2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2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2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2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2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2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2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2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2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2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2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2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2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2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2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2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2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2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2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2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2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2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>
      <c r="D46" t="s">
        <v>6</v>
      </c>
      <c r="E46" t="str">
        <f>DEMANDS!$E$18</f>
        <v>TRAPM</v>
      </c>
      <c r="F46">
        <v>2035</v>
      </c>
      <c r="G46" s="12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2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2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2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2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2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2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2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2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2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2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2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2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2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2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2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2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2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2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2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2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2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2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2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2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2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>
      <c r="D47" t="s">
        <v>6</v>
      </c>
      <c r="E47" t="str">
        <f>DEMANDS!$E$18</f>
        <v>TRAPM</v>
      </c>
      <c r="F47">
        <v>2036</v>
      </c>
      <c r="G47" s="12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2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2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2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2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2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2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2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2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2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2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2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2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2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2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2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2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2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2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2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2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2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2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2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2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2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>
      <c r="D48" t="s">
        <v>6</v>
      </c>
      <c r="E48" t="str">
        <f>DEMANDS!$E$18</f>
        <v>TRAPM</v>
      </c>
      <c r="F48">
        <v>2037</v>
      </c>
      <c r="G48" s="12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2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2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2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2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2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2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2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2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2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2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2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2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2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2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2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2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2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2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2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2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2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2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2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2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2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>
      <c r="D49" t="s">
        <v>6</v>
      </c>
      <c r="E49" t="str">
        <f>DEMANDS!$E$18</f>
        <v>TRAPM</v>
      </c>
      <c r="F49">
        <v>2038</v>
      </c>
      <c r="G49" s="12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2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2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2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2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2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2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2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2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2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2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2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2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2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2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2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2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2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2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2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2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2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2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2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2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2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>
      <c r="D50" t="s">
        <v>6</v>
      </c>
      <c r="E50" t="str">
        <f>DEMANDS!$E$18</f>
        <v>TRAPM</v>
      </c>
      <c r="F50">
        <v>2039</v>
      </c>
      <c r="G50" s="12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2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2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2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2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2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2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2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2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2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2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2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2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2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2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2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2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2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2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2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2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2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2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2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2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2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>
      <c r="D51" t="s">
        <v>6</v>
      </c>
      <c r="E51" t="str">
        <f>DEMANDS!$E$18</f>
        <v>TRAPM</v>
      </c>
      <c r="F51">
        <v>2040</v>
      </c>
      <c r="G51" s="12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2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2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2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2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2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2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2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2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2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2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2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2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2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2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2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2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2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2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2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2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2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2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2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2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2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>
      <c r="D52" t="s">
        <v>6</v>
      </c>
      <c r="E52" t="str">
        <f>DEMANDS!$E$18</f>
        <v>TRAPM</v>
      </c>
      <c r="F52">
        <v>2045</v>
      </c>
      <c r="G52" s="12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2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2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2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2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2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2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2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2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2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2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2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2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2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2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2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2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2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2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2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2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2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2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2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2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2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>
      <c r="D53" t="s">
        <v>6</v>
      </c>
      <c r="E53" t="str">
        <f>DEMANDS!$E$18</f>
        <v>TRAPM</v>
      </c>
      <c r="F53">
        <v>2050</v>
      </c>
      <c r="G53" s="12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2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2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2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2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2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2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2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2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2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2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2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2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2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2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2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2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2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2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2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2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2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2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2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2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2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>
      <c r="D54" t="s">
        <v>6</v>
      </c>
      <c r="E54" t="str">
        <f>DEMANDS!$E$18</f>
        <v>TRAPM</v>
      </c>
      <c r="F54">
        <v>2055</v>
      </c>
      <c r="G54" s="12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2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2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2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2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2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2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2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2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2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2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2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2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2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2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2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2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2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2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2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2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2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2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2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2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2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>
      <c r="D55" t="s">
        <v>6</v>
      </c>
      <c r="E55" t="str">
        <f>DEMANDS!$E$18</f>
        <v>TRAPM</v>
      </c>
      <c r="F55">
        <v>2060</v>
      </c>
      <c r="G55" s="12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2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2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2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2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2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2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2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2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2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2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2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2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2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2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2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2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2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2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2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2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2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2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2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2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2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>
      <c r="D56" t="s">
        <v>6</v>
      </c>
      <c r="E56" t="str">
        <f>DEMANDS!$E$18</f>
        <v>TRAPM</v>
      </c>
      <c r="F56">
        <v>2065</v>
      </c>
      <c r="G56" s="12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2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2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2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2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2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2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2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2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2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2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2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2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2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2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2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2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2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2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2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2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2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2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2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2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2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>
      <c r="D57" t="s">
        <v>6</v>
      </c>
      <c r="E57" t="str">
        <f>DEMANDS!$E$18</f>
        <v>TRAPM</v>
      </c>
      <c r="F57">
        <v>2070</v>
      </c>
      <c r="G57" s="11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1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1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1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1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1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1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1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1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1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1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1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1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1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1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1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1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1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1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1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1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1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1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1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1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1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>
      <c r="D58" s="13" t="s">
        <v>6</v>
      </c>
      <c r="E58" s="13" t="str">
        <f>DEMANDS!$E$19</f>
        <v>TRAPL</v>
      </c>
      <c r="F58" s="13">
        <v>2020</v>
      </c>
      <c r="G58" s="14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14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14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14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14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14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14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14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14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14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14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14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14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14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14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14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14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14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14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14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14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14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14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14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14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14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>
      <c r="D59" t="s">
        <v>6</v>
      </c>
      <c r="E59" t="str">
        <f>DEMANDS!$E$19</f>
        <v>TRAPL</v>
      </c>
      <c r="F59">
        <v>2021</v>
      </c>
      <c r="G59" s="12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2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2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2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2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2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2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2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2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2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2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2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2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2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2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2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2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2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2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2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2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2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2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2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2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2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>
      <c r="D60" t="s">
        <v>6</v>
      </c>
      <c r="E60" t="str">
        <f>DEMANDS!$E$19</f>
        <v>TRAPL</v>
      </c>
      <c r="F60">
        <v>2022</v>
      </c>
      <c r="G60" s="12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2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2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2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2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2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2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2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2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2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2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2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2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2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2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2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2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2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2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2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2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2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2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2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2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2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>
      <c r="D61" t="s">
        <v>6</v>
      </c>
      <c r="E61" t="str">
        <f>DEMANDS!$E$19</f>
        <v>TRAPL</v>
      </c>
      <c r="F61">
        <v>2023</v>
      </c>
      <c r="G61" s="12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2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2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2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2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2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2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2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2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2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2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2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0.5807466156185469</v>
      </c>
      <c r="S61" s="12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2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2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2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2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2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2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2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2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2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2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2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2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2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>
      <c r="D62" t="s">
        <v>6</v>
      </c>
      <c r="E62" t="str">
        <f>DEMANDS!$E$19</f>
        <v>TRAPL</v>
      </c>
      <c r="F62">
        <v>2024</v>
      </c>
      <c r="G62" s="12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2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2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2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2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2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2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2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2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2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2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2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2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2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2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2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2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2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2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2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2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2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2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2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2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2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>
      <c r="D63" t="s">
        <v>6</v>
      </c>
      <c r="E63" t="str">
        <f>DEMANDS!$E$19</f>
        <v>TRAPL</v>
      </c>
      <c r="F63">
        <v>2025</v>
      </c>
      <c r="G63" s="12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2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2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2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2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2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2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2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2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2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2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2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2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2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2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2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2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2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2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2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2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2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2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2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2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2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>
      <c r="D64" t="s">
        <v>6</v>
      </c>
      <c r="E64" t="str">
        <f>DEMANDS!$E$19</f>
        <v>TRAPL</v>
      </c>
      <c r="F64">
        <v>2026</v>
      </c>
      <c r="G64" s="12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2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2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2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2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2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2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2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2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2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2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2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2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2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2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2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2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2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2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2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2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2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2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2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2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2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>
      <c r="D65" t="s">
        <v>6</v>
      </c>
      <c r="E65" t="str">
        <f>DEMANDS!$E$19</f>
        <v>TRAPL</v>
      </c>
      <c r="F65">
        <v>2027</v>
      </c>
      <c r="G65" s="12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2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2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2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2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2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2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2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2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2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2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2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2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2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2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2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2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2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2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2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2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2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2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2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2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2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>
      <c r="D66" t="s">
        <v>6</v>
      </c>
      <c r="E66" t="str">
        <f>DEMANDS!$E$19</f>
        <v>TRAPL</v>
      </c>
      <c r="F66">
        <v>2028</v>
      </c>
      <c r="G66" s="12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2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2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2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2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2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2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2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2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2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2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2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2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2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2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2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2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2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2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2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2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2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2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2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2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2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>
      <c r="D67" t="s">
        <v>6</v>
      </c>
      <c r="E67" t="str">
        <f>DEMANDS!$E$19</f>
        <v>TRAPL</v>
      </c>
      <c r="F67">
        <v>2029</v>
      </c>
      <c r="G67" s="12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2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2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2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2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2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2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2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2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2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2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2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2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2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2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2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2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2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2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2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2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2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2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2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2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2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>
      <c r="D68" t="s">
        <v>6</v>
      </c>
      <c r="E68" t="str">
        <f>DEMANDS!$E$19</f>
        <v>TRAPL</v>
      </c>
      <c r="F68">
        <v>2030</v>
      </c>
      <c r="G68" s="12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2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2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2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2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2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2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2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2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2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2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2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2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2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2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2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2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2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2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2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2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2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2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2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2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2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>
      <c r="D69" t="s">
        <v>6</v>
      </c>
      <c r="E69" t="str">
        <f>DEMANDS!$E$19</f>
        <v>TRAPL</v>
      </c>
      <c r="F69">
        <v>2031</v>
      </c>
      <c r="G69" s="12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2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2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2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2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2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2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2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2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2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2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2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2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2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2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2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2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2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2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2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2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2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2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2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2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2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>
      <c r="D70" t="s">
        <v>6</v>
      </c>
      <c r="E70" t="str">
        <f>DEMANDS!$E$19</f>
        <v>TRAPL</v>
      </c>
      <c r="F70">
        <v>2032</v>
      </c>
      <c r="G70" s="12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2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2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2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2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2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2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2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2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2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2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2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2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2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2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2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2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2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2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2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2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2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2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2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2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2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>
      <c r="D71" t="s">
        <v>6</v>
      </c>
      <c r="E71" t="str">
        <f>DEMANDS!$E$19</f>
        <v>TRAPL</v>
      </c>
      <c r="F71">
        <v>2033</v>
      </c>
      <c r="G71" s="12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2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2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2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2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2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2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2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2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2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2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2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2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2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2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2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2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2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2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2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2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2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2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2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2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2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>
      <c r="D72" t="s">
        <v>6</v>
      </c>
      <c r="E72" t="str">
        <f>DEMANDS!$E$19</f>
        <v>TRAPL</v>
      </c>
      <c r="F72">
        <v>2034</v>
      </c>
      <c r="G72" s="12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2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2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2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2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2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2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2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2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2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2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2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2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2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2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2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2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2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2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2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2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2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2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2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2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2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>
      <c r="D73" t="s">
        <v>6</v>
      </c>
      <c r="E73" t="str">
        <f>DEMANDS!$E$19</f>
        <v>TRAPL</v>
      </c>
      <c r="F73">
        <v>2035</v>
      </c>
      <c r="G73" s="12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2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2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2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2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2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2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2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2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2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2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2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2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2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2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2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2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2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2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2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2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2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2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2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2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2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>
      <c r="D74" t="s">
        <v>6</v>
      </c>
      <c r="E74" t="str">
        <f>DEMANDS!$E$19</f>
        <v>TRAPL</v>
      </c>
      <c r="F74">
        <v>2036</v>
      </c>
      <c r="G74" s="12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2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2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2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2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2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2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2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2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2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2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2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2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2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2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2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2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2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2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2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2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2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2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2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2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2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>
      <c r="D75" t="s">
        <v>6</v>
      </c>
      <c r="E75" t="str">
        <f>DEMANDS!$E$19</f>
        <v>TRAPL</v>
      </c>
      <c r="F75">
        <v>2037</v>
      </c>
      <c r="G75" s="12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2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2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2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2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2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2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2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2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2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2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2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2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2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2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2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2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2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2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2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2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2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2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2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2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2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>
      <c r="D76" t="s">
        <v>6</v>
      </c>
      <c r="E76" t="str">
        <f>DEMANDS!$E$19</f>
        <v>TRAPL</v>
      </c>
      <c r="F76">
        <v>2038</v>
      </c>
      <c r="G76" s="12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2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2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2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2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2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2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2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2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2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2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2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2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2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2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2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2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2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2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2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2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2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2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2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2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2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>
      <c r="D77" t="s">
        <v>6</v>
      </c>
      <c r="E77" t="str">
        <f>DEMANDS!$E$19</f>
        <v>TRAPL</v>
      </c>
      <c r="F77">
        <v>2039</v>
      </c>
      <c r="G77" s="12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2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2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2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2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2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2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2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2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2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2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2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2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2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2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2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2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2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2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2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2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2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2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2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2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2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>
      <c r="D78" t="s">
        <v>6</v>
      </c>
      <c r="E78" t="str">
        <f>DEMANDS!$E$19</f>
        <v>TRAPL</v>
      </c>
      <c r="F78">
        <v>2040</v>
      </c>
      <c r="G78" s="12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2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2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2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2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2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2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2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2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2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2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2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2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2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2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2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2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2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2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2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2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2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2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2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2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2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>
      <c r="D79" t="s">
        <v>6</v>
      </c>
      <c r="E79" t="str">
        <f>DEMANDS!$E$19</f>
        <v>TRAPL</v>
      </c>
      <c r="F79">
        <v>2045</v>
      </c>
      <c r="G79" s="12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2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2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2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2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2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2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2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2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2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2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2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2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2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2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2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2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2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2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2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2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2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2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2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2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2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>
      <c r="D80" t="s">
        <v>6</v>
      </c>
      <c r="E80" t="str">
        <f>DEMANDS!$E$19</f>
        <v>TRAPL</v>
      </c>
      <c r="F80">
        <v>2050</v>
      </c>
      <c r="G80" s="12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2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2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2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2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2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2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2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2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2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2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2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2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2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2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2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2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2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2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2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2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2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2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2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2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2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>
      <c r="D81" t="s">
        <v>6</v>
      </c>
      <c r="E81" t="str">
        <f>DEMANDS!$E$19</f>
        <v>TRAPL</v>
      </c>
      <c r="F81">
        <v>2055</v>
      </c>
      <c r="G81" s="12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2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2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2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2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2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2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2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2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2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2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2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2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2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2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2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2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2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2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2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2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2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2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2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2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2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>
      <c r="D82" t="s">
        <v>6</v>
      </c>
      <c r="E82" t="str">
        <f>DEMANDS!$E$19</f>
        <v>TRAPL</v>
      </c>
      <c r="F82">
        <v>2060</v>
      </c>
      <c r="G82" s="12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2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2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2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2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2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2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2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2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2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2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2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2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2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2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2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2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2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2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2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2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2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2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2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2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2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>
      <c r="D83" t="s">
        <v>6</v>
      </c>
      <c r="E83" t="str">
        <f>DEMANDS!$E$19</f>
        <v>TRAPL</v>
      </c>
      <c r="F83">
        <v>2065</v>
      </c>
      <c r="G83" s="12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2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2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2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2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2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2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2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2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2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2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2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2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2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2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2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2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2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2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2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2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2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2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2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2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2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>
      <c r="D84" t="s">
        <v>6</v>
      </c>
      <c r="E84" t="str">
        <f>DEMANDS!$E$19</f>
        <v>TRAPL</v>
      </c>
      <c r="F84">
        <v>2070</v>
      </c>
      <c r="G84" s="11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1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1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1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1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1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1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1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1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1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1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1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1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1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1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1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1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1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1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1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1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1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1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1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1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1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>
      <c r="D85" s="13" t="s">
        <v>6</v>
      </c>
      <c r="E85" s="13" t="str">
        <f>DEMANDS!$E$20</f>
        <v>TRAF</v>
      </c>
      <c r="F85" s="13">
        <v>2020</v>
      </c>
      <c r="G85" s="14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0.17238033986729842</v>
      </c>
      <c r="H85" s="14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2.5746379557498758</v>
      </c>
      <c r="I85" s="14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0.4672126658694758</v>
      </c>
      <c r="J85" s="14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0.30045749114227038</v>
      </c>
      <c r="K85" s="14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0.2140014089339598</v>
      </c>
      <c r="L85" s="14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0.10327260218611962</v>
      </c>
      <c r="M85" s="14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0.27062990880128696</v>
      </c>
      <c r="N85" s="14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0.41874342949876953</v>
      </c>
      <c r="O85" s="14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0.19698175663719394</v>
      </c>
      <c r="P85" s="14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0.22429253776482788</v>
      </c>
      <c r="Q85" s="14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0.45333255894069419</v>
      </c>
      <c r="R85" s="14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0.29906322554408038</v>
      </c>
      <c r="S85" s="14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0.29429391477780725</v>
      </c>
      <c r="T85" s="14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1.5746330894765248</v>
      </c>
      <c r="U85" s="14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0.42843624923058349</v>
      </c>
      <c r="V85" s="14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0.48273891527542323</v>
      </c>
      <c r="W85" s="14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0.39519157178302372</v>
      </c>
      <c r="X85" s="14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0.36707955190557812</v>
      </c>
      <c r="Y85" s="14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0.58615281275437492</v>
      </c>
      <c r="Z85" s="14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7.817179924627933E-2</v>
      </c>
      <c r="AA85" s="14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0.33013430604688609</v>
      </c>
      <c r="AB85" s="14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0.14660520947391001</v>
      </c>
      <c r="AC85" s="14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0.15987357582090014</v>
      </c>
      <c r="AD85" s="14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0.18583244848909555</v>
      </c>
      <c r="AE85" s="14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0.38835117543420583</v>
      </c>
      <c r="AF85" s="14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0.14975203059955425</v>
      </c>
    </row>
    <row r="86" spans="4:32">
      <c r="D86" t="s">
        <v>6</v>
      </c>
      <c r="E86" t="str">
        <f>DEMANDS!$E$20</f>
        <v>TRAF</v>
      </c>
      <c r="F86">
        <v>2021</v>
      </c>
      <c r="G86" s="12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0.19017443946650342</v>
      </c>
      <c r="H86" s="12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2.8404070350530888</v>
      </c>
      <c r="I86" s="12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0.51544107008826046</v>
      </c>
      <c r="J86" s="12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0.33147245796985964</v>
      </c>
      <c r="K86" s="12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0.23609187695294923</v>
      </c>
      <c r="L86" s="12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0.11393299983113844</v>
      </c>
      <c r="M86" s="12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0.29856589938722633</v>
      </c>
      <c r="N86" s="12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0.46196855770509415</v>
      </c>
      <c r="O86" s="12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0.21731535732232368</v>
      </c>
      <c r="P86" s="12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0.24744531585668109</v>
      </c>
      <c r="Q86" s="12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0.50012817792812081</v>
      </c>
      <c r="R86" s="12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0.32993426818088872</v>
      </c>
      <c r="S86" s="12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0.32467264146454866</v>
      </c>
      <c r="T86" s="12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1.7371758600031337</v>
      </c>
      <c r="U86" s="12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0.47266192657051476</v>
      </c>
      <c r="V86" s="12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0.5325700291103056</v>
      </c>
      <c r="W86" s="12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0.43598554048320692</v>
      </c>
      <c r="X86" s="12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0.40497163468292813</v>
      </c>
      <c r="Y86" s="12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0.64665890955482652</v>
      </c>
      <c r="Z86" s="12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8.6241146265250104E-2</v>
      </c>
      <c r="AA86" s="12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0.3642126860259195</v>
      </c>
      <c r="AB86" s="12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0.161738650451862</v>
      </c>
      <c r="AC86" s="12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0.17637665461531565</v>
      </c>
      <c r="AD86" s="12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0.20501515284926025</v>
      </c>
      <c r="AE86" s="12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0.42843903870483357</v>
      </c>
      <c r="AF86" s="12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0.16521030472595985</v>
      </c>
    </row>
    <row r="87" spans="4:32">
      <c r="D87" t="s">
        <v>6</v>
      </c>
      <c r="E87" t="str">
        <f>DEMANDS!$E$20</f>
        <v>TRAF</v>
      </c>
      <c r="F87">
        <v>2022</v>
      </c>
      <c r="G87" s="12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0.19372980422249975</v>
      </c>
      <c r="H87" s="12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2.8935092452840827</v>
      </c>
      <c r="I87" s="12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0.52507738619638611</v>
      </c>
      <c r="J87" s="12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0.3376694290136843</v>
      </c>
      <c r="K87" s="12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0.2405056811468792</v>
      </c>
      <c r="L87" s="12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0.11606300938069156</v>
      </c>
      <c r="M87" s="12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0.30414767304199053</v>
      </c>
      <c r="N87" s="12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0.47060519012031649</v>
      </c>
      <c r="O87" s="12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0.22137812918865865</v>
      </c>
      <c r="P87" s="12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0.2520713757914505</v>
      </c>
      <c r="Q87" s="12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0.50947821520060865</v>
      </c>
      <c r="R87" s="12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0.33610248233299289</v>
      </c>
      <c r="S87" s="12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0.33074248802193845</v>
      </c>
      <c r="T87" s="12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1.7696528524157265</v>
      </c>
      <c r="U87" s="12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0.48149847453113659</v>
      </c>
      <c r="V87" s="12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0.54252657593600162</v>
      </c>
      <c r="W87" s="12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0.44413641306685409</v>
      </c>
      <c r="X87" s="12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0.41254269355481987</v>
      </c>
      <c r="Y87" s="12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0.65874838016208548</v>
      </c>
      <c r="Z87" s="12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8.785344880605607E-2</v>
      </c>
      <c r="AA87" s="12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0.37102174486272171</v>
      </c>
      <c r="AB87" s="12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0.16476240011618135</v>
      </c>
      <c r="AC87" s="12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0.17967406589392379</v>
      </c>
      <c r="AD87" s="12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0.20884796892554394</v>
      </c>
      <c r="AE87" s="12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0.43644882731037538</v>
      </c>
      <c r="AF87" s="12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0.16829895794559269</v>
      </c>
    </row>
    <row r="88" spans="4:32">
      <c r="D88" t="s">
        <v>6</v>
      </c>
      <c r="E88" t="str">
        <f>DEMANDS!$E$20</f>
        <v>TRAF</v>
      </c>
      <c r="F88">
        <v>2023</v>
      </c>
      <c r="G88" s="12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0.20352001416590715</v>
      </c>
      <c r="H88" s="12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3.0397338445304984</v>
      </c>
      <c r="I88" s="12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0.5516123732523488</v>
      </c>
      <c r="J88" s="12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0.35473368309055148</v>
      </c>
      <c r="K88" s="12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0.25265972796719127</v>
      </c>
      <c r="L88" s="12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0.12192829806490252</v>
      </c>
      <c r="M88" s="12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0.31951789232668076</v>
      </c>
      <c r="N88" s="12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0.49438740385983754</v>
      </c>
      <c r="O88" s="12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0.23256555783617094</v>
      </c>
      <c r="P88" s="12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0.26480989942557098</v>
      </c>
      <c r="Q88" s="12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0.53522489216869062</v>
      </c>
      <c r="R88" s="12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0.35308755015849491</v>
      </c>
      <c r="S88" s="12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0.3474566864796047</v>
      </c>
      <c r="T88" s="12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1.8590829378980902</v>
      </c>
      <c r="U88" s="12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0.50583118457546317</v>
      </c>
      <c r="V88" s="12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0.56994336448646743</v>
      </c>
      <c r="W88" s="12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0.46658101700834415</v>
      </c>
      <c r="X88" s="12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0.43339069676594061</v>
      </c>
      <c r="Y88" s="12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0.69203848215516517</v>
      </c>
      <c r="Z88" s="12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9.2293156529478171E-2</v>
      </c>
      <c r="AA88" s="12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0.38977147101019449</v>
      </c>
      <c r="AB88" s="12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0.173088731185326</v>
      </c>
      <c r="AC88" s="12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0.18875396371112727</v>
      </c>
      <c r="AD88" s="12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0.21940218111938378</v>
      </c>
      <c r="AE88" s="12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0.45850493615780435</v>
      </c>
      <c r="AF88" s="12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0.17680401032076404</v>
      </c>
    </row>
    <row r="89" spans="4:32">
      <c r="D89" t="s">
        <v>6</v>
      </c>
      <c r="E89" t="str">
        <f>DEMANDS!$E$20</f>
        <v>TRAF</v>
      </c>
      <c r="F89">
        <v>2024</v>
      </c>
      <c r="G89" s="12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0.23299149162709043</v>
      </c>
      <c r="H89" s="12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3.4799138821264446</v>
      </c>
      <c r="I89" s="12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0.63149066773971085</v>
      </c>
      <c r="J89" s="12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0.40610222189874612</v>
      </c>
      <c r="K89" s="12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0.28924706562364244</v>
      </c>
      <c r="L89" s="12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0.13958458166446489</v>
      </c>
      <c r="M89" s="12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0.36578687673464272</v>
      </c>
      <c r="N89" s="12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0.56597902245156273</v>
      </c>
      <c r="O89" s="12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0.26624308397091695</v>
      </c>
      <c r="P89" s="12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0.3031566881402028</v>
      </c>
      <c r="Q89" s="12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0.61273013611661575</v>
      </c>
      <c r="R89" s="12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0.40421771452570865</v>
      </c>
      <c r="S89" s="12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0.39777145255452012</v>
      </c>
      <c r="T89" s="12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2.1282944015827865</v>
      </c>
      <c r="U89" s="12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0.57907996266972417</v>
      </c>
      <c r="V89" s="12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0.65247614677549137</v>
      </c>
      <c r="W89" s="12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0.53414602766802244</v>
      </c>
      <c r="X89" s="12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0.49614945886592654</v>
      </c>
      <c r="Y89" s="12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0.79225170498091313</v>
      </c>
      <c r="Z89" s="12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0.1056580125296485</v>
      </c>
      <c r="AA89" s="12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0.44621378785046861</v>
      </c>
      <c r="AB89" s="12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0.19815349280505901</v>
      </c>
      <c r="AC89" s="12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0.21608718796437792</v>
      </c>
      <c r="AD89" s="12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0.25117353521590657</v>
      </c>
      <c r="AE89" s="12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0.52490045969978139</v>
      </c>
      <c r="AF89" s="12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0.20240677684262331</v>
      </c>
    </row>
    <row r="90" spans="4:32">
      <c r="D90" t="s">
        <v>6</v>
      </c>
      <c r="E90" t="str">
        <f>DEMANDS!$E$20</f>
        <v>TRAF</v>
      </c>
      <c r="F90">
        <v>2025</v>
      </c>
      <c r="G90" s="12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0.24022034458926747</v>
      </c>
      <c r="H90" s="12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3.5878825705933752</v>
      </c>
      <c r="I90" s="12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0.65108345695359204</v>
      </c>
      <c r="J90" s="12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0.41870205217245426</v>
      </c>
      <c r="K90" s="12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0.29822131825635689</v>
      </c>
      <c r="L90" s="12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0.1439153682077538</v>
      </c>
      <c r="M90" s="12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0.37713587291018058</v>
      </c>
      <c r="N90" s="12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0.58353923078538206</v>
      </c>
      <c r="O90" s="12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0.27450360924925093</v>
      </c>
      <c r="P90" s="12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0.31256250424001819</v>
      </c>
      <c r="Q90" s="12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0.63174085633025767</v>
      </c>
      <c r="R90" s="12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0.416759075596912</v>
      </c>
      <c r="S90" s="12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0.41011281027100888</v>
      </c>
      <c r="T90" s="12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2.1943274021092214</v>
      </c>
      <c r="U90" s="12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0.59704664408907127</v>
      </c>
      <c r="V90" s="12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0.67272003677091241</v>
      </c>
      <c r="W90" s="12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0.55071857745247177</v>
      </c>
      <c r="X90" s="12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0.51154311749422499</v>
      </c>
      <c r="Y90" s="12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0.81683230680609664</v>
      </c>
      <c r="Z90" s="12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0.10893618475610539</v>
      </c>
      <c r="AA90" s="12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0.46005812971695087</v>
      </c>
      <c r="AB90" s="12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0.20430145320235199</v>
      </c>
      <c r="AC90" s="12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0.22279156372460923</v>
      </c>
      <c r="AD90" s="12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0.25896650886222344</v>
      </c>
      <c r="AE90" s="12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0.54118615415347393</v>
      </c>
      <c r="AF90" s="12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0.2086867007064756</v>
      </c>
    </row>
    <row r="91" spans="4:32">
      <c r="D91" t="s">
        <v>6</v>
      </c>
      <c r="E91" t="str">
        <f>DEMANDS!$E$20</f>
        <v>TRAF</v>
      </c>
      <c r="F91">
        <v>2026</v>
      </c>
      <c r="G91" s="12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0.24522493510154389</v>
      </c>
      <c r="H91" s="12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3.662630124147404</v>
      </c>
      <c r="I91" s="12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0.66464769564012527</v>
      </c>
      <c r="J91" s="12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0.42742501159271368</v>
      </c>
      <c r="K91" s="12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0.30443426238669768</v>
      </c>
      <c r="L91" s="12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0.14691360504541534</v>
      </c>
      <c r="M91" s="12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0.38499287026247597</v>
      </c>
      <c r="N91" s="12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0.59569629809341085</v>
      </c>
      <c r="O91" s="12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0.28022243444194367</v>
      </c>
      <c r="P91" s="12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0.31907422307835187</v>
      </c>
      <c r="Q91" s="12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0.64490212417047144</v>
      </c>
      <c r="R91" s="12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0.42544155633851433</v>
      </c>
      <c r="S91" s="12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0.41865682715165486</v>
      </c>
      <c r="T91" s="12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2.2400425563198301</v>
      </c>
      <c r="U91" s="12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0.60948511584092679</v>
      </c>
      <c r="V91" s="12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0.68673503753697307</v>
      </c>
      <c r="W91" s="12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0.56219188114939833</v>
      </c>
      <c r="X91" s="12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0.52220026577535472</v>
      </c>
      <c r="Y91" s="12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0.83384964653122373</v>
      </c>
      <c r="Z91" s="12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0.11120568860519092</v>
      </c>
      <c r="AA91" s="12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0.46964267408605403</v>
      </c>
      <c r="AB91" s="12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0.208557733477401</v>
      </c>
      <c r="AC91" s="12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0.22743305463553859</v>
      </c>
      <c r="AD91" s="12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0.26436164446351978</v>
      </c>
      <c r="AE91" s="12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0.55246086569833797</v>
      </c>
      <c r="AF91" s="12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0.2130343403045272</v>
      </c>
    </row>
    <row r="92" spans="4:32">
      <c r="D92" t="s">
        <v>6</v>
      </c>
      <c r="E92" t="str">
        <f>DEMANDS!$E$20</f>
        <v>TRAF</v>
      </c>
      <c r="F92">
        <v>2027</v>
      </c>
      <c r="G92" s="12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0.25022952561382028</v>
      </c>
      <c r="H92" s="12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3.7373776777014323</v>
      </c>
      <c r="I92" s="12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0.67821193432665838</v>
      </c>
      <c r="J92" s="12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0.43614797101297315</v>
      </c>
      <c r="K92" s="12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0.31064720651703848</v>
      </c>
      <c r="L92" s="12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0.14991184188307688</v>
      </c>
      <c r="M92" s="12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0.39284986761477142</v>
      </c>
      <c r="N92" s="12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0.60785336540143964</v>
      </c>
      <c r="O92" s="12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0.2859412596346364</v>
      </c>
      <c r="P92" s="12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0.32558594191668561</v>
      </c>
      <c r="Q92" s="12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0.6580633920106852</v>
      </c>
      <c r="R92" s="12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0.43412403708011671</v>
      </c>
      <c r="S92" s="12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0.42720084403230085</v>
      </c>
      <c r="T92" s="12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2.2857577105304392</v>
      </c>
      <c r="U92" s="12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0.62192358759278255</v>
      </c>
      <c r="V92" s="12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0.70075003830303384</v>
      </c>
      <c r="W92" s="12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0.57366518484632478</v>
      </c>
      <c r="X92" s="12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0.53285741405648435</v>
      </c>
      <c r="Y92" s="12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0.8508669862563506</v>
      </c>
      <c r="Z92" s="12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0.11347519245427644</v>
      </c>
      <c r="AA92" s="12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0.4792272184551572</v>
      </c>
      <c r="AB92" s="12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0.21281401375245002</v>
      </c>
      <c r="AC92" s="12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0.23207454554646798</v>
      </c>
      <c r="AD92" s="12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0.26975678006481613</v>
      </c>
      <c r="AE92" s="12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0.563735577243202</v>
      </c>
      <c r="AF92" s="12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0.21738197990257874</v>
      </c>
    </row>
    <row r="93" spans="4:32">
      <c r="D93" t="s">
        <v>6</v>
      </c>
      <c r="E93" t="str">
        <f>DEMANDS!$E$20</f>
        <v>TRAF</v>
      </c>
      <c r="F93">
        <v>2028</v>
      </c>
      <c r="G93" s="12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0.25467805051362158</v>
      </c>
      <c r="H93" s="12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3.8038199475272356</v>
      </c>
      <c r="I93" s="12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0.69026903538135453</v>
      </c>
      <c r="J93" s="12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0.44390171271987044</v>
      </c>
      <c r="K93" s="12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0.31616982352178585</v>
      </c>
      <c r="L93" s="12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0.15257694129433158</v>
      </c>
      <c r="M93" s="12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0.39983386526125625</v>
      </c>
      <c r="N93" s="12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0.61865964745302082</v>
      </c>
      <c r="O93" s="12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0.2910246598059188</v>
      </c>
      <c r="P93" s="12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0.33137413643964891</v>
      </c>
      <c r="Q93" s="12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0.66976229675754184</v>
      </c>
      <c r="R93" s="12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0.44184179773931881</v>
      </c>
      <c r="S93" s="12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0.43479552570398627</v>
      </c>
      <c r="T93" s="12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2.3263934031620912</v>
      </c>
      <c r="U93" s="12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0.63298000692776535</v>
      </c>
      <c r="V93" s="12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0.71320781676175438</v>
      </c>
      <c r="W93" s="12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0.58386367702137054</v>
      </c>
      <c r="X93" s="12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0.54233043475082188</v>
      </c>
      <c r="Y93" s="12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0.86599351045646356</v>
      </c>
      <c r="Z93" s="12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0.11549252920901915</v>
      </c>
      <c r="AA93" s="12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0.48774681344991561</v>
      </c>
      <c r="AB93" s="12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0.21659737399693804</v>
      </c>
      <c r="AC93" s="12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0.23620031524507185</v>
      </c>
      <c r="AD93" s="12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0.27455245615485729</v>
      </c>
      <c r="AE93" s="12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0.57375754306085891</v>
      </c>
      <c r="AF93" s="12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0.22124654843418012</v>
      </c>
    </row>
    <row r="94" spans="4:32">
      <c r="D94" t="s">
        <v>6</v>
      </c>
      <c r="E94" t="str">
        <f>DEMANDS!$E$20</f>
        <v>TRAF</v>
      </c>
      <c r="F94">
        <v>2029</v>
      </c>
      <c r="G94" s="12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0.26023870663837312</v>
      </c>
      <c r="H94" s="12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3.8868727848094897</v>
      </c>
      <c r="I94" s="12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0.70534041169972472</v>
      </c>
      <c r="J94" s="12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0.45359388985349208</v>
      </c>
      <c r="K94" s="12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0.32307309477772</v>
      </c>
      <c r="L94" s="12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0.15590831555839996</v>
      </c>
      <c r="M94" s="12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0.40856386231936231</v>
      </c>
      <c r="N94" s="12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0.63216750001749722</v>
      </c>
      <c r="O94" s="12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0.29737891002002181</v>
      </c>
      <c r="P94" s="12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0.33860937959335308</v>
      </c>
      <c r="Q94" s="12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0.68438592769111262</v>
      </c>
      <c r="R94" s="12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0.45148899856332142</v>
      </c>
      <c r="S94" s="12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0.444288877793593</v>
      </c>
      <c r="T94" s="12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2.3771880189516565</v>
      </c>
      <c r="U94" s="12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0.64680053109649382</v>
      </c>
      <c r="V94" s="12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0.72878003983515516</v>
      </c>
      <c r="W94" s="12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0.5966117922401778</v>
      </c>
      <c r="X94" s="12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0.55417171061874382</v>
      </c>
      <c r="Y94" s="12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0.88490166570660467</v>
      </c>
      <c r="Z94" s="12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0.11801420015244751</v>
      </c>
      <c r="AA94" s="12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0.49839630719336353</v>
      </c>
      <c r="AB94" s="12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0.22132657430254804</v>
      </c>
      <c r="AC94" s="12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0.24135752736832669</v>
      </c>
      <c r="AD94" s="12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0.28054705126740875</v>
      </c>
      <c r="AE94" s="12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0.58628500033293018</v>
      </c>
      <c r="AF94" s="12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0.22607725909868193</v>
      </c>
    </row>
    <row r="95" spans="4:32">
      <c r="D95" t="s">
        <v>6</v>
      </c>
      <c r="E95" t="str">
        <f>DEMANDS!$E$20</f>
        <v>TRAF</v>
      </c>
      <c r="F95">
        <v>2030</v>
      </c>
      <c r="G95" s="12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0.26524329715064954</v>
      </c>
      <c r="H95" s="12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3.961620338363518</v>
      </c>
      <c r="I95" s="12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0.71890465038625784</v>
      </c>
      <c r="J95" s="12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0.4623168492737515</v>
      </c>
      <c r="K95" s="12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0.32928603890806074</v>
      </c>
      <c r="L95" s="12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0.1589065523960615</v>
      </c>
      <c r="M95" s="12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0.41642085967165771</v>
      </c>
      <c r="N95" s="12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0.64432456732552601</v>
      </c>
      <c r="O95" s="12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0.3030977352127146</v>
      </c>
      <c r="P95" s="12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0.3451210984316867</v>
      </c>
      <c r="Q95" s="12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0.69754719553132627</v>
      </c>
      <c r="R95" s="12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0.46017147930492369</v>
      </c>
      <c r="S95" s="12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0.45283289467423893</v>
      </c>
      <c r="T95" s="12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2.4229031731622652</v>
      </c>
      <c r="U95" s="12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0.65923900284834946</v>
      </c>
      <c r="V95" s="12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0.74279504060121582</v>
      </c>
      <c r="W95" s="12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0.60808509593710425</v>
      </c>
      <c r="X95" s="12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0.56482885889987333</v>
      </c>
      <c r="Y95" s="12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0.90191900543173165</v>
      </c>
      <c r="Z95" s="12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0.12028370400153303</v>
      </c>
      <c r="AA95" s="12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0.50798085156246664</v>
      </c>
      <c r="AB95" s="12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0.225582854577597</v>
      </c>
      <c r="AC95" s="12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0.24599901827925602</v>
      </c>
      <c r="AD95" s="12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0.28594218686870504</v>
      </c>
      <c r="AE95" s="12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0.59755971187779411</v>
      </c>
      <c r="AF95" s="12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0.23042489869673347</v>
      </c>
    </row>
    <row r="96" spans="4:32">
      <c r="D96" t="s">
        <v>6</v>
      </c>
      <c r="E96" t="str">
        <f>DEMANDS!$E$20</f>
        <v>TRAF</v>
      </c>
      <c r="F96">
        <v>2031</v>
      </c>
      <c r="G96" s="12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0.27247215011282655</v>
      </c>
      <c r="H96" s="12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4.0695890268304487</v>
      </c>
      <c r="I96" s="12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0.73849743960013914</v>
      </c>
      <c r="J96" s="12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0.47491667954745964</v>
      </c>
      <c r="K96" s="12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0.33826029154077519</v>
      </c>
      <c r="L96" s="12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0.16323733893935036</v>
      </c>
      <c r="M96" s="12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0.42776985584719551</v>
      </c>
      <c r="N96" s="12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0.66188477565934545</v>
      </c>
      <c r="O96" s="12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0.31135826049104853</v>
      </c>
      <c r="P96" s="12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0.35452691453150209</v>
      </c>
      <c r="Q96" s="12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0.7165579157449683</v>
      </c>
      <c r="R96" s="12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0.47271284037612704</v>
      </c>
      <c r="S96" s="12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0.46517425239072763</v>
      </c>
      <c r="T96" s="12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2.4889361736887001</v>
      </c>
      <c r="U96" s="12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0.67720568426769645</v>
      </c>
      <c r="V96" s="12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0.76303893059663674</v>
      </c>
      <c r="W96" s="12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0.62465764572155369</v>
      </c>
      <c r="X96" s="12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0.58022251752817189</v>
      </c>
      <c r="Y96" s="12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0.92649960725691516</v>
      </c>
      <c r="Z96" s="12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0.12356187622798991</v>
      </c>
      <c r="AA96" s="12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0.52182519342894895</v>
      </c>
      <c r="AB96" s="12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0.23173081497489001</v>
      </c>
      <c r="AC96" s="12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0.25270339403948733</v>
      </c>
      <c r="AD96" s="12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0.29373516051502196</v>
      </c>
      <c r="AE96" s="12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0.61384540633148665</v>
      </c>
      <c r="AF96" s="12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0.23670482256058573</v>
      </c>
    </row>
    <row r="97" spans="4:32">
      <c r="D97" t="s">
        <v>6</v>
      </c>
      <c r="E97" t="str">
        <f>DEMANDS!$E$20</f>
        <v>TRAF</v>
      </c>
      <c r="F97">
        <v>2032</v>
      </c>
      <c r="G97" s="12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9.2832112868660257</v>
      </c>
      <c r="H97" s="12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138.65216966627565</v>
      </c>
      <c r="I97" s="12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25.160838506903783</v>
      </c>
      <c r="J97" s="12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16.180559657456062</v>
      </c>
      <c r="K97" s="12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11.524633820482689</v>
      </c>
      <c r="L97" s="12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5.5615471403307177</v>
      </c>
      <c r="M97" s="12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14.574252643205467</v>
      </c>
      <c r="N97" s="12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22.550621109208095</v>
      </c>
      <c r="O97" s="12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10.608073217217251</v>
      </c>
      <c r="P97" s="12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12.078842748199452</v>
      </c>
      <c r="Q97" s="12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24.413352074266715</v>
      </c>
      <c r="R97" s="12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16.105474168310547</v>
      </c>
      <c r="S97" s="12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15.848632120254941</v>
      </c>
      <c r="T97" s="12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84.798833092881324</v>
      </c>
      <c r="U97" s="12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23.072609252433722</v>
      </c>
      <c r="V97" s="12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25.996974773017104</v>
      </c>
      <c r="W97" s="12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21.282281160802235</v>
      </c>
      <c r="X97" s="12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19.768362459726436</v>
      </c>
      <c r="Y97" s="12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31.566131099280565</v>
      </c>
      <c r="Z97" s="12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4.2097917293603864</v>
      </c>
      <c r="AA97" s="12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17.778747381722322</v>
      </c>
      <c r="AB97" s="12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7.8951412692958911</v>
      </c>
      <c r="AC97" s="12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8.6096835908011915</v>
      </c>
      <c r="AD97" s="12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10.007648694787074</v>
      </c>
      <c r="AE97" s="12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20.91390478655406</v>
      </c>
      <c r="AF97" s="12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8.0646072618436335</v>
      </c>
    </row>
    <row r="98" spans="4:32">
      <c r="D98" t="s">
        <v>6</v>
      </c>
      <c r="E98" t="str">
        <f>DEMANDS!$E$20</f>
        <v>TRAF</v>
      </c>
      <c r="F98">
        <v>2033</v>
      </c>
      <c r="G98" s="12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9.4967251464639446</v>
      </c>
      <c r="H98" s="12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141.84116956859998</v>
      </c>
      <c r="I98" s="12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25.739537792562565</v>
      </c>
      <c r="J98" s="12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16.552712529577551</v>
      </c>
      <c r="K98" s="12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11.789700398353791</v>
      </c>
      <c r="L98" s="12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5.6894627245583234</v>
      </c>
      <c r="M98" s="12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14.90946045399919</v>
      </c>
      <c r="N98" s="12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23.069285394719881</v>
      </c>
      <c r="O98" s="12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10.852058901213249</v>
      </c>
      <c r="P98" s="12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12.356656131408039</v>
      </c>
      <c r="Q98" s="12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24.974859171974845</v>
      </c>
      <c r="R98" s="12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16.475900074181688</v>
      </c>
      <c r="S98" s="12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16.213150659020801</v>
      </c>
      <c r="T98" s="12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86.749206254017579</v>
      </c>
      <c r="U98" s="12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23.603279265239692</v>
      </c>
      <c r="V98" s="12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26.594905192796496</v>
      </c>
      <c r="W98" s="12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21.771773627500686</v>
      </c>
      <c r="X98" s="12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20.223034796300141</v>
      </c>
      <c r="Y98" s="12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32.292152114564011</v>
      </c>
      <c r="Z98" s="12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4.306616939135675</v>
      </c>
      <c r="AA98" s="12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18.187658571501935</v>
      </c>
      <c r="AB98" s="12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8.0767295184896959</v>
      </c>
      <c r="AC98" s="12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8.8077063133896178</v>
      </c>
      <c r="AD98" s="12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10.237824614767176</v>
      </c>
      <c r="AE98" s="12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21.394924596644803</v>
      </c>
      <c r="AF98" s="12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8.2500932288660369</v>
      </c>
    </row>
    <row r="99" spans="4:32">
      <c r="D99" t="s">
        <v>6</v>
      </c>
      <c r="E99" t="str">
        <f>DEMANDS!$E$20</f>
        <v>TRAF</v>
      </c>
      <c r="F99">
        <v>2034</v>
      </c>
      <c r="G99" s="12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9.7151498248326131</v>
      </c>
      <c r="H99" s="12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145.10351646867775</v>
      </c>
      <c r="I99" s="12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26.331547161791502</v>
      </c>
      <c r="J99" s="12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16.933424917757829</v>
      </c>
      <c r="K99" s="12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12.060863507515926</v>
      </c>
      <c r="L99" s="12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5.8203203672231645</v>
      </c>
      <c r="M99" s="12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15.252378044441169</v>
      </c>
      <c r="N99" s="12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23.599878958798435</v>
      </c>
      <c r="O99" s="12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11.101656255941151</v>
      </c>
      <c r="P99" s="12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12.640859222430423</v>
      </c>
      <c r="Q99" s="12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25.549280932930262</v>
      </c>
      <c r="R99" s="12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16.854845775887863</v>
      </c>
      <c r="S99" s="12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16.586053124178278</v>
      </c>
      <c r="T99" s="12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88.744437997859976</v>
      </c>
      <c r="U99" s="12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24.146154688340204</v>
      </c>
      <c r="V99" s="12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27.206588012230814</v>
      </c>
      <c r="W99" s="12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22.272524420933198</v>
      </c>
      <c r="X99" s="12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20.688164596615042</v>
      </c>
      <c r="Y99" s="12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33.03487161319898</v>
      </c>
      <c r="Z99" s="12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4.405669128735795</v>
      </c>
      <c r="AA99" s="12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18.605974718646475</v>
      </c>
      <c r="AB99" s="12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8.2624942974149569</v>
      </c>
      <c r="AC99" s="12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9.0102835585975782</v>
      </c>
      <c r="AD99" s="12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10.473294580906819</v>
      </c>
      <c r="AE99" s="12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21.887007862367629</v>
      </c>
      <c r="AF99" s="12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8.4398453731299536</v>
      </c>
    </row>
    <row r="100" spans="4:32">
      <c r="D100" t="s">
        <v>6</v>
      </c>
      <c r="E100" t="str">
        <f>DEMANDS!$E$20</f>
        <v>TRAF</v>
      </c>
      <c r="F100">
        <v>2035</v>
      </c>
      <c r="G100" s="12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9.9385982708037641</v>
      </c>
      <c r="H100" s="12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148.44089734745734</v>
      </c>
      <c r="I100" s="12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26.937172746512704</v>
      </c>
      <c r="J100" s="12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17.322893690866263</v>
      </c>
      <c r="K100" s="12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12.338263368188793</v>
      </c>
      <c r="L100" s="12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5.9541877356692972</v>
      </c>
      <c r="M100" s="12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15.603182739463318</v>
      </c>
      <c r="N100" s="12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24.142676174850795</v>
      </c>
      <c r="O100" s="12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11.356994349827797</v>
      </c>
      <c r="P100" s="12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12.931598984546321</v>
      </c>
      <c r="Q100" s="12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26.136914394387659</v>
      </c>
      <c r="R100" s="12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17.242507228733285</v>
      </c>
      <c r="S100" s="12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16.967532346034382</v>
      </c>
      <c r="T100" s="12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90.78556007181075</v>
      </c>
      <c r="U100" s="12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24.701516246172027</v>
      </c>
      <c r="V100" s="12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27.832339536512119</v>
      </c>
      <c r="W100" s="12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22.784792482614659</v>
      </c>
      <c r="X100" s="12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21.163992382337188</v>
      </c>
      <c r="Y100" s="12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33.794673660302557</v>
      </c>
      <c r="Z100" s="12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4.5069995186967189</v>
      </c>
      <c r="AA100" s="12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19.033912137175346</v>
      </c>
      <c r="AB100" s="12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8.452531666255501</v>
      </c>
      <c r="AC100" s="12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9.2175200804453219</v>
      </c>
      <c r="AD100" s="12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10.714180356267676</v>
      </c>
      <c r="AE100" s="12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22.390409043202084</v>
      </c>
      <c r="AF100" s="12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8.6339618167119436</v>
      </c>
    </row>
    <row r="101" spans="4:32">
      <c r="D101" t="s">
        <v>6</v>
      </c>
      <c r="E101" t="str">
        <f>DEMANDS!$E$20</f>
        <v>TRAF</v>
      </c>
      <c r="F101">
        <v>2036</v>
      </c>
      <c r="G101" s="12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10.16718603103225</v>
      </c>
      <c r="H101" s="12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151.85503798644885</v>
      </c>
      <c r="I101" s="12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27.556727719682499</v>
      </c>
      <c r="J101" s="12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17.721320245756182</v>
      </c>
      <c r="K101" s="12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12.622043425657134</v>
      </c>
      <c r="L101" s="12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6.0911340535896912</v>
      </c>
      <c r="M101" s="12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15.962055942470974</v>
      </c>
      <c r="N101" s="12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24.697957726872364</v>
      </c>
      <c r="O101" s="12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11.618205219873836</v>
      </c>
      <c r="P101" s="12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13.229025761190888</v>
      </c>
      <c r="Q101" s="12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26.738063425458574</v>
      </c>
      <c r="R101" s="12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17.639084894994149</v>
      </c>
      <c r="S101" s="12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17.357785589993167</v>
      </c>
      <c r="T101" s="12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92.873627953462403</v>
      </c>
      <c r="U101" s="12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25.269651119833984</v>
      </c>
      <c r="V101" s="12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28.472483345851895</v>
      </c>
      <c r="W101" s="12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23.308842709714796</v>
      </c>
      <c r="X101" s="12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21.650764207130944</v>
      </c>
      <c r="Y101" s="12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34.571951154489518</v>
      </c>
      <c r="Z101" s="12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4.6106605076267426</v>
      </c>
      <c r="AA101" s="12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19.471692116330377</v>
      </c>
      <c r="AB101" s="12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8.6469398945793774</v>
      </c>
      <c r="AC101" s="12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9.429523042295564</v>
      </c>
      <c r="AD101" s="12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10.960606504461833</v>
      </c>
      <c r="AE101" s="12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22.90538845119573</v>
      </c>
      <c r="AF101" s="12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8.832542938496319</v>
      </c>
    </row>
    <row r="102" spans="4:32">
      <c r="D102" t="s">
        <v>6</v>
      </c>
      <c r="E102" t="str">
        <f>DEMANDS!$E$20</f>
        <v>TRAF</v>
      </c>
      <c r="F102">
        <v>2037</v>
      </c>
      <c r="G102" s="12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10.401031309745992</v>
      </c>
      <c r="H102" s="12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155.34770386013719</v>
      </c>
      <c r="I102" s="12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28.190532457235197</v>
      </c>
      <c r="J102" s="12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18.128910611408578</v>
      </c>
      <c r="K102" s="12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12.912350424447249</v>
      </c>
      <c r="L102" s="12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6.231230136822254</v>
      </c>
      <c r="M102" s="12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16.329183229147805</v>
      </c>
      <c r="N102" s="12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25.266010754590429</v>
      </c>
      <c r="O102" s="12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11.885423939930934</v>
      </c>
      <c r="P102" s="12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13.533293353698278</v>
      </c>
      <c r="Q102" s="12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27.353038884244125</v>
      </c>
      <c r="R102" s="12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18.044783847579016</v>
      </c>
      <c r="S102" s="12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17.757014658563012</v>
      </c>
      <c r="T102" s="12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95.009721396392024</v>
      </c>
      <c r="U102" s="12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25.850853095590164</v>
      </c>
      <c r="V102" s="12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29.12735046280649</v>
      </c>
      <c r="W102" s="12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23.844946092038239</v>
      </c>
      <c r="X102" s="12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22.148731783894952</v>
      </c>
      <c r="Y102" s="12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35.367106031042773</v>
      </c>
      <c r="Z102" s="12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4.7167056993021577</v>
      </c>
      <c r="AA102" s="12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19.919541035005977</v>
      </c>
      <c r="AB102" s="12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8.8458195121547032</v>
      </c>
      <c r="AC102" s="12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9.6464020722683639</v>
      </c>
      <c r="AD102" s="12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11.212700454064453</v>
      </c>
      <c r="AE102" s="12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23.432212385573234</v>
      </c>
      <c r="AF102" s="12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9.0356914260817334</v>
      </c>
    </row>
    <row r="103" spans="4:32">
      <c r="D103" t="s">
        <v>6</v>
      </c>
      <c r="E103" t="str">
        <f>DEMANDS!$E$20</f>
        <v>TRAF</v>
      </c>
      <c r="F103">
        <v>2038</v>
      </c>
      <c r="G103" s="12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10.640255029870147</v>
      </c>
      <c r="H103" s="12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158.92070104892028</v>
      </c>
      <c r="I103" s="12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28.838914703751598</v>
      </c>
      <c r="J103" s="12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18.545875555470971</v>
      </c>
      <c r="K103" s="12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13.209334484209531</v>
      </c>
      <c r="L103" s="12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6.3745484299691633</v>
      </c>
      <c r="M103" s="12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16.704754443418203</v>
      </c>
      <c r="N103" s="12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25.847129001946005</v>
      </c>
      <c r="O103" s="12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12.158788690549343</v>
      </c>
      <c r="P103" s="12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13.844559100833333</v>
      </c>
      <c r="Q103" s="12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27.982158778581727</v>
      </c>
      <c r="R103" s="12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18.459813876073326</v>
      </c>
      <c r="S103" s="12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18.165425995709956</v>
      </c>
      <c r="T103" s="12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97.194944988509036</v>
      </c>
      <c r="U103" s="12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26.445422716788734</v>
      </c>
      <c r="V103" s="12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29.797279523451035</v>
      </c>
      <c r="W103" s="12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24.39337985215511</v>
      </c>
      <c r="X103" s="12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22.658152614924532</v>
      </c>
      <c r="Y103" s="12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36.180549469756748</v>
      </c>
      <c r="Z103" s="12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4.8251899303861059</v>
      </c>
      <c r="AA103" s="12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20.377690478811108</v>
      </c>
      <c r="AB103" s="12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9.0492733609342597</v>
      </c>
      <c r="AC103" s="12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9.8682693199305316</v>
      </c>
      <c r="AD103" s="12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11.470592564507934</v>
      </c>
      <c r="AE103" s="12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23.971153270441413</v>
      </c>
      <c r="AF103" s="12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9.2435123288816108</v>
      </c>
    </row>
    <row r="104" spans="4:32">
      <c r="D104" t="s">
        <v>6</v>
      </c>
      <c r="E104" t="str">
        <f>DEMANDS!$E$20</f>
        <v>TRAF</v>
      </c>
      <c r="F104">
        <v>2039</v>
      </c>
      <c r="G104" s="12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10.88498089555716</v>
      </c>
      <c r="H104" s="12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162.57587717304546</v>
      </c>
      <c r="I104" s="12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29.502209741937886</v>
      </c>
      <c r="J104" s="12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18.972430693246803</v>
      </c>
      <c r="K104" s="12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13.513149177346351</v>
      </c>
      <c r="L104" s="12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6.5211630438584551</v>
      </c>
      <c r="M104" s="12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17.08896379561682</v>
      </c>
      <c r="N104" s="12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26.441612968990764</v>
      </c>
      <c r="O104" s="12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12.438440830431979</v>
      </c>
      <c r="P104" s="12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14.1629839601525</v>
      </c>
      <c r="Q104" s="12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28.625748430489111</v>
      </c>
      <c r="R104" s="12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18.884389595223013</v>
      </c>
      <c r="S104" s="12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18.583230793611285</v>
      </c>
      <c r="T104" s="12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99.430428723244731</v>
      </c>
      <c r="U104" s="12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27.053667439274875</v>
      </c>
      <c r="V104" s="12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30.482616952490403</v>
      </c>
      <c r="W104" s="12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24.95442758875468</v>
      </c>
      <c r="X104" s="12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23.179290125067798</v>
      </c>
      <c r="Y104" s="12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37.012702107561154</v>
      </c>
      <c r="Z104" s="12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4.9361692987849866</v>
      </c>
      <c r="AA104" s="12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20.846377359823766</v>
      </c>
      <c r="AB104" s="12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9.2574066482357473</v>
      </c>
      <c r="AC104" s="12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10.095239514288934</v>
      </c>
      <c r="AD104" s="12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11.734416193491615</v>
      </c>
      <c r="AE104" s="12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24.522489795661564</v>
      </c>
      <c r="AF104" s="12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9.4561131124458875</v>
      </c>
    </row>
    <row r="105" spans="4:32">
      <c r="D105" t="s">
        <v>6</v>
      </c>
      <c r="E105" t="str">
        <f>DEMANDS!$E$20</f>
        <v>TRAF</v>
      </c>
      <c r="F105">
        <v>2040</v>
      </c>
      <c r="G105" s="12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11.135335456154973</v>
      </c>
      <c r="H105" s="12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166.31512234802548</v>
      </c>
      <c r="I105" s="12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30.180760566002451</v>
      </c>
      <c r="J105" s="12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19.408796599191476</v>
      </c>
      <c r="K105" s="12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13.823951608425313</v>
      </c>
      <c r="L105" s="12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6.6711497938671984</v>
      </c>
      <c r="M105" s="12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17.482009962916003</v>
      </c>
      <c r="N105" s="12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27.049770067277546</v>
      </c>
      <c r="O105" s="12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12.724524969531911</v>
      </c>
      <c r="P105" s="12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14.488732591236007</v>
      </c>
      <c r="Q105" s="12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29.284140644390355</v>
      </c>
      <c r="R105" s="12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19.318730555913138</v>
      </c>
      <c r="S105" s="12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19.010645101864341</v>
      </c>
      <c r="T105" s="12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101.71732858387934</v>
      </c>
      <c r="U105" s="12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27.675901790378187</v>
      </c>
      <c r="V105" s="12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31.183717142397683</v>
      </c>
      <c r="W105" s="12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25.52837942329603</v>
      </c>
      <c r="X105" s="12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23.71241379794435</v>
      </c>
      <c r="Y105" s="12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37.863994256035056</v>
      </c>
      <c r="Z105" s="12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5.0497011926570403</v>
      </c>
      <c r="AA105" s="12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21.325844039099707</v>
      </c>
      <c r="AB105" s="12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9.4703270011451686</v>
      </c>
      <c r="AC105" s="12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10.327430023117579</v>
      </c>
      <c r="AD105" s="12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12.00430776594192</v>
      </c>
      <c r="AE105" s="12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25.086507060961775</v>
      </c>
      <c r="AF105" s="12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9.6736037140321418</v>
      </c>
    </row>
    <row r="106" spans="4:32">
      <c r="D106" t="s">
        <v>6</v>
      </c>
      <c r="E106" t="str">
        <f>DEMANDS!$E$20</f>
        <v>TRAF</v>
      </c>
      <c r="F106">
        <v>2045</v>
      </c>
      <c r="G106" s="12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12.476175446728682</v>
      </c>
      <c r="H106" s="12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186.34163775561737</v>
      </c>
      <c r="I106" s="12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33.814918770949738</v>
      </c>
      <c r="J106" s="12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21.745869492197343</v>
      </c>
      <c r="K106" s="12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15.488536139112888</v>
      </c>
      <c r="L106" s="12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7.474443458610855</v>
      </c>
      <c r="M106" s="12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19.587072550943308</v>
      </c>
      <c r="N106" s="12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30.306916076469552</v>
      </c>
      <c r="O106" s="12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14.256724157188307</v>
      </c>
      <c r="P106" s="12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16.233365444691689</v>
      </c>
      <c r="Q106" s="12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32.81033408689504</v>
      </c>
      <c r="R106" s="12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21.64495831963702</v>
      </c>
      <c r="S106" s="12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21.299775348505847</v>
      </c>
      <c r="T106" s="12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113.96542496468528</v>
      </c>
      <c r="U106" s="12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31.008442246105361</v>
      </c>
      <c r="V106" s="12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34.938644433443436</v>
      </c>
      <c r="W106" s="12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28.602330105794259</v>
      </c>
      <c r="X106" s="12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26.567698474235034</v>
      </c>
      <c r="Y106" s="12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42.423314260470349</v>
      </c>
      <c r="Z106" s="12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5.6577512443346292</v>
      </c>
      <c r="AA106" s="12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23.893754510495288</v>
      </c>
      <c r="AB106" s="12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10.610678202682307</v>
      </c>
      <c r="AC106" s="12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11.570987635671905</v>
      </c>
      <c r="AD106" s="12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13.449783384984237</v>
      </c>
      <c r="AE106" s="12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28.107250533270435</v>
      </c>
      <c r="AF106" s="12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10.838432089774264</v>
      </c>
    </row>
    <row r="107" spans="4:32">
      <c r="D107" t="s">
        <v>6</v>
      </c>
      <c r="E107" t="str">
        <f>DEMANDS!$E$20</f>
        <v>TRAF</v>
      </c>
      <c r="F107">
        <v>2050</v>
      </c>
      <c r="G107" s="12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13.978470104510281</v>
      </c>
      <c r="H107" s="12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208.77960747781614</v>
      </c>
      <c r="I107" s="12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37.886677142721972</v>
      </c>
      <c r="J107" s="12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24.364356520248066</v>
      </c>
      <c r="K107" s="12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17.353558412805551</v>
      </c>
      <c r="L107" s="12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8.3744641841695007</v>
      </c>
      <c r="M107" s="12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21.945612199612508</v>
      </c>
      <c r="N107" s="12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33.956265054441296</v>
      </c>
      <c r="O107" s="12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15.973420161525576</v>
      </c>
      <c r="P107" s="12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18.188074905896904</v>
      </c>
      <c r="Q107" s="12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36.761127327118039</v>
      </c>
      <c r="R107" s="12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24.251294323033175</v>
      </c>
      <c r="S107" s="12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23.864546808689081</v>
      </c>
      <c r="T107" s="12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127.68835230145568</v>
      </c>
      <c r="U107" s="12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34.742264147805848</v>
      </c>
      <c r="V107" s="12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39.145714068413625</v>
      </c>
      <c r="W107" s="12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32.046424644341911</v>
      </c>
      <c r="X107" s="12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29.766796760229475</v>
      </c>
      <c r="Y107" s="12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47.531636009472813</v>
      </c>
      <c r="Z107" s="12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6.3390184728785934</v>
      </c>
      <c r="AA107" s="12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26.770874979723224</v>
      </c>
      <c r="AB107" s="12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11.888342599707835</v>
      </c>
      <c r="AC107" s="12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12.964285845091103</v>
      </c>
      <c r="AD107" s="12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15.069313169080017</v>
      </c>
      <c r="AE107" s="12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31.491731017803286</v>
      </c>
      <c r="AF107" s="12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12.143521032833805</v>
      </c>
    </row>
    <row r="108" spans="4:32">
      <c r="D108" t="s">
        <v>6</v>
      </c>
      <c r="E108" t="str">
        <f>DEMANDS!$E$20</f>
        <v>TRAF</v>
      </c>
      <c r="F108">
        <v>2055</v>
      </c>
      <c r="G108" s="12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15.661660682554922</v>
      </c>
      <c r="H108" s="12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233.91940214541219</v>
      </c>
      <c r="I108" s="12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42.448728463307667</v>
      </c>
      <c r="J108" s="12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27.298143624873333</v>
      </c>
      <c r="K108" s="12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19.443153754613164</v>
      </c>
      <c r="L108" s="12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9.382859173433614</v>
      </c>
      <c r="M108" s="12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24.588150861400013</v>
      </c>
      <c r="N108" s="12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38.045043366939204</v>
      </c>
      <c r="O108" s="12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17.896828811686298</v>
      </c>
      <c r="P108" s="12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20.378156945311069</v>
      </c>
      <c r="Q108" s="12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41.187647732619332</v>
      </c>
      <c r="R108" s="12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27.17146726075303</v>
      </c>
      <c r="S108" s="12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26.73815028871012</v>
      </c>
      <c r="T108" s="12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143.06369952564924</v>
      </c>
      <c r="U108" s="12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38.925687028587092</v>
      </c>
      <c r="V108" s="12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43.859369897567881</v>
      </c>
      <c r="W108" s="12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35.905233199075639</v>
      </c>
      <c r="X108" s="12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33.35110831011945</v>
      </c>
      <c r="Y108" s="12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53.25506649163821</v>
      </c>
      <c r="Z108" s="12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7.1023191837451911</v>
      </c>
      <c r="AA108" s="12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29.994438373641557</v>
      </c>
      <c r="AB108" s="12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13.319854496416649</v>
      </c>
      <c r="AC108" s="12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14.525355377192044</v>
      </c>
      <c r="AD108" s="12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16.883855515571526</v>
      </c>
      <c r="AE108" s="12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35.283747206926847</v>
      </c>
      <c r="AF108" s="12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13.605759749512655</v>
      </c>
    </row>
    <row r="109" spans="4:32">
      <c r="D109" t="s">
        <v>6</v>
      </c>
      <c r="E109" t="str">
        <f>DEMANDS!$E$20</f>
        <v>TRAF</v>
      </c>
      <c r="F109">
        <v>2060</v>
      </c>
      <c r="G109" s="12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17.54752941499245</v>
      </c>
      <c r="H109" s="12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262.08635680992535</v>
      </c>
      <c r="I109" s="12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47.560110414638743</v>
      </c>
      <c r="J109" s="12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30.585197058043438</v>
      </c>
      <c r="K109" s="12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21.784363698373653</v>
      </c>
      <c r="L109" s="12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10.512678104816343</v>
      </c>
      <c r="M109" s="12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27.54888573095452</v>
      </c>
      <c r="N109" s="12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42.626164051660616</v>
      </c>
      <c r="O109" s="12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20.051841013128044</v>
      </c>
      <c r="P109" s="12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22.831953498997962</v>
      </c>
      <c r="Q109" s="12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46.14717907453619</v>
      </c>
      <c r="R109" s="12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30.443267203308348</v>
      </c>
      <c r="S109" s="12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29.957773201934156</v>
      </c>
      <c r="T109" s="12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160.29043959816153</v>
      </c>
      <c r="U109" s="12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43.612848725151572</v>
      </c>
      <c r="V109" s="12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49.140611522625349</v>
      </c>
      <c r="W109" s="12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40.228692760195976</v>
      </c>
      <c r="X109" s="12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37.367017837788481</v>
      </c>
      <c r="Y109" s="12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59.667672841380579</v>
      </c>
      <c r="Z109" s="12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7.9575312808464593</v>
      </c>
      <c r="AA109" s="12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33.60616095034645</v>
      </c>
      <c r="AB109" s="12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14.923739143425344</v>
      </c>
      <c r="AC109" s="12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16.274398092943255</v>
      </c>
      <c r="AD109" s="12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18.916892486885541</v>
      </c>
      <c r="AE109" s="12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39.532371728264536</v>
      </c>
      <c r="AF109" s="12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15.244071127388658</v>
      </c>
    </row>
    <row r="110" spans="4:32">
      <c r="D110" t="s">
        <v>6</v>
      </c>
      <c r="E110" t="str">
        <f>DEMANDS!$E$20</f>
        <v>TRAF</v>
      </c>
      <c r="F110">
        <v>2065</v>
      </c>
      <c r="G110" s="12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19.66048140175862</v>
      </c>
      <c r="H110" s="12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293.64498111704279</v>
      </c>
      <c r="I110" s="12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53.286969587507237</v>
      </c>
      <c r="J110" s="12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34.268054704898987</v>
      </c>
      <c r="K110" s="12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24.407485932184432</v>
      </c>
      <c r="L110" s="12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11.778542008644678</v>
      </c>
      <c r="M110" s="12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30.866131792310647</v>
      </c>
      <c r="N110" s="12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47.758911567913501</v>
      </c>
      <c r="O110" s="12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22.466344861790002</v>
      </c>
      <c r="P110" s="12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25.581219242712415</v>
      </c>
      <c r="Q110" s="12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51.703902839072903</v>
      </c>
      <c r="R110" s="12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34.109034639829915</v>
      </c>
      <c r="S110" s="12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33.565080812544842</v>
      </c>
      <c r="T110" s="12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179.59150442607901</v>
      </c>
      <c r="U110" s="12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48.864405977627676</v>
      </c>
      <c r="V110" s="12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55.05778369496106</v>
      </c>
      <c r="W110" s="12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45.072753384481778</v>
      </c>
      <c r="X110" s="12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41.866495383181494</v>
      </c>
      <c r="Y110" s="12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66.852440844572612</v>
      </c>
      <c r="Z110" s="12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8.9157220968853732</v>
      </c>
      <c r="AA110" s="12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37.652782150875645</v>
      </c>
      <c r="AB110" s="12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16.720752473754281</v>
      </c>
      <c r="AC110" s="12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18.234048421526147</v>
      </c>
      <c r="AD110" s="12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21.194733692808033</v>
      </c>
      <c r="AE110" s="12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44.292586195461723</v>
      </c>
      <c r="AF110" s="12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17.079656617132912</v>
      </c>
    </row>
    <row r="111" spans="4:32">
      <c r="D111" t="s">
        <v>6</v>
      </c>
      <c r="E111" t="str">
        <f>DEMANDS!$E$20</f>
        <v>TRAF</v>
      </c>
      <c r="F111">
        <v>2070</v>
      </c>
      <c r="G111" s="11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22.027860435933786</v>
      </c>
      <c r="H111" s="11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329.00367643998982</v>
      </c>
      <c r="I111" s="11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59.703417487145657</v>
      </c>
      <c r="J111" s="11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38.394376568161647</v>
      </c>
      <c r="K111" s="11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27.346466381951554</v>
      </c>
      <c r="L111" s="11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13.196832478476338</v>
      </c>
      <c r="M111" s="11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34.582817654573788</v>
      </c>
      <c r="N111" s="11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53.509708999088858</v>
      </c>
      <c r="O111" s="11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25.171586545017206</v>
      </c>
      <c r="P111" s="11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28.66153253038291</v>
      </c>
      <c r="Q111" s="11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57.929728802586801</v>
      </c>
      <c r="R111" s="11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38.216208407968921</v>
      </c>
      <c r="S111" s="11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37.606755427333567</v>
      </c>
      <c r="T111" s="11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201.21666983307892</v>
      </c>
      <c r="U111" s="11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54.74831939078102</v>
      </c>
      <c r="V111" s="11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61.687460767667069</v>
      </c>
      <c r="W111" s="11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50.500102247130961</v>
      </c>
      <c r="X111" s="11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46.907768858594437</v>
      </c>
      <c r="Y111" s="11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74.902348860798512</v>
      </c>
      <c r="Z111" s="11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9.9892916161348193</v>
      </c>
      <c r="AA111" s="11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42.186669456116022</v>
      </c>
      <c r="AB111" s="11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18.734149706156618</v>
      </c>
      <c r="AC111" s="11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20.429666273355277</v>
      </c>
      <c r="AD111" s="11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23.746856764158235</v>
      </c>
      <c r="AE111" s="11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49.625992727366537</v>
      </c>
      <c r="AF111" s="11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19.136270601299891</v>
      </c>
    </row>
    <row r="112" spans="4:32">
      <c r="D112" s="13" t="s">
        <v>6</v>
      </c>
      <c r="E112" s="13" t="str">
        <f>DEMANDS!$E$21</f>
        <v>TTURS</v>
      </c>
      <c r="F112" s="13">
        <v>2020</v>
      </c>
      <c r="G112" s="14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4.0298189842888223E-2</v>
      </c>
      <c r="H112" s="14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14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14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7.0239407968971462E-2</v>
      </c>
      <c r="K112" s="14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5.9951095783093877E-2</v>
      </c>
      <c r="L112" s="14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2.8931144408212772E-2</v>
      </c>
      <c r="M112" s="14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9.1227989526291062E-2</v>
      </c>
      <c r="N112" s="14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14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5.5183151449824552E-2</v>
      </c>
      <c r="P112" s="14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6.2834088251830053E-2</v>
      </c>
      <c r="Q112" s="14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14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14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8.4102262744369605E-2</v>
      </c>
      <c r="T112" s="14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14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14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14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14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8.2232883144582727E-2</v>
      </c>
      <c r="Y112" s="14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14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2.2681711433385598E-2</v>
      </c>
      <c r="AA112" s="14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9.237679796644771E-2</v>
      </c>
      <c r="AB112" s="14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4.5686193445151825E-2</v>
      </c>
      <c r="AC112" s="14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4.6387653188956733E-2</v>
      </c>
      <c r="AD112" s="14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5.3919674514716867E-2</v>
      </c>
      <c r="AE112" s="14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14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4.3450865623823776E-2</v>
      </c>
    </row>
    <row r="113" spans="4:32">
      <c r="D113" t="s">
        <v>6</v>
      </c>
      <c r="E113" t="str">
        <f>DEMANDS!$E$21</f>
        <v>TTURS</v>
      </c>
      <c r="F113">
        <v>2021</v>
      </c>
      <c r="G113" s="12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2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2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2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2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2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7.3952094537338697E-2</v>
      </c>
      <c r="M113" s="12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2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2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2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2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2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2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2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2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2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2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2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2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2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5.7977660493589413E-2</v>
      </c>
      <c r="AA113" s="12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2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2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2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2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2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>
      <c r="D114" t="s">
        <v>6</v>
      </c>
      <c r="E114" t="str">
        <f>DEMANDS!$E$21</f>
        <v>TTURS</v>
      </c>
      <c r="F114">
        <v>2022</v>
      </c>
      <c r="G114" s="12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9.1837705905009476E-2</v>
      </c>
      <c r="H114" s="12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2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2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2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2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6.5932736483093002E-2</v>
      </c>
      <c r="M114" s="12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2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2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2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2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2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2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2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2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2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2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2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2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2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5.1690568538258291E-2</v>
      </c>
      <c r="AA114" s="12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2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2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2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2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2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9.9022507810807792E-2</v>
      </c>
    </row>
    <row r="115" spans="4:32">
      <c r="D115" t="s">
        <v>6</v>
      </c>
      <c r="E115" t="str">
        <f>DEMANDS!$E$21</f>
        <v>TTURS</v>
      </c>
      <c r="F115">
        <v>2023</v>
      </c>
      <c r="G115" s="12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8.0667542404793777E-2</v>
      </c>
      <c r="H115" s="12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2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2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2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2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5.7913378428847313E-2</v>
      </c>
      <c r="M115" s="12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2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2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2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2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2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2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2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2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2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2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2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2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2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4.540347658292717E-2</v>
      </c>
      <c r="AA115" s="12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2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9.1453064304345938E-2</v>
      </c>
      <c r="AC115" s="12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9.2857222502251313E-2</v>
      </c>
      <c r="AD115" s="12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2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2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8.6978461288215222E-2</v>
      </c>
    </row>
    <row r="116" spans="4:32">
      <c r="D116" t="s">
        <v>6</v>
      </c>
      <c r="E116" t="str">
        <f>DEMANDS!$E$21</f>
        <v>TTURS</v>
      </c>
      <c r="F116">
        <v>2024</v>
      </c>
      <c r="G116" s="12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6.9497378904578105E-2</v>
      </c>
      <c r="H116" s="12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2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2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2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2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4.9894020374601618E-2</v>
      </c>
      <c r="M116" s="12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2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2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9.516765890500628E-2</v>
      </c>
      <c r="P116" s="12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2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2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2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2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2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2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2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2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2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2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3.9116384627596049E-2</v>
      </c>
      <c r="AA116" s="12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2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7.8789412351877683E-2</v>
      </c>
      <c r="AC116" s="12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7.9999134520331888E-2</v>
      </c>
      <c r="AD116" s="12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9.2988694151534365E-2</v>
      </c>
      <c r="AE116" s="12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2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7.4934414765622653E-2</v>
      </c>
    </row>
    <row r="117" spans="4:32">
      <c r="D117" t="s">
        <v>6</v>
      </c>
      <c r="E117" t="str">
        <f>DEMANDS!$E$21</f>
        <v>TTURS</v>
      </c>
      <c r="F117">
        <v>2025</v>
      </c>
      <c r="G117" s="12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5.8327215404362399E-2</v>
      </c>
      <c r="H117" s="12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2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2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2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8.6772643910336511E-2</v>
      </c>
      <c r="L117" s="12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4.1874662320355922E-2</v>
      </c>
      <c r="M117" s="12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2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2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7.9871566783873763E-2</v>
      </c>
      <c r="P117" s="12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9.0945459696572264E-2</v>
      </c>
      <c r="Q117" s="12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2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2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2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2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2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2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2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2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2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3.2829292672264934E-2</v>
      </c>
      <c r="AA117" s="12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2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6.6125760399409414E-2</v>
      </c>
      <c r="AC117" s="12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6.7141046538412449E-2</v>
      </c>
      <c r="AD117" s="12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7.8042822325629202E-2</v>
      </c>
      <c r="AE117" s="12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2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6.2890368243030098E-2</v>
      </c>
    </row>
    <row r="118" spans="4:32">
      <c r="D118" t="s">
        <v>6</v>
      </c>
      <c r="E118" t="str">
        <f>DEMANDS!$E$21</f>
        <v>TTURS</v>
      </c>
      <c r="F118">
        <v>2026</v>
      </c>
      <c r="G118" s="12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4.7157051904146714E-2</v>
      </c>
      <c r="H118" s="12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2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2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8.2194347195817585E-2</v>
      </c>
      <c r="K118" s="12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7.0154936154105091E-2</v>
      </c>
      <c r="L118" s="12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3.3855304266110241E-2</v>
      </c>
      <c r="M118" s="12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2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2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6.4575474662741258E-2</v>
      </c>
      <c r="P118" s="12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7.3528621821315004E-2</v>
      </c>
      <c r="Q118" s="12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2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2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9.8416697746346538E-2</v>
      </c>
      <c r="T118" s="12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2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2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2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2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9.6229144628963523E-2</v>
      </c>
      <c r="Y118" s="12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2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2.6542200716933816E-2</v>
      </c>
      <c r="AA118" s="12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2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5.3462108446941145E-2</v>
      </c>
      <c r="AC118" s="12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5.4282958556493031E-2</v>
      </c>
      <c r="AD118" s="12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6.3096950499724039E-2</v>
      </c>
      <c r="AE118" s="12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2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5.0846321720437522E-2</v>
      </c>
    </row>
    <row r="119" spans="4:32">
      <c r="D119" t="s">
        <v>6</v>
      </c>
      <c r="E119" t="str">
        <f>DEMANDS!$E$21</f>
        <v>TTURS</v>
      </c>
      <c r="F119">
        <v>2027</v>
      </c>
      <c r="G119" s="12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3.5986888403931029E-2</v>
      </c>
      <c r="H119" s="12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2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2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6.272484560702038E-2</v>
      </c>
      <c r="K119" s="12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5.3537228397873671E-2</v>
      </c>
      <c r="L119" s="12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2.5835946211864549E-2</v>
      </c>
      <c r="M119" s="12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8.1467963975483809E-2</v>
      </c>
      <c r="N119" s="12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2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4.9279382541608754E-2</v>
      </c>
      <c r="P119" s="12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5.6111783946057731E-2</v>
      </c>
      <c r="Q119" s="12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9.4639726438792995E-2</v>
      </c>
      <c r="R119" s="12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9.002727079550836E-2</v>
      </c>
      <c r="S119" s="12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7.5104583002351469E-2</v>
      </c>
      <c r="T119" s="12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2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9.3366038879355087E-2</v>
      </c>
      <c r="V119" s="12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2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2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7.3435198960428119E-2</v>
      </c>
      <c r="Y119" s="12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2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2.0255108761602698E-2</v>
      </c>
      <c r="AA119" s="12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8.2493867156112857E-2</v>
      </c>
      <c r="AB119" s="12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4.0798456494472883E-2</v>
      </c>
      <c r="AC119" s="12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4.1424870574573606E-2</v>
      </c>
      <c r="AD119" s="12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4.815107867381889E-2</v>
      </c>
      <c r="AE119" s="12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2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3.880227519784496E-2</v>
      </c>
    </row>
    <row r="120" spans="4:32">
      <c r="D120" t="s">
        <v>6</v>
      </c>
      <c r="E120" t="str">
        <f>DEMANDS!$E$21</f>
        <v>TTURS</v>
      </c>
      <c r="F120">
        <v>2028</v>
      </c>
      <c r="G120" s="12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2.4816724903715344E-2</v>
      </c>
      <c r="H120" s="12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2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9.6989751949277725E-2</v>
      </c>
      <c r="J120" s="12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4.325534401822316E-2</v>
      </c>
      <c r="K120" s="12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3.6919520641642257E-2</v>
      </c>
      <c r="L120" s="12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1.7816588157618857E-2</v>
      </c>
      <c r="M120" s="12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5.6180685247144785E-2</v>
      </c>
      <c r="N120" s="12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8.5019906065486178E-2</v>
      </c>
      <c r="O120" s="12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3.3983290420476243E-2</v>
      </c>
      <c r="P120" s="12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3.8694946070800464E-2</v>
      </c>
      <c r="Q120" s="12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6.5263993642135698E-2</v>
      </c>
      <c r="R120" s="12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6.2083222869592877E-2</v>
      </c>
      <c r="S120" s="12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5.1792468258356407E-2</v>
      </c>
      <c r="T120" s="12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2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6.4385652802520274E-2</v>
      </c>
      <c r="V120" s="12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8.4956700397126703E-2</v>
      </c>
      <c r="W120" s="12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6.9549337956904683E-2</v>
      </c>
      <c r="X120" s="12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5.0641253291892702E-2</v>
      </c>
      <c r="Y120" s="12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2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1.3968016806271584E-2</v>
      </c>
      <c r="AA120" s="12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5.688815283160914E-2</v>
      </c>
      <c r="AB120" s="12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2.8134804542004625E-2</v>
      </c>
      <c r="AC120" s="12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2.8566782592654192E-2</v>
      </c>
      <c r="AD120" s="12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3.320520684791374E-2</v>
      </c>
      <c r="AE120" s="12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6.9391977637747737E-2</v>
      </c>
      <c r="AF120" s="12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2.6758228675252401E-2</v>
      </c>
    </row>
    <row r="121" spans="4:32">
      <c r="D121" t="s">
        <v>6</v>
      </c>
      <c r="E121" t="str">
        <f>DEMANDS!$E$21</f>
        <v>TTURS</v>
      </c>
      <c r="F121">
        <v>2029</v>
      </c>
      <c r="G121" s="12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1.3646561403499659E-2</v>
      </c>
      <c r="H121" s="12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2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5.3334056392262491E-2</v>
      </c>
      <c r="J121" s="12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2.3785842429425944E-2</v>
      </c>
      <c r="K121" s="12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2.0301812885410834E-2</v>
      </c>
      <c r="L121" s="12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9.7972301033731699E-3</v>
      </c>
      <c r="M121" s="12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3.089340651880575E-2</v>
      </c>
      <c r="N121" s="12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4.675191320143661E-2</v>
      </c>
      <c r="O121" s="12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1.8687198299343739E-2</v>
      </c>
      <c r="P121" s="12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2.1278108195543193E-2</v>
      </c>
      <c r="Q121" s="12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3.5888260845478394E-2</v>
      </c>
      <c r="R121" s="12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3.4139174943677388E-2</v>
      </c>
      <c r="S121" s="12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2.8480353514361328E-2</v>
      </c>
      <c r="T121" s="12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2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3.5405266725685468E-2</v>
      </c>
      <c r="V121" s="12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4.6717156800756693E-2</v>
      </c>
      <c r="W121" s="12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3.8244744811574909E-2</v>
      </c>
      <c r="X121" s="12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2.7847307623357288E-2</v>
      </c>
      <c r="Y121" s="12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6.1856325838971347E-2</v>
      </c>
      <c r="Z121" s="12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7.680924850940467E-3</v>
      </c>
      <c r="AA121" s="12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3.128243850710543E-2</v>
      </c>
      <c r="AB121" s="12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1.5471152589536363E-2</v>
      </c>
      <c r="AC121" s="12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1.5708694610734771E-2</v>
      </c>
      <c r="AD121" s="12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1.8259335022008584E-2</v>
      </c>
      <c r="AE121" s="12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3.8158213358847712E-2</v>
      </c>
      <c r="AF121" s="12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1.4714182152659835E-2</v>
      </c>
    </row>
    <row r="122" spans="4:32">
      <c r="D122" t="s">
        <v>6</v>
      </c>
      <c r="E122" t="str">
        <f>DEMANDS!$E$21</f>
        <v>TTURS</v>
      </c>
      <c r="F122">
        <v>2030</v>
      </c>
      <c r="G122" s="12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2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2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2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2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2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2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2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2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2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2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2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2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2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2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2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2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2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2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2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2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2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2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2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2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2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>
      <c r="D123" t="s">
        <v>6</v>
      </c>
      <c r="E123" t="str">
        <f>DEMANDS!$E$21</f>
        <v>TTURS</v>
      </c>
      <c r="F123">
        <v>2031</v>
      </c>
      <c r="G123" s="12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2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2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2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2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2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2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2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2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2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2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2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2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2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2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2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2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2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2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2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2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2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2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2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2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2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>
      <c r="D124" t="s">
        <v>6</v>
      </c>
      <c r="E124" t="str">
        <f>DEMANDS!$E$21</f>
        <v>TTURS</v>
      </c>
      <c r="F124">
        <v>2032</v>
      </c>
      <c r="G124" s="12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2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2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2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2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2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2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2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2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2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2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2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2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2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2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2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2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2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2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2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2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2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2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2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2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2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>
      <c r="D125" t="s">
        <v>6</v>
      </c>
      <c r="E125" t="str">
        <f>DEMANDS!$E$21</f>
        <v>TTURS</v>
      </c>
      <c r="F125">
        <v>2033</v>
      </c>
      <c r="G125" s="12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2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2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2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2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2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2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2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2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2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2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2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2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2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2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2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2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2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2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2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2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2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2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2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2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2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>
      <c r="D126" t="s">
        <v>6</v>
      </c>
      <c r="E126" t="str">
        <f>DEMANDS!$E$21</f>
        <v>TTURS</v>
      </c>
      <c r="F126">
        <v>2034</v>
      </c>
      <c r="G126" s="12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2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2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2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2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2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2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2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2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2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2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2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2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2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2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2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2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2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2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2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2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2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2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2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2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2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>
      <c r="D127" t="s">
        <v>6</v>
      </c>
      <c r="E127" t="str">
        <f>DEMANDS!$E$21</f>
        <v>TTURS</v>
      </c>
      <c r="F127">
        <v>2035</v>
      </c>
      <c r="G127" s="12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2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2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2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2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2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2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2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2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2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2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2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2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2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2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2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2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2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2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2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2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2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2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2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2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2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>
      <c r="D128" t="s">
        <v>6</v>
      </c>
      <c r="E128" t="str">
        <f>DEMANDS!$E$21</f>
        <v>TTURS</v>
      </c>
      <c r="F128">
        <v>2036</v>
      </c>
      <c r="G128" s="12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2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2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2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2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2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2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2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2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2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2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2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2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2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2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2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2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2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2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2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2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2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2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2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2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2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>
      <c r="D129" t="s">
        <v>6</v>
      </c>
      <c r="E129" t="str">
        <f>DEMANDS!$E$21</f>
        <v>TTURS</v>
      </c>
      <c r="F129">
        <v>2037</v>
      </c>
      <c r="G129" s="12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2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2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2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2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2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2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2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2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2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2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2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2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2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2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2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2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2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2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2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2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2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2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2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2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2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>
      <c r="D130" t="s">
        <v>6</v>
      </c>
      <c r="E130" t="str">
        <f>DEMANDS!$E$21</f>
        <v>TTURS</v>
      </c>
      <c r="F130">
        <v>2038</v>
      </c>
      <c r="G130" s="12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2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2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2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2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2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2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2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2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2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2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2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2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2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2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2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2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2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2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2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2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2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2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2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2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2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>
      <c r="D131" t="s">
        <v>6</v>
      </c>
      <c r="E131" t="str">
        <f>DEMANDS!$E$21</f>
        <v>TTURS</v>
      </c>
      <c r="F131">
        <v>2039</v>
      </c>
      <c r="G131" s="12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2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2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2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2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2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2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2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2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2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2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2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2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2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2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2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2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2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2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2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2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2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2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2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2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2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>
      <c r="D132" t="s">
        <v>6</v>
      </c>
      <c r="E132" t="str">
        <f>DEMANDS!$E$21</f>
        <v>TTURS</v>
      </c>
      <c r="F132">
        <v>2040</v>
      </c>
      <c r="G132" s="12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2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2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2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2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2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2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2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2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2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2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2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2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2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2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2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2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2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2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2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2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2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2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2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2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2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>
      <c r="D133" t="s">
        <v>6</v>
      </c>
      <c r="E133" t="str">
        <f>DEMANDS!$E$21</f>
        <v>TTURS</v>
      </c>
      <c r="F133">
        <v>2045</v>
      </c>
      <c r="G133" s="12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2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2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2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2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2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2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2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2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2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2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2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2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2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2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2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2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2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2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2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2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2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2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2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2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2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>
      <c r="D134" t="s">
        <v>6</v>
      </c>
      <c r="E134" t="str">
        <f>DEMANDS!$E$21</f>
        <v>TTURS</v>
      </c>
      <c r="F134">
        <v>2050</v>
      </c>
      <c r="G134" s="12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2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2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2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2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2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2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2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2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2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2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2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2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2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2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2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2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2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2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2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2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2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2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2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2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2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>
      <c r="D135" t="s">
        <v>6</v>
      </c>
      <c r="E135" t="str">
        <f>DEMANDS!$E$21</f>
        <v>TTURS</v>
      </c>
      <c r="F135">
        <v>2055</v>
      </c>
      <c r="G135" s="12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2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2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2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2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2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2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2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2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2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2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2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2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2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2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2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2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2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2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2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2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2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2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2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2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2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>
      <c r="D136" t="s">
        <v>6</v>
      </c>
      <c r="E136" t="str">
        <f>DEMANDS!$E$21</f>
        <v>TTURS</v>
      </c>
      <c r="F136">
        <v>2060</v>
      </c>
      <c r="G136" s="12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2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2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2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2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2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2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2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2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2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2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2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2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2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2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2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2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2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2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2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2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2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2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2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2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2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>
      <c r="D137" t="s">
        <v>6</v>
      </c>
      <c r="E137" t="str">
        <f>DEMANDS!$E$21</f>
        <v>TTURS</v>
      </c>
      <c r="F137">
        <v>2065</v>
      </c>
      <c r="G137" s="12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2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2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2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2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2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2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2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2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2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2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2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2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2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2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2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2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2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2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2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2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2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2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2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2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2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>
      <c r="D138" t="s">
        <v>6</v>
      </c>
      <c r="E138" t="str">
        <f>DEMANDS!$E$21</f>
        <v>TTURS</v>
      </c>
      <c r="F138">
        <v>2070</v>
      </c>
      <c r="G138" s="11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1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1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1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1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1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1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1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1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1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1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1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1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1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1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1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1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1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1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1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1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1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1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1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1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1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>
      <c r="D139" s="13" t="s">
        <v>6</v>
      </c>
      <c r="E139" s="13" t="str">
        <f>DEMANDS!$E$22</f>
        <v>TNAV</v>
      </c>
      <c r="F139" s="13">
        <v>2020</v>
      </c>
      <c r="G139" s="14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5.4709600636236908E-2</v>
      </c>
      <c r="H139" s="14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14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14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9.5358376490112085E-2</v>
      </c>
      <c r="K139" s="14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8.1390765212663516E-2</v>
      </c>
      <c r="L139" s="14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3.9277480271286955E-2</v>
      </c>
      <c r="M139" s="14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14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14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7.4917711923025126E-2</v>
      </c>
      <c r="P139" s="14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8.5304771455047348E-2</v>
      </c>
      <c r="Q139" s="14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14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14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14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14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14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14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14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14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14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3.0793129396254827E-2</v>
      </c>
      <c r="AA139" s="14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14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6.202445836199811E-2</v>
      </c>
      <c r="AC139" s="14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6.2976773654461277E-2</v>
      </c>
      <c r="AD139" s="14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7.3202391239829717E-2</v>
      </c>
      <c r="AE139" s="14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14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5.8989734150496013E-2</v>
      </c>
    </row>
    <row r="140" spans="4:32">
      <c r="D140" t="s">
        <v>6</v>
      </c>
      <c r="E140" t="str">
        <f>DEMANDS!$E$22</f>
        <v>TNAV</v>
      </c>
      <c r="F140">
        <v>2021</v>
      </c>
      <c r="G140" s="12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6.0377905785525848E-2</v>
      </c>
      <c r="H140" s="12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2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2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2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8.9823429465268834E-2</v>
      </c>
      <c r="L140" s="12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4.3346907594530242E-2</v>
      </c>
      <c r="M140" s="12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2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2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8.267972164943059E-2</v>
      </c>
      <c r="P140" s="12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9.4142954692987016E-2</v>
      </c>
      <c r="Q140" s="12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2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2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2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2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2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2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2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2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2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3.3983517406579698E-2</v>
      </c>
      <c r="AA140" s="12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2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6.8450634985965417E-2</v>
      </c>
      <c r="AC140" s="12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6.9501616940463015E-2</v>
      </c>
      <c r="AD140" s="12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8.0786681499301294E-2</v>
      </c>
      <c r="AE140" s="12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2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6.5101491683943843E-2</v>
      </c>
    </row>
    <row r="141" spans="4:32">
      <c r="D141" t="s">
        <v>6</v>
      </c>
      <c r="E141" t="str">
        <f>DEMANDS!$E$22</f>
        <v>TNAV</v>
      </c>
      <c r="F141">
        <v>2022</v>
      </c>
      <c r="G141" s="12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5.5728269531095408E-2</v>
      </c>
      <c r="H141" s="12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2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2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9.7133907856911061E-2</v>
      </c>
      <c r="K141" s="12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8.2906225751338283E-2</v>
      </c>
      <c r="L141" s="12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4.0008809817755578E-2</v>
      </c>
      <c r="M141" s="12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2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2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7.6312647033544068E-2</v>
      </c>
      <c r="P141" s="12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8.6893109082332359E-2</v>
      </c>
      <c r="Q141" s="12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2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2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2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2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2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2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2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2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2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3.1366484031026945E-2</v>
      </c>
      <c r="AA141" s="12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2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6.317932671634624E-2</v>
      </c>
      <c r="AC141" s="12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6.4149373704074003E-2</v>
      </c>
      <c r="AD141" s="12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7.4565387827596558E-2</v>
      </c>
      <c r="AE141" s="12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2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6.0088097264031193E-2</v>
      </c>
    </row>
    <row r="142" spans="4:32">
      <c r="D142" t="s">
        <v>6</v>
      </c>
      <c r="E142" t="str">
        <f>DEMANDS!$E$22</f>
        <v>TNAV</v>
      </c>
      <c r="F142">
        <v>2023</v>
      </c>
      <c r="G142" s="12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5.7438943999848627E-2</v>
      </c>
      <c r="H142" s="12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2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2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2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8.5451174031391519E-2</v>
      </c>
      <c r="L142" s="12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4.1236948607212297E-2</v>
      </c>
      <c r="M142" s="12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2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2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7.865519414691563E-2</v>
      </c>
      <c r="P142" s="12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8.9560441559519588E-2</v>
      </c>
      <c r="Q142" s="12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2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2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2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2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2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2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2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2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2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3.2329331861363629E-2</v>
      </c>
      <c r="AA142" s="12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2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6.5118724118707089E-2</v>
      </c>
      <c r="AC142" s="12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6.6118548356461804E-2</v>
      </c>
      <c r="AD142" s="12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7.6854299833704634E-2</v>
      </c>
      <c r="AE142" s="12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2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6.1932604095670425E-2</v>
      </c>
    </row>
    <row r="143" spans="4:32">
      <c r="D143" t="s">
        <v>6</v>
      </c>
      <c r="E143" t="str">
        <f>DEMANDS!$E$22</f>
        <v>TNAV</v>
      </c>
      <c r="F143">
        <v>2024</v>
      </c>
      <c r="G143" s="12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5.9248137110385589E-2</v>
      </c>
      <c r="H143" s="12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2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2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2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8.8142687220514493E-2</v>
      </c>
      <c r="L143" s="12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4.2535816555061966E-2</v>
      </c>
      <c r="M143" s="12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2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2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8.1132649779785918E-2</v>
      </c>
      <c r="P143" s="12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9.2381387116014471E-2</v>
      </c>
      <c r="Q143" s="12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2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2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2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2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2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2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2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2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2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3.3347630604320951E-2</v>
      </c>
      <c r="AA143" s="12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2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6.7169812436814608E-2</v>
      </c>
      <c r="AC143" s="12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6.8201128812076212E-2</v>
      </c>
      <c r="AD143" s="12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7.9275031485293607E-2</v>
      </c>
      <c r="AE143" s="12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2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6.3883337045214122E-2</v>
      </c>
    </row>
    <row r="144" spans="4:32">
      <c r="D144" t="s">
        <v>6</v>
      </c>
      <c r="E144" t="str">
        <f>DEMANDS!$E$22</f>
        <v>TNAV</v>
      </c>
      <c r="F144">
        <v>2025</v>
      </c>
      <c r="G144" s="12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6.1129511486040324E-2</v>
      </c>
      <c r="H144" s="12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2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2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2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9.0941583544108057E-2</v>
      </c>
      <c r="L144" s="12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4.3886505356722477E-2</v>
      </c>
      <c r="M144" s="12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2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2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8.3708948306105369E-2</v>
      </c>
      <c r="P144" s="12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9.5314879762098764E-2</v>
      </c>
      <c r="Q144" s="12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2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2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2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2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2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2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2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2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2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3.4406556348954558E-2</v>
      </c>
      <c r="AA144" s="12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2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6.9302732898106317E-2</v>
      </c>
      <c r="AC144" s="12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7.0366797850728177E-2</v>
      </c>
      <c r="AD144" s="12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8.1792342917175062E-2</v>
      </c>
      <c r="AE144" s="12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2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6.5911898266037938E-2</v>
      </c>
    </row>
    <row r="145" spans="4:32">
      <c r="D145" t="s">
        <v>6</v>
      </c>
      <c r="E145" t="str">
        <f>DEMANDS!$E$22</f>
        <v>TNAV</v>
      </c>
      <c r="F145">
        <v>2026</v>
      </c>
      <c r="G145" s="12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6.306938746827187E-2</v>
      </c>
      <c r="H145" s="12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2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2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2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9.3827511951103518E-2</v>
      </c>
      <c r="L145" s="12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4.5279194020773447E-2</v>
      </c>
      <c r="M145" s="12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2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2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8.63653572053317E-2</v>
      </c>
      <c r="P145" s="12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9.8339589783575154E-2</v>
      </c>
      <c r="Q145" s="12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2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2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2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2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2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2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2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2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2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3.549840954179212E-2</v>
      </c>
      <c r="AA145" s="12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2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7.1501976827656535E-2</v>
      </c>
      <c r="AC145" s="12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7.259980867935785E-2</v>
      </c>
      <c r="AD145" s="12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8.4387930509785034E-2</v>
      </c>
      <c r="AE145" s="12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2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6.8003537889540819E-2</v>
      </c>
    </row>
    <row r="146" spans="4:32">
      <c r="D146" t="s">
        <v>6</v>
      </c>
      <c r="E146" t="str">
        <f>DEMANDS!$E$22</f>
        <v>TNAV</v>
      </c>
      <c r="F146">
        <v>2027</v>
      </c>
      <c r="G146" s="12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6.5056469926175434E-2</v>
      </c>
      <c r="H146" s="12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2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2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2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9.6783668821353239E-2</v>
      </c>
      <c r="L146" s="12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4.6705773471730584E-2</v>
      </c>
      <c r="M146" s="12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2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2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8.9086409258669355E-2</v>
      </c>
      <c r="P146" s="12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2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2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2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2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2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2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2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2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2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2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3.6616832753361389E-2</v>
      </c>
      <c r="AA146" s="12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2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7.3754738897545649E-2</v>
      </c>
      <c r="AC146" s="12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7.4887159358742184E-2</v>
      </c>
      <c r="AD146" s="12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8.7046681182750343E-2</v>
      </c>
      <c r="AE146" s="12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2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7.0146077125135348E-2</v>
      </c>
    </row>
    <row r="147" spans="4:32">
      <c r="D147" t="s">
        <v>6</v>
      </c>
      <c r="E147" t="str">
        <f>DEMANDS!$E$22</f>
        <v>TNAV</v>
      </c>
      <c r="F147">
        <v>2028</v>
      </c>
      <c r="G147" s="12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6.7092784811801934E-2</v>
      </c>
      <c r="H147" s="12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2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2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2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9.9813068137518293E-2</v>
      </c>
      <c r="L147" s="12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4.8167698194561542E-2</v>
      </c>
      <c r="M147" s="12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2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2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9.1874878745044825E-2</v>
      </c>
      <c r="P147" s="12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2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2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2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2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2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2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2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2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2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2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3.7762966284504082E-2</v>
      </c>
      <c r="AA147" s="12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2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7.6063315936431994E-2</v>
      </c>
      <c r="AC147" s="12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7.7231181982741579E-2</v>
      </c>
      <c r="AD147" s="12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8.9771305694931275E-2</v>
      </c>
      <c r="AE147" s="12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2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7.234170042256155E-2</v>
      </c>
    </row>
    <row r="148" spans="4:32">
      <c r="D148" t="s">
        <v>6</v>
      </c>
      <c r="E148" t="str">
        <f>DEMANDS!$E$22</f>
        <v>TNAV</v>
      </c>
      <c r="F148">
        <v>2029</v>
      </c>
      <c r="G148" s="12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6.9179820213826335E-2</v>
      </c>
      <c r="H148" s="12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2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2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2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2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4.9666036527782634E-2</v>
      </c>
      <c r="M148" s="12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2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2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9.4732803409156824E-2</v>
      </c>
      <c r="P148" s="12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2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2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2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2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2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2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2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2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2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2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3.8937647701325372E-2</v>
      </c>
      <c r="AA148" s="12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2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7.8429394995454385E-2</v>
      </c>
      <c r="AC148" s="12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7.9633589505253843E-2</v>
      </c>
      <c r="AD148" s="12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9.256379513469469E-2</v>
      </c>
      <c r="AE148" s="12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2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7.459201228915098E-2</v>
      </c>
    </row>
    <row r="149" spans="4:32">
      <c r="D149" t="s">
        <v>6</v>
      </c>
      <c r="E149" t="str">
        <f>DEMANDS!$E$22</f>
        <v>TNAV</v>
      </c>
      <c r="F149">
        <v>2030</v>
      </c>
      <c r="G149" s="12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7.1311121771731364E-2</v>
      </c>
      <c r="H149" s="12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2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2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2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2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5.1196154713974089E-2</v>
      </c>
      <c r="M149" s="12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2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2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9.7651344840264706E-2</v>
      </c>
      <c r="P149" s="12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2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2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2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2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2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2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2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2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2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2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4.0137244186983868E-2</v>
      </c>
      <c r="AA149" s="12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2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8.0845658744372786E-2</v>
      </c>
      <c r="AC149" s="12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8.2086952246722744E-2</v>
      </c>
      <c r="AD149" s="12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9.5415513456112752E-2</v>
      </c>
      <c r="AE149" s="12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2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7.6890053415996307E-2</v>
      </c>
    </row>
    <row r="150" spans="4:32">
      <c r="D150" t="s">
        <v>6</v>
      </c>
      <c r="E150" t="str">
        <f>DEMANDS!$E$22</f>
        <v>TNAV</v>
      </c>
      <c r="F150">
        <v>2031</v>
      </c>
      <c r="G150" s="12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7.3477456164221563E-2</v>
      </c>
      <c r="H150" s="12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2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2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2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2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5.2751423905716029E-2</v>
      </c>
      <c r="M150" s="12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2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2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2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2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2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2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2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2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2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2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2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2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2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4.135655879516479E-2</v>
      </c>
      <c r="AA150" s="12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2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8.3301639335760527E-2</v>
      </c>
      <c r="AC150" s="12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8.4580641637783047E-2</v>
      </c>
      <c r="AD150" s="12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9.8314106315705502E-2</v>
      </c>
      <c r="AE150" s="12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2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7.9225868125077384E-2</v>
      </c>
    </row>
    <row r="151" spans="4:32">
      <c r="D151" t="s">
        <v>6</v>
      </c>
      <c r="E151" t="str">
        <f>DEMANDS!$E$22</f>
        <v>TNAV</v>
      </c>
      <c r="F151">
        <v>2032</v>
      </c>
      <c r="G151" s="12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7.5679468827348759E-2</v>
      </c>
      <c r="H151" s="12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2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2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2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2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5.433230747875048E-2</v>
      </c>
      <c r="M151" s="12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2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2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2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2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2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2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2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2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2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2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2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2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2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4.2595954807552329E-2</v>
      </c>
      <c r="AA151" s="12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2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8.5798068502641739E-2</v>
      </c>
      <c r="AC151" s="12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8.711540064639052E-2</v>
      </c>
      <c r="AD151" s="12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2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2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8.1600152347285029E-2</v>
      </c>
    </row>
    <row r="152" spans="4:32">
      <c r="D152" t="s">
        <v>6</v>
      </c>
      <c r="E152" t="str">
        <f>DEMANDS!$E$22</f>
        <v>TNAV</v>
      </c>
      <c r="F152">
        <v>2033</v>
      </c>
      <c r="G152" s="12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7.7909038024128477E-2</v>
      </c>
      <c r="H152" s="12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2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2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2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2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5.5932974621657416E-2</v>
      </c>
      <c r="M152" s="12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2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2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2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2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2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2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2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2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2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2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2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2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2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4.3850860929620934E-2</v>
      </c>
      <c r="AA152" s="12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2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8.8325738604464119E-2</v>
      </c>
      <c r="AC152" s="12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8.968188025910323E-2</v>
      </c>
      <c r="AD152" s="12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2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2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8.4004148952243923E-2</v>
      </c>
    </row>
    <row r="153" spans="4:32">
      <c r="D153" t="s">
        <v>6</v>
      </c>
      <c r="E153" t="str">
        <f>DEMANDS!$E$22</f>
        <v>TNAV</v>
      </c>
      <c r="F153">
        <v>2034</v>
      </c>
      <c r="G153" s="12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8.0159099815550555E-2</v>
      </c>
      <c r="H153" s="12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2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2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2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2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5.7548353944372146E-2</v>
      </c>
      <c r="M153" s="12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2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2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2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2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2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2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2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2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2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2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2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2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2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4.511730124516105E-2</v>
      </c>
      <c r="AA153" s="12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2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9.0876641229798674E-2</v>
      </c>
      <c r="AC153" s="12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9.2271949104407197E-2</v>
      </c>
      <c r="AD153" s="12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2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2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8.6430241362983704E-2</v>
      </c>
    </row>
    <row r="154" spans="4:32">
      <c r="D154" t="s">
        <v>6</v>
      </c>
      <c r="E154" t="str">
        <f>DEMANDS!$E$22</f>
        <v>TNAV</v>
      </c>
      <c r="F154">
        <v>2035</v>
      </c>
      <c r="G154" s="12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8.2425010647798155E-2</v>
      </c>
      <c r="H154" s="12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2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2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2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2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5.9175111715861928E-2</v>
      </c>
      <c r="M154" s="12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2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2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2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2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2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2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2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2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2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2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2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2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2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4.6392662144278278E-2</v>
      </c>
      <c r="AA154" s="12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2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9.3445511966055772E-2</v>
      </c>
      <c r="AC154" s="12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9.4880261940621394E-2</v>
      </c>
      <c r="AD154" s="12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2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2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8.8873422743373481E-2</v>
      </c>
    </row>
    <row r="155" spans="4:32">
      <c r="D155" t="s">
        <v>6</v>
      </c>
      <c r="E155" t="str">
        <f>DEMANDS!$E$22</f>
        <v>TNAV</v>
      </c>
      <c r="F155">
        <v>2036</v>
      </c>
      <c r="G155" s="12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8.4705569292664151E-2</v>
      </c>
      <c r="H155" s="12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2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2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2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2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6.0812385542384925E-2</v>
      </c>
      <c r="M155" s="12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2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2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2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2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2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2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2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2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2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2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2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2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2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4.767626751939396E-2</v>
      </c>
      <c r="AA155" s="12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2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9.6030988976774354E-2</v>
      </c>
      <c r="AC155" s="12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9.7505436021828679E-2</v>
      </c>
      <c r="AD155" s="12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2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2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9.1332397888700248E-2</v>
      </c>
    </row>
    <row r="156" spans="4:32">
      <c r="D156" t="s">
        <v>6</v>
      </c>
      <c r="E156" t="str">
        <f>DEMANDS!$E$22</f>
        <v>TNAV</v>
      </c>
      <c r="F156">
        <v>2037</v>
      </c>
      <c r="G156" s="12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8.6992187864904508E-2</v>
      </c>
      <c r="H156" s="12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2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2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2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2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6.245400995226303E-2</v>
      </c>
      <c r="M156" s="12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2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2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2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2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2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2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2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2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2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2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2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2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2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4.8963283705877311E-2</v>
      </c>
      <c r="AA156" s="12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2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9.8623336147551463E-2</v>
      </c>
      <c r="AC156" s="12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2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2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2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9.3797907051834287E-2</v>
      </c>
    </row>
    <row r="157" spans="4:32">
      <c r="D157" t="s">
        <v>6</v>
      </c>
      <c r="E157" t="str">
        <f>DEMANDS!$E$22</f>
        <v>TNAV</v>
      </c>
      <c r="F157">
        <v>2038</v>
      </c>
      <c r="G157" s="12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8.9289366488102359E-2</v>
      </c>
      <c r="H157" s="12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2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2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2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2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6.4103215704141847E-2</v>
      </c>
      <c r="M157" s="12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2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2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2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2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2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2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2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2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2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2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2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2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2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5.0256243584359567E-2</v>
      </c>
      <c r="AA157" s="12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2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2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2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2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2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9.6274802417597338E-2</v>
      </c>
    </row>
    <row r="158" spans="4:32">
      <c r="D158" t="s">
        <v>6</v>
      </c>
      <c r="E158" t="str">
        <f>DEMANDS!$E$22</f>
        <v>TNAV</v>
      </c>
      <c r="F158">
        <v>2039</v>
      </c>
      <c r="G158" s="12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9.160334437742404E-2</v>
      </c>
      <c r="H158" s="12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2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2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2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2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6.5764482096860283E-2</v>
      </c>
      <c r="M158" s="12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2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2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2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2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2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2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2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2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2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2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2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2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2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5.1558658877787253E-2</v>
      </c>
      <c r="AA158" s="12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2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2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2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2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2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9.8769811317932873E-2</v>
      </c>
    </row>
    <row r="159" spans="4:32">
      <c r="D159" t="s">
        <v>6</v>
      </c>
      <c r="E159" t="str">
        <f>DEMANDS!$E$22</f>
        <v>TNAV</v>
      </c>
      <c r="F159">
        <v>2040</v>
      </c>
      <c r="G159" s="12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9.3941042041646661E-2</v>
      </c>
      <c r="H159" s="12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2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2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2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2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6.7442777548096342E-2</v>
      </c>
      <c r="M159" s="12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2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2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2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2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2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2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2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2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2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2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2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2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2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5.2874424773107102E-2</v>
      </c>
      <c r="AA159" s="12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2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2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2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2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2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>
      <c r="D160" t="s">
        <v>6</v>
      </c>
      <c r="E160" t="str">
        <f>DEMANDS!$E$22</f>
        <v>TNAV</v>
      </c>
      <c r="F160">
        <v>2045</v>
      </c>
      <c r="G160" s="12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2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2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2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2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2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7.6257175269666425E-2</v>
      </c>
      <c r="M160" s="12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2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2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2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2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2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2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2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2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2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2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2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2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2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5.9784819424588347E-2</v>
      </c>
      <c r="AA160" s="12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2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2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2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2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2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>
      <c r="D161" t="s">
        <v>6</v>
      </c>
      <c r="E161" t="str">
        <f>DEMANDS!$E$22</f>
        <v>TNAV</v>
      </c>
      <c r="F161">
        <v>2050</v>
      </c>
      <c r="G161" s="12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2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2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2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2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2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8.6172309194747512E-2</v>
      </c>
      <c r="M161" s="12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2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2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2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2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2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2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2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2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2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2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2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2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2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6.7558179625584094E-2</v>
      </c>
      <c r="AA161" s="12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2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2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2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2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2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>
      <c r="D162" t="s">
        <v>6</v>
      </c>
      <c r="E162" t="str">
        <f>DEMANDS!$E$22</f>
        <v>TNAV</v>
      </c>
      <c r="F162">
        <v>2055</v>
      </c>
      <c r="G162" s="12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2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2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2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2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2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9.8008096955664536E-2</v>
      </c>
      <c r="M162" s="12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2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2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2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2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2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2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2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2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2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2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2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2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2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7.6837312133861607E-2</v>
      </c>
      <c r="AA162" s="12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2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2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2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2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2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>
      <c r="D163" t="s">
        <v>6</v>
      </c>
      <c r="E163" t="str">
        <f>DEMANDS!$E$22</f>
        <v>TNAV</v>
      </c>
      <c r="F163">
        <v>2060</v>
      </c>
      <c r="G163" s="12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2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2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2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2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2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2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2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2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2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2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2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2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2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2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2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2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2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2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2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8.8079558316279061E-2</v>
      </c>
      <c r="AA163" s="12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2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2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2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2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2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>
      <c r="D164" t="s">
        <v>6</v>
      </c>
      <c r="E164" t="str">
        <f>DEMANDS!$E$22</f>
        <v>TNAV</v>
      </c>
      <c r="F164">
        <v>2065</v>
      </c>
      <c r="G164" s="12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2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2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2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2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2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2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2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2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2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2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2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2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2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2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2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2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2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2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2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8.9375201926544134E-2</v>
      </c>
      <c r="AA164" s="12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2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2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2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2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2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>
      <c r="D165" t="s">
        <v>6</v>
      </c>
      <c r="E165" t="str">
        <f>DEMANDS!$E$22</f>
        <v>TNAV</v>
      </c>
      <c r="F165">
        <v>2070</v>
      </c>
      <c r="G165" s="11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1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1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1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1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1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1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1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1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1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1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1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1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1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1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1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1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1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1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1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9.6272107650165306E-2</v>
      </c>
      <c r="AA165" s="11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1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1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1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1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1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>
      <c r="D166" s="13" t="s">
        <v>6</v>
      </c>
      <c r="E166" s="13" t="str">
        <f>DEMANDS!$E$23</f>
        <v>TOTH</v>
      </c>
      <c r="F166" s="13">
        <v>2020</v>
      </c>
      <c r="G166" s="14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14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14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14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14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14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14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14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14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14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14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14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14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14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14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14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14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14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14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14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14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14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14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14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14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14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>
      <c r="D167" t="s">
        <v>6</v>
      </c>
      <c r="E167" t="str">
        <f>DEMANDS!$E$23</f>
        <v>TOTH</v>
      </c>
      <c r="F167">
        <v>2021</v>
      </c>
      <c r="G167" s="12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2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2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2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2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2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2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2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2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2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2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2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2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2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2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2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2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2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2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2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2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2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2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2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2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2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>
      <c r="D168" t="s">
        <v>6</v>
      </c>
      <c r="E168" t="str">
        <f>DEMANDS!$E$23</f>
        <v>TOTH</v>
      </c>
      <c r="F168">
        <v>2022</v>
      </c>
      <c r="G168" s="12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2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2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2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2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2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2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2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2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2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2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2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2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2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2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2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2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2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2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2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8.8566788282448461E-2</v>
      </c>
      <c r="AA168" s="12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2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2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2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2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2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>
      <c r="D169" t="s">
        <v>6</v>
      </c>
      <c r="E169" t="str">
        <f>DEMANDS!$E$23</f>
        <v>TOTH</v>
      </c>
      <c r="F169">
        <v>2023</v>
      </c>
      <c r="G169" s="12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2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2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2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2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2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2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2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2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2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2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2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2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2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2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2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2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2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2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2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8.4021775338419175E-2</v>
      </c>
      <c r="AA169" s="12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2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2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2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2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2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>
      <c r="D170" t="s">
        <v>6</v>
      </c>
      <c r="E170" t="str">
        <f>DEMANDS!$E$23</f>
        <v>TOTH</v>
      </c>
      <c r="F170">
        <v>2024</v>
      </c>
      <c r="G170" s="12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2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2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2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2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2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9.5129518846607586E-2</v>
      </c>
      <c r="M170" s="12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2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2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2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2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2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2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2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2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2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2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2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2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2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7.4580537320986892E-2</v>
      </c>
      <c r="AA170" s="12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2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2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2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2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2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>
      <c r="D171" t="s">
        <v>6</v>
      </c>
      <c r="E171" t="str">
        <f>DEMANDS!$E$23</f>
        <v>TOTH</v>
      </c>
      <c r="F171">
        <v>2025</v>
      </c>
      <c r="G171" s="12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2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2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2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2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2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7.4477305087502652E-2</v>
      </c>
      <c r="M171" s="12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2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2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2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2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2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2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2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2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2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2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2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2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2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5.8389420013797308E-2</v>
      </c>
      <c r="AA171" s="12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2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2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2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2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2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>
      <c r="D172" t="s">
        <v>6</v>
      </c>
      <c r="E172" t="str">
        <f>DEMANDS!$E$23</f>
        <v>TOTH</v>
      </c>
      <c r="F172">
        <v>2026</v>
      </c>
      <c r="G172" s="12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6.7512263556394739E-2</v>
      </c>
      <c r="H172" s="12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2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2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2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2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4.8468853164134948E-2</v>
      </c>
      <c r="M172" s="12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2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2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9.2449300553644559E-2</v>
      </c>
      <c r="P172" s="12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2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2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2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2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2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2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2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2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2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2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3.7999068597644958E-2</v>
      </c>
      <c r="AA172" s="12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2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7.6538880400898457E-2</v>
      </c>
      <c r="AC172" s="12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7.7714048200806893E-2</v>
      </c>
      <c r="AD172" s="12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9.0332575505373575E-2</v>
      </c>
      <c r="AE172" s="12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2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7.2793996533985397E-2</v>
      </c>
    </row>
    <row r="173" spans="4:32">
      <c r="D173" t="s">
        <v>6</v>
      </c>
      <c r="E173" t="str">
        <f>DEMANDS!$E$23</f>
        <v>TOTH</v>
      </c>
      <c r="F173">
        <v>2027</v>
      </c>
      <c r="G173" s="12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3.6157878336715514E-2</v>
      </c>
      <c r="H173" s="12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2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2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6.3022879630242432E-2</v>
      </c>
      <c r="K173" s="12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5.3791607909168759E-2</v>
      </c>
      <c r="L173" s="12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2.5958704441378801E-2</v>
      </c>
      <c r="M173" s="12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8.1855055005080696E-2</v>
      </c>
      <c r="N173" s="12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2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4.9513531107438336E-2</v>
      </c>
      <c r="P173" s="12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5.6378396331592737E-2</v>
      </c>
      <c r="Q173" s="12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9.5089402450813765E-2</v>
      </c>
      <c r="R173" s="12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9.0455030951077001E-2</v>
      </c>
      <c r="S173" s="12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7.5461438739786682E-2</v>
      </c>
      <c r="T173" s="12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2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9.3809663027493301E-2</v>
      </c>
      <c r="V173" s="12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2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2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7.3784122701578456E-2</v>
      </c>
      <c r="Y173" s="12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2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2.0351349916070346E-2</v>
      </c>
      <c r="AA173" s="12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8.288583271428622E-2</v>
      </c>
      <c r="AB173" s="12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4.0992308356723302E-2</v>
      </c>
      <c r="AC173" s="12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4.1621698812559824E-2</v>
      </c>
      <c r="AD173" s="12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4.8379866159236319E-2</v>
      </c>
      <c r="AE173" s="12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2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3.898664230270539E-2</v>
      </c>
    </row>
    <row r="174" spans="4:32">
      <c r="D174" t="s">
        <v>6</v>
      </c>
      <c r="E174" t="str">
        <f>DEMANDS!$E$23</f>
        <v>TOTH</v>
      </c>
      <c r="F174">
        <v>2028</v>
      </c>
      <c r="G174" s="12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1.6682980621878174E-2</v>
      </c>
      <c r="H174" s="12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2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6.5201115722096345E-2</v>
      </c>
      <c r="J174" s="12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2.9078295740009464E-2</v>
      </c>
      <c r="K174" s="12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2.4819054481332408E-2</v>
      </c>
      <c r="L174" s="12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1.1977156378803288E-2</v>
      </c>
      <c r="M174" s="12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3.7767323727783186E-2</v>
      </c>
      <c r="N174" s="12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5.7154417066212528E-2</v>
      </c>
      <c r="O174" s="12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2.2845181132969943E-2</v>
      </c>
      <c r="P174" s="12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2.6012579740815819E-2</v>
      </c>
      <c r="Q174" s="12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4.3873554849098016E-2</v>
      </c>
      <c r="R174" s="12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4.1735289732856791E-2</v>
      </c>
      <c r="S174" s="12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3.4817355943049653E-2</v>
      </c>
      <c r="T174" s="12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2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4.3283092438624396E-2</v>
      </c>
      <c r="V174" s="12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5.7111927215334812E-2</v>
      </c>
      <c r="W174" s="12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4.6754366738609811E-2</v>
      </c>
      <c r="X174" s="12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3.404345459016582E-2</v>
      </c>
      <c r="Y174" s="12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7.561962715732154E-2</v>
      </c>
      <c r="Z174" s="12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9.3899640105295206E-3</v>
      </c>
      <c r="AA174" s="12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3.824291702415971E-2</v>
      </c>
      <c r="AB174" s="12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1.8913551276233176E-2</v>
      </c>
      <c r="AC174" s="12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1.9203947429473553E-2</v>
      </c>
      <c r="AD174" s="12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2.2322116416992069E-2</v>
      </c>
      <c r="AE174" s="12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4.6648581661596925E-2</v>
      </c>
      <c r="AF174" s="12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1.7988151627461108E-2</v>
      </c>
    </row>
    <row r="175" spans="4:32">
      <c r="D175" t="s">
        <v>6</v>
      </c>
      <c r="E175" t="str">
        <f>DEMANDS!$E$23</f>
        <v>TOTH</v>
      </c>
      <c r="F175">
        <v>2029</v>
      </c>
      <c r="G175" s="12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6.9594444650572761E-3</v>
      </c>
      <c r="H175" s="12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2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2.7199189054540631E-2</v>
      </c>
      <c r="J175" s="12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1.2130253515712871E-2</v>
      </c>
      <c r="K175" s="12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1.0353475512136522E-2</v>
      </c>
      <c r="L175" s="12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4.9963706460389055E-3</v>
      </c>
      <c r="M175" s="12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1.5754953987817823E-2</v>
      </c>
      <c r="N175" s="12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2.3842441618819529E-2</v>
      </c>
      <c r="O175" s="12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9.5300577871905157E-3</v>
      </c>
      <c r="P175" s="12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1.085136452545378E-2</v>
      </c>
      <c r="Q175" s="12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1.8302219212346434E-2</v>
      </c>
      <c r="R175" s="12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1.741022409077117E-2</v>
      </c>
      <c r="S175" s="12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1.4524350330301269E-2</v>
      </c>
      <c r="T175" s="12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6.63609164943567E-2</v>
      </c>
      <c r="U175" s="12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1.8055902894685182E-2</v>
      </c>
      <c r="V175" s="12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2.3824716623255832E-2</v>
      </c>
      <c r="W175" s="12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1.9503973911566178E-2</v>
      </c>
      <c r="X175" s="12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1.4201510928344247E-2</v>
      </c>
      <c r="Y175" s="12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3.1545357966762923E-2</v>
      </c>
      <c r="Z175" s="12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3.9171017782318619E-3</v>
      </c>
      <c r="AA175" s="12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1.5953351696782692E-2</v>
      </c>
      <c r="AB175" s="12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7.8899456114778638E-3</v>
      </c>
      <c r="AC175" s="12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8.0110867880546863E-3</v>
      </c>
      <c r="AD175" s="12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9.3118569797337753E-3</v>
      </c>
      <c r="AE175" s="12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1.9459844784679971E-2</v>
      </c>
      <c r="AF175" s="12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7.5039074322350678E-3</v>
      </c>
    </row>
    <row r="176" spans="4:32">
      <c r="D176" t="s">
        <v>6</v>
      </c>
      <c r="E176" t="str">
        <f>DEMANDS!$E$23</f>
        <v>TOTH</v>
      </c>
      <c r="F176">
        <v>2030</v>
      </c>
      <c r="G176" s="12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2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2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2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2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2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2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2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2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2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2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2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2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2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2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2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2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2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2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2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2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2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2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2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2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2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>
      <c r="D177" t="s">
        <v>6</v>
      </c>
      <c r="E177" t="str">
        <f>DEMANDS!$E$23</f>
        <v>TOTH</v>
      </c>
      <c r="F177">
        <v>2031</v>
      </c>
      <c r="G177" s="12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2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2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2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2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2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2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2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2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2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2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2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2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2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2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2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2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2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2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2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2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2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2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2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2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2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>
      <c r="D178" t="s">
        <v>6</v>
      </c>
      <c r="E178" t="str">
        <f>DEMANDS!$E$23</f>
        <v>TOTH</v>
      </c>
      <c r="F178">
        <v>2032</v>
      </c>
      <c r="G178" s="12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2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2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2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2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2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2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2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2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2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2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2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2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2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2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2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2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2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2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2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2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2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2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2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2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2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>
      <c r="D179" t="s">
        <v>6</v>
      </c>
      <c r="E179" t="str">
        <f>DEMANDS!$E$23</f>
        <v>TOTH</v>
      </c>
      <c r="F179">
        <v>2033</v>
      </c>
      <c r="G179" s="12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2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2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2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2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2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2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2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2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2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2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2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2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2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2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2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2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2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2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2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2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2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2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2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2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2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>
      <c r="D180" t="s">
        <v>6</v>
      </c>
      <c r="E180" t="str">
        <f>DEMANDS!$E$23</f>
        <v>TOTH</v>
      </c>
      <c r="F180">
        <v>2034</v>
      </c>
      <c r="G180" s="12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2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2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2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2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2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2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2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2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2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2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2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2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2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2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2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2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2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2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2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2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2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2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2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2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2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>
      <c r="D181" t="s">
        <v>6</v>
      </c>
      <c r="E181" t="str">
        <f>DEMANDS!$E$23</f>
        <v>TOTH</v>
      </c>
      <c r="F181">
        <v>2035</v>
      </c>
      <c r="G181" s="12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2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2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2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2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2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2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2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2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2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2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2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2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2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2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2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2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2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2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2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2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2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2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2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2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2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>
      <c r="D182" t="s">
        <v>6</v>
      </c>
      <c r="E182" t="str">
        <f>DEMANDS!$E$23</f>
        <v>TOTH</v>
      </c>
      <c r="F182">
        <v>2036</v>
      </c>
      <c r="G182" s="12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2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2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2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2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2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2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2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2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2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2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2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2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2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2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2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2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2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2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2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2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2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2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2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2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2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>
      <c r="D183" t="s">
        <v>6</v>
      </c>
      <c r="E183" t="str">
        <f>DEMANDS!$E$23</f>
        <v>TOTH</v>
      </c>
      <c r="F183">
        <v>2037</v>
      </c>
      <c r="G183" s="12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2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2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2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2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2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2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2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2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2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2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2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2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2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2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2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2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2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2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2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2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2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2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2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2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2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>
      <c r="D184" t="s">
        <v>6</v>
      </c>
      <c r="E184" t="str">
        <f>DEMANDS!$E$23</f>
        <v>TOTH</v>
      </c>
      <c r="F184">
        <v>2038</v>
      </c>
      <c r="G184" s="12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2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2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2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2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2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2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2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2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2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2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2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2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2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2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2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2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2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2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2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2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2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2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2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2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2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>
      <c r="D185" t="s">
        <v>6</v>
      </c>
      <c r="E185" t="str">
        <f>DEMANDS!$E$23</f>
        <v>TOTH</v>
      </c>
      <c r="F185">
        <v>2039</v>
      </c>
      <c r="G185" s="12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2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2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2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2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2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2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2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2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2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2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2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2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2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2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2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2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2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2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2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2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2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2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2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2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2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>
      <c r="D186" t="s">
        <v>6</v>
      </c>
      <c r="E186" t="str">
        <f>DEMANDS!$E$23</f>
        <v>TOTH</v>
      </c>
      <c r="F186">
        <v>2040</v>
      </c>
      <c r="G186" s="12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2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2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2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2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2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2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2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2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2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2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2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2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2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2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2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2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2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2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2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2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2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2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2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2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2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>
      <c r="D187" t="s">
        <v>6</v>
      </c>
      <c r="E187" t="str">
        <f>DEMANDS!$E$23</f>
        <v>TOTH</v>
      </c>
      <c r="F187">
        <v>2045</v>
      </c>
      <c r="G187" s="12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2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2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2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2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2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2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2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2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2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2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2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2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2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2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2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2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2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2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2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2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2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2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2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2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2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>
      <c r="D188" t="s">
        <v>6</v>
      </c>
      <c r="E188" t="str">
        <f>DEMANDS!$E$23</f>
        <v>TOTH</v>
      </c>
      <c r="F188">
        <v>2050</v>
      </c>
      <c r="G188" s="12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2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2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2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2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2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2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2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2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2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2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2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2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2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2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2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2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2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2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2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2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2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2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2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2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2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>
      <c r="D189" t="s">
        <v>6</v>
      </c>
      <c r="E189" t="str">
        <f>DEMANDS!$E$23</f>
        <v>TOTH</v>
      </c>
      <c r="F189">
        <v>2055</v>
      </c>
      <c r="G189" s="12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2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2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2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2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2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2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2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2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2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2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2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2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2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2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2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2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2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2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2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2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2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2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2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2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2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>
      <c r="D190" t="s">
        <v>6</v>
      </c>
      <c r="E190" t="str">
        <f>DEMANDS!$E$23</f>
        <v>TOTH</v>
      </c>
      <c r="F190">
        <v>2060</v>
      </c>
      <c r="G190" s="12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2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2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2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2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2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2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2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2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2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2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2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2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2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2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2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2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2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2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2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2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2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2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2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2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2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>
      <c r="D191" t="s">
        <v>6</v>
      </c>
      <c r="E191" t="str">
        <f>DEMANDS!$E$23</f>
        <v>TOTH</v>
      </c>
      <c r="F191">
        <v>2065</v>
      </c>
      <c r="G191" s="12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2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2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2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2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2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2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2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2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2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2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2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2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2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2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2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2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2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2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2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2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2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2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2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2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2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>
      <c r="D192" t="s">
        <v>6</v>
      </c>
      <c r="E192" t="str">
        <f>DEMANDS!$E$23</f>
        <v>TOTH</v>
      </c>
      <c r="F192">
        <v>2070</v>
      </c>
      <c r="G192" s="11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1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1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1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1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1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1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1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1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1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1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1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1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1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1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1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1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1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1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1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1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1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1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1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1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1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>
      <c r="D193" s="13" t="s">
        <v>6</v>
      </c>
      <c r="E193" s="13" t="str">
        <f>DEMANDS!$E$24</f>
        <v>TAVIDOM</v>
      </c>
      <c r="F193" s="13">
        <v>2020</v>
      </c>
      <c r="G193" s="13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14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6.4093592729048743E-2</v>
      </c>
      <c r="I193" s="13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3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3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3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3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3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3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3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3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3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14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2.2382134926061514E-2</v>
      </c>
      <c r="T193" s="14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2.2177930432032186E-4</v>
      </c>
      <c r="U193" s="14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2.2262535129606249E-2</v>
      </c>
      <c r="V193" s="13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3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3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3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3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1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4.4355860864064419E-5</v>
      </c>
      <c r="AB193" s="13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3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3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3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3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>
      <c r="D194" t="s">
        <v>6</v>
      </c>
      <c r="E194" t="str">
        <f>DEMANDS!$E$24</f>
        <v>TAVIDOM</v>
      </c>
      <c r="F194">
        <v>2021</v>
      </c>
      <c r="G194" s="29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2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6.9928010319333211E-2</v>
      </c>
      <c r="I194" s="29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29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29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29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29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29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29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29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29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29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2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2.4419572931335776E-2</v>
      </c>
      <c r="T194" s="12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2.4196779772804261E-4</v>
      </c>
      <c r="U194" s="12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2.4289086006752381E-2</v>
      </c>
      <c r="V194" s="29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29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29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29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29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29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4.839355954560858E-5</v>
      </c>
      <c r="AB194" s="29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29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29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29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29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>
      <c r="D195" t="s">
        <v>6</v>
      </c>
      <c r="E195" t="str">
        <f>DEMANDS!$E$24</f>
        <v>TAVIDOM</v>
      </c>
      <c r="F195">
        <v>2022</v>
      </c>
      <c r="G195" s="29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2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29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29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29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29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29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29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29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29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29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29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2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4.6779068407982807E-2</v>
      </c>
      <c r="T195" s="12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4.6352277307537207E-4</v>
      </c>
      <c r="U195" s="12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4.6529102661710439E-2</v>
      </c>
      <c r="V195" s="29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29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29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29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29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29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9.2704554615074527E-5</v>
      </c>
      <c r="AB195" s="29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29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29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29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29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>
      <c r="D196" t="s">
        <v>6</v>
      </c>
      <c r="E196" t="str">
        <f>DEMANDS!$E$24</f>
        <v>TAVIDOM</v>
      </c>
      <c r="F196">
        <v>2023</v>
      </c>
      <c r="G196" s="29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2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29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29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29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29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29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29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29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29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29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29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2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4.6779068407982807E-2</v>
      </c>
      <c r="T196" s="12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4.6352277307537207E-4</v>
      </c>
      <c r="U196" s="12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4.6529102661710439E-2</v>
      </c>
      <c r="V196" s="29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29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29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29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29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29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9.2704554615074527E-5</v>
      </c>
      <c r="AB196" s="29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29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29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29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29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>
      <c r="D197" t="s">
        <v>6</v>
      </c>
      <c r="E197" t="str">
        <f>DEMANDS!$E$24</f>
        <v>TAVIDOM</v>
      </c>
      <c r="F197">
        <v>2024</v>
      </c>
      <c r="G197" s="29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2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29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29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29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29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29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29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29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29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29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29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2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4.6779068407982807E-2</v>
      </c>
      <c r="T197" s="12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4.6352277307537207E-4</v>
      </c>
      <c r="U197" s="12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4.6529102661710439E-2</v>
      </c>
      <c r="V197" s="29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29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29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29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29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29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9.2704554615074527E-5</v>
      </c>
      <c r="AB197" s="29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29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29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29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29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>
      <c r="D198" t="s">
        <v>6</v>
      </c>
      <c r="E198" t="str">
        <f>DEMANDS!$E$24</f>
        <v>TAVIDOM</v>
      </c>
      <c r="F198">
        <v>2025</v>
      </c>
      <c r="G198" s="29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2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29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29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29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29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29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29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29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29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29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29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2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4.6779068407982807E-2</v>
      </c>
      <c r="T198" s="12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4.6352277307537207E-4</v>
      </c>
      <c r="U198" s="12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4.6529102661710439E-2</v>
      </c>
      <c r="V198" s="29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29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29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29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29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29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9.2704554615074527E-5</v>
      </c>
      <c r="AB198" s="29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29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29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29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29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>
      <c r="D199" t="s">
        <v>6</v>
      </c>
      <c r="E199" t="str">
        <f>DEMANDS!$E$24</f>
        <v>TAVIDOM</v>
      </c>
      <c r="F199">
        <v>2026</v>
      </c>
      <c r="G199" s="29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2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29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29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29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29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29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29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29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29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29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29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2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4.6779068407982807E-2</v>
      </c>
      <c r="T199" s="12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4.6352277307537207E-4</v>
      </c>
      <c r="U199" s="12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4.6529102661710439E-2</v>
      </c>
      <c r="V199" s="29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29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29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29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29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29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9.2704554615074527E-5</v>
      </c>
      <c r="AB199" s="29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29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29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29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29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>
      <c r="D200" t="s">
        <v>6</v>
      </c>
      <c r="E200" t="str">
        <f>DEMANDS!$E$24</f>
        <v>TAVIDOM</v>
      </c>
      <c r="F200">
        <v>2027</v>
      </c>
      <c r="G200" s="29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2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29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29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29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29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29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29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29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29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29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29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2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4.6779068407982807E-2</v>
      </c>
      <c r="T200" s="12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4.6352277307537207E-4</v>
      </c>
      <c r="U200" s="12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4.6529102661710439E-2</v>
      </c>
      <c r="V200" s="29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29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29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29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29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29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9.2704554615074527E-5</v>
      </c>
      <c r="AB200" s="29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29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29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29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29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>
      <c r="D201" t="s">
        <v>6</v>
      </c>
      <c r="E201" t="str">
        <f>DEMANDS!$E$24</f>
        <v>TAVIDOM</v>
      </c>
      <c r="F201">
        <v>2028</v>
      </c>
      <c r="G201" s="29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2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29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29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29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29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29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29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29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29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29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29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2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4.6779068407982807E-2</v>
      </c>
      <c r="T201" s="12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4.6352277307537207E-4</v>
      </c>
      <c r="U201" s="12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4.6529102661710439E-2</v>
      </c>
      <c r="V201" s="29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29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29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29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29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29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9.2704554615074527E-5</v>
      </c>
      <c r="AB201" s="29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29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29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29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29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>
      <c r="D202" t="s">
        <v>6</v>
      </c>
      <c r="E202" t="str">
        <f>DEMANDS!$E$24</f>
        <v>TAVIDOM</v>
      </c>
      <c r="F202">
        <v>2029</v>
      </c>
      <c r="G202" s="29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2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29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29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29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29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29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29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29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29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29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29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2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4.6779068407982807E-2</v>
      </c>
      <c r="T202" s="12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4.6352277307537207E-4</v>
      </c>
      <c r="U202" s="12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4.6529102661710439E-2</v>
      </c>
      <c r="V202" s="29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29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29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29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29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29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9.2704554615074527E-5</v>
      </c>
      <c r="AB202" s="29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29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29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29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29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>
      <c r="D203" t="s">
        <v>6</v>
      </c>
      <c r="E203" t="str">
        <f>DEMANDS!$E$24</f>
        <v>TAVIDOM</v>
      </c>
      <c r="F203">
        <v>2030</v>
      </c>
      <c r="G203" s="29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2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29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29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29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29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29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29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29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29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29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29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2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4.6779068407982807E-2</v>
      </c>
      <c r="T203" s="12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4.6352277307537207E-4</v>
      </c>
      <c r="U203" s="12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4.6529102661710439E-2</v>
      </c>
      <c r="V203" s="29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29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29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29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29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29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9.2704554615074527E-5</v>
      </c>
      <c r="AB203" s="29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29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29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29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29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>
      <c r="D204" t="s">
        <v>6</v>
      </c>
      <c r="E204" t="str">
        <f>DEMANDS!$E$24</f>
        <v>TAVIDOM</v>
      </c>
      <c r="F204">
        <v>2031</v>
      </c>
      <c r="G204" s="29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2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29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29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29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29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29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29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29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29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29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29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2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4.6779068407982807E-2</v>
      </c>
      <c r="T204" s="12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4.6352277307537207E-4</v>
      </c>
      <c r="U204" s="12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4.6529102661710439E-2</v>
      </c>
      <c r="V204" s="29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29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29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29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29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29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9.2704554615074527E-5</v>
      </c>
      <c r="AB204" s="29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29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29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29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29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>
      <c r="D205" t="s">
        <v>6</v>
      </c>
      <c r="E205" t="str">
        <f>DEMANDS!$E$24</f>
        <v>TAVIDOM</v>
      </c>
      <c r="F205">
        <v>2032</v>
      </c>
      <c r="G205" s="29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2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29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29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29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29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29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29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29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29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29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29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2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4.6779068407982807E-2</v>
      </c>
      <c r="T205" s="12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4.6352277307537207E-4</v>
      </c>
      <c r="U205" s="12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4.6529102661710439E-2</v>
      </c>
      <c r="V205" s="29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29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29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29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29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29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9.2704554615074527E-5</v>
      </c>
      <c r="AB205" s="29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29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29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29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29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>
      <c r="D206" t="s">
        <v>6</v>
      </c>
      <c r="E206" t="str">
        <f>DEMANDS!$E$24</f>
        <v>TAVIDOM</v>
      </c>
      <c r="F206">
        <v>2033</v>
      </c>
      <c r="G206" s="29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2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29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29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29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29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29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29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29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29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29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29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2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4.6779068407982807E-2</v>
      </c>
      <c r="T206" s="12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4.6352277307537207E-4</v>
      </c>
      <c r="U206" s="12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4.6529102661710439E-2</v>
      </c>
      <c r="V206" s="29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29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29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29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29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29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9.2704554615074527E-5</v>
      </c>
      <c r="AB206" s="29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29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29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29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29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>
      <c r="D207" t="s">
        <v>6</v>
      </c>
      <c r="E207" t="str">
        <f>DEMANDS!$E$24</f>
        <v>TAVIDOM</v>
      </c>
      <c r="F207">
        <v>2034</v>
      </c>
      <c r="G207" s="29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2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29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29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29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29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29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29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29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29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29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29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2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4.6779068407982807E-2</v>
      </c>
      <c r="T207" s="12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4.6352277307537207E-4</v>
      </c>
      <c r="U207" s="12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4.6529102661710439E-2</v>
      </c>
      <c r="V207" s="29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29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29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29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29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29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9.2704554615074527E-5</v>
      </c>
      <c r="AB207" s="29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29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29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29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29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>
      <c r="D208" t="s">
        <v>6</v>
      </c>
      <c r="E208" t="str">
        <f>DEMANDS!$E$24</f>
        <v>TAVIDOM</v>
      </c>
      <c r="F208">
        <v>2035</v>
      </c>
      <c r="G208" s="29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2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29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29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29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29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29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29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29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29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29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29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2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4.6779068407982807E-2</v>
      </c>
      <c r="T208" s="12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4.6352277307537207E-4</v>
      </c>
      <c r="U208" s="12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4.6529102661710439E-2</v>
      </c>
      <c r="V208" s="29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29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29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29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29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29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9.2704554615074527E-5</v>
      </c>
      <c r="AB208" s="29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29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29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29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29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>
      <c r="D209" t="s">
        <v>6</v>
      </c>
      <c r="E209" t="str">
        <f>DEMANDS!$E$24</f>
        <v>TAVIDOM</v>
      </c>
      <c r="F209">
        <v>2036</v>
      </c>
      <c r="G209" s="29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2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29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29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29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29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29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29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29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29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29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29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2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4.6779068407982807E-2</v>
      </c>
      <c r="T209" s="12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4.6352277307537207E-4</v>
      </c>
      <c r="U209" s="12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4.6529102661710439E-2</v>
      </c>
      <c r="V209" s="29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29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29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29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29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29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9.2704554615074527E-5</v>
      </c>
      <c r="AB209" s="29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29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29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29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29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>
      <c r="D210" t="s">
        <v>6</v>
      </c>
      <c r="E210" t="str">
        <f>DEMANDS!$E$24</f>
        <v>TAVIDOM</v>
      </c>
      <c r="F210">
        <v>2037</v>
      </c>
      <c r="G210" s="29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2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29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29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29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29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29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29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29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29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29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29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2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4.6779068407982807E-2</v>
      </c>
      <c r="T210" s="12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4.6352277307537207E-4</v>
      </c>
      <c r="U210" s="12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4.6529102661710439E-2</v>
      </c>
      <c r="V210" s="29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29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29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29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29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29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9.2704554615074527E-5</v>
      </c>
      <c r="AB210" s="29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29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29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29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29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>
      <c r="D211" t="s">
        <v>6</v>
      </c>
      <c r="E211" t="str">
        <f>DEMANDS!$E$24</f>
        <v>TAVIDOM</v>
      </c>
      <c r="F211">
        <v>2038</v>
      </c>
      <c r="G211" s="29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2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29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29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29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29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29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29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29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29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29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29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2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4.6779068407982807E-2</v>
      </c>
      <c r="T211" s="12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4.6352277307537207E-4</v>
      </c>
      <c r="U211" s="12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4.6529102661710439E-2</v>
      </c>
      <c r="V211" s="29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29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29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29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29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29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9.2704554615074527E-5</v>
      </c>
      <c r="AB211" s="29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29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29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29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29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>
      <c r="D212" t="s">
        <v>6</v>
      </c>
      <c r="E212" t="str">
        <f>DEMANDS!$E$24</f>
        <v>TAVIDOM</v>
      </c>
      <c r="F212">
        <v>2039</v>
      </c>
      <c r="G212" s="29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2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29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29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29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29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29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29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29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29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29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29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2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4.6779068407982807E-2</v>
      </c>
      <c r="T212" s="12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4.6352277307537207E-4</v>
      </c>
      <c r="U212" s="12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4.6529102661710439E-2</v>
      </c>
      <c r="V212" s="29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29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29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29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29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29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9.2704554615074527E-5</v>
      </c>
      <c r="AB212" s="29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29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29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29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29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2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29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29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29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29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29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29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29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29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29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29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2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4.6779068407982807E-2</v>
      </c>
      <c r="T213" s="12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4.6352277307537207E-4</v>
      </c>
      <c r="U213" s="12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4.6529102661710439E-2</v>
      </c>
      <c r="V213" s="29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29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29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29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29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29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9.2704554615074527E-5</v>
      </c>
      <c r="AB213" s="29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29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29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29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29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2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29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29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29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29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29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29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29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29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29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29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2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4.6779068407982807E-2</v>
      </c>
      <c r="T214" s="12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4.6352277307537207E-4</v>
      </c>
      <c r="U214" s="12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4.6529102661710439E-2</v>
      </c>
      <c r="V214" s="29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29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29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29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29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29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9.2704554615074527E-5</v>
      </c>
      <c r="AB214" s="29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29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29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29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29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2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29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29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29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29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29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29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29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29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29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29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2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4.6779068407982807E-2</v>
      </c>
      <c r="T215" s="12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4.6352277307537207E-4</v>
      </c>
      <c r="U215" s="12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4.6529102661710439E-2</v>
      </c>
      <c r="V215" s="29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29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29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29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29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29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9.2704554615074527E-5</v>
      </c>
      <c r="AB215" s="29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29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29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29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29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2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29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29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29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29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29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29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29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29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29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29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2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4.6779068407982807E-2</v>
      </c>
      <c r="T216" s="12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4.6352277307537207E-4</v>
      </c>
      <c r="U216" s="12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4.6529102661710439E-2</v>
      </c>
      <c r="V216" s="29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29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29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29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29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29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9.2704554615074527E-5</v>
      </c>
      <c r="AB216" s="29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29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29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29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29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2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29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29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29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29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29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29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29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29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29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29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2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4.6779068407982807E-2</v>
      </c>
      <c r="T217" s="12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4.6352277307537207E-4</v>
      </c>
      <c r="U217" s="12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4.6529102661710439E-2</v>
      </c>
      <c r="V217" s="29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29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29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29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29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29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9.2704554615074527E-5</v>
      </c>
      <c r="AB217" s="29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29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29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29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29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2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29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29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29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29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29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29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29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29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29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29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2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4.6779068407982807E-2</v>
      </c>
      <c r="T218" s="12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4.6352277307537207E-4</v>
      </c>
      <c r="U218" s="12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4.6529102661710439E-2</v>
      </c>
      <c r="V218" s="29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29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29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29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29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29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9.2704554615074527E-5</v>
      </c>
      <c r="AB218" s="29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29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29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29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29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>
      <c r="D219" t="s">
        <v>6</v>
      </c>
      <c r="E219" t="str">
        <f>DEMANDS!$E$24</f>
        <v>TAVIDOM</v>
      </c>
      <c r="F219">
        <v>2070</v>
      </c>
      <c r="G219" s="10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1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0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0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0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0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0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0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0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0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0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0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1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4.6779068407982807E-2</v>
      </c>
      <c r="T219" s="11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4.6352277307537207E-4</v>
      </c>
      <c r="U219" s="11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4.6529102661710439E-2</v>
      </c>
      <c r="V219" s="30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0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0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0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0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0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9.2704554615074527E-5</v>
      </c>
      <c r="AB219" s="30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0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0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0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0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>
      <c r="D220" s="13" t="s">
        <v>6</v>
      </c>
      <c r="E220" s="13" t="str">
        <f>DEMANDS!$E$25</f>
        <v>TAVIINT</v>
      </c>
      <c r="F220" s="13">
        <v>2020</v>
      </c>
      <c r="G220" s="13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14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1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1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1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1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1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1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1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1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1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1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14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14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14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8.7025700566917275E-2</v>
      </c>
      <c r="V220" s="31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1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1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1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1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14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1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1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1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1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1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>
      <c r="D221" t="s">
        <v>6</v>
      </c>
      <c r="E221" t="str">
        <f>DEMANDS!$E$25</f>
        <v>TAVIINT</v>
      </c>
      <c r="F221">
        <v>2021</v>
      </c>
      <c r="G221" s="29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2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29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29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29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29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29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29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29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29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29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29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2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2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2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9.7498019177564163E-2</v>
      </c>
      <c r="V221" s="29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29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29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29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29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2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29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29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29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29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29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>
      <c r="D222" t="s">
        <v>6</v>
      </c>
      <c r="E222" t="str">
        <f>DEMANDS!$E$25</f>
        <v>TAVIINT</v>
      </c>
      <c r="F222">
        <v>2022</v>
      </c>
      <c r="G222" s="29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2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29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29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29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29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29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29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29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29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29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29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2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2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2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29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29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29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29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29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2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29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29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29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29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29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>
      <c r="D223" t="s">
        <v>6</v>
      </c>
      <c r="E223" t="str">
        <f>DEMANDS!$E$25</f>
        <v>TAVIINT</v>
      </c>
      <c r="F223">
        <v>2023</v>
      </c>
      <c r="G223" s="29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2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29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29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29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29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29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29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29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29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29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29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2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2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2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29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29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29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29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29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2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29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29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29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29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29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>
      <c r="D224" t="s">
        <v>6</v>
      </c>
      <c r="E224" t="str">
        <f>DEMANDS!$E$25</f>
        <v>TAVIINT</v>
      </c>
      <c r="F224">
        <v>2024</v>
      </c>
      <c r="G224" s="29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2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29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29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29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29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29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29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29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29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29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29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2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2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2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29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29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29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29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29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2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29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29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29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29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29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>
      <c r="D225" t="s">
        <v>6</v>
      </c>
      <c r="E225" t="str">
        <f>DEMANDS!$E$25</f>
        <v>TAVIINT</v>
      </c>
      <c r="F225">
        <v>2025</v>
      </c>
      <c r="G225" s="29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2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29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29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29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29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29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29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29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29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29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29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2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2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2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29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29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29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29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29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2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29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29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29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29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29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>
      <c r="D226" t="s">
        <v>6</v>
      </c>
      <c r="E226" t="str">
        <f>DEMANDS!$E$25</f>
        <v>TAVIINT</v>
      </c>
      <c r="F226">
        <v>2026</v>
      </c>
      <c r="G226" s="29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2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29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29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29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29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29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29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29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29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29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29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2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2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2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29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29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29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29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29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2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29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29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29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29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29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>
      <c r="D227" t="s">
        <v>6</v>
      </c>
      <c r="E227" t="str">
        <f>DEMANDS!$E$25</f>
        <v>TAVIINT</v>
      </c>
      <c r="F227">
        <v>2027</v>
      </c>
      <c r="G227" s="29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2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29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29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29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29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29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29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29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29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29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29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2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2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2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29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29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29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29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29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2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29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29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29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29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29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>
      <c r="D228" t="s">
        <v>6</v>
      </c>
      <c r="E228" t="str">
        <f>DEMANDS!$E$25</f>
        <v>TAVIINT</v>
      </c>
      <c r="F228">
        <v>2028</v>
      </c>
      <c r="G228" s="29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2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29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29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29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29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29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29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29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29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29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29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2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2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2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29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29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29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29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29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2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29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29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29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29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29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>
      <c r="D229" t="s">
        <v>6</v>
      </c>
      <c r="E229" t="str">
        <f>DEMANDS!$E$25</f>
        <v>TAVIINT</v>
      </c>
      <c r="F229">
        <v>2029</v>
      </c>
      <c r="G229" s="29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2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29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29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29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29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29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29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29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29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29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29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2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2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2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29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29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29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29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29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2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29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29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29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29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29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>
      <c r="D230" t="s">
        <v>6</v>
      </c>
      <c r="E230" t="str">
        <f>DEMANDS!$E$25</f>
        <v>TAVIINT</v>
      </c>
      <c r="F230">
        <v>2030</v>
      </c>
      <c r="G230" s="29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2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29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29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29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29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29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29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29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29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29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29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2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2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2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29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29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29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29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29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2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29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29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29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29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29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>
      <c r="D231" t="s">
        <v>6</v>
      </c>
      <c r="E231" t="str">
        <f>DEMANDS!$E$25</f>
        <v>TAVIINT</v>
      </c>
      <c r="F231">
        <v>2031</v>
      </c>
      <c r="G231" s="29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2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29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29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29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29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29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29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29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29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29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29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2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2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2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29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29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29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29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29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2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29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29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29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29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29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>
      <c r="D232" t="s">
        <v>6</v>
      </c>
      <c r="E232" t="str">
        <f>DEMANDS!$E$25</f>
        <v>TAVIINT</v>
      </c>
      <c r="F232">
        <v>2032</v>
      </c>
      <c r="G232" s="29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2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29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29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29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29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29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29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29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29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29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29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2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2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2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29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29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29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29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29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2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29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29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29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29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29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>
      <c r="D233" t="s">
        <v>6</v>
      </c>
      <c r="E233" t="str">
        <f>DEMANDS!$E$25</f>
        <v>TAVIINT</v>
      </c>
      <c r="F233">
        <v>2033</v>
      </c>
      <c r="G233" s="29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2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29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29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29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29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29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29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29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29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29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29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2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2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2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29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29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29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29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29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2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29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29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29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29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29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>
      <c r="D234" t="s">
        <v>6</v>
      </c>
      <c r="E234" t="str">
        <f>DEMANDS!$E$25</f>
        <v>TAVIINT</v>
      </c>
      <c r="F234">
        <v>2034</v>
      </c>
      <c r="G234" s="29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2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29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29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29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29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29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29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29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29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29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29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2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2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2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29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29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29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29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29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2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29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29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29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29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29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>
      <c r="D235" t="s">
        <v>6</v>
      </c>
      <c r="E235" t="str">
        <f>DEMANDS!$E$25</f>
        <v>TAVIINT</v>
      </c>
      <c r="F235">
        <v>2035</v>
      </c>
      <c r="G235" s="29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2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29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29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29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29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29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29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29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29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29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29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2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2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2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29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29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29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29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29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2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29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29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29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29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29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>
      <c r="D236" t="s">
        <v>6</v>
      </c>
      <c r="E236" t="str">
        <f>DEMANDS!$E$25</f>
        <v>TAVIINT</v>
      </c>
      <c r="F236">
        <v>2036</v>
      </c>
      <c r="G236" s="29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2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29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29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29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29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29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29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29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29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29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29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2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2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2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29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29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29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29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29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2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29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29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29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29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29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>
      <c r="D237" t="s">
        <v>6</v>
      </c>
      <c r="E237" t="str">
        <f>DEMANDS!$E$25</f>
        <v>TAVIINT</v>
      </c>
      <c r="F237">
        <v>2037</v>
      </c>
      <c r="G237" s="29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2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29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29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29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29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29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29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29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29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29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29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2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2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2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29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29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29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29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29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2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29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29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29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29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29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>
      <c r="D238" t="s">
        <v>6</v>
      </c>
      <c r="E238" t="str">
        <f>DEMANDS!$E$25</f>
        <v>TAVIINT</v>
      </c>
      <c r="F238">
        <v>2038</v>
      </c>
      <c r="G238" s="29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2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29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29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29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29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29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29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29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29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29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29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2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2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2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29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29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29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29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29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2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29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29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29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29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29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>
      <c r="D239" t="s">
        <v>6</v>
      </c>
      <c r="E239" t="str">
        <f>DEMANDS!$E$25</f>
        <v>TAVIINT</v>
      </c>
      <c r="F239">
        <v>2039</v>
      </c>
      <c r="G239" s="29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2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29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29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29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29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29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29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29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29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29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29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2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2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2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29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29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29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29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29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2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29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29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29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29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29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2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29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29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29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29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29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29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29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29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29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29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2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2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2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2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2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29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29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29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29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29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29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29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29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29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29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2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2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2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2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2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29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29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29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29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29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29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29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29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29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29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2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2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2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2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2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29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29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29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29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29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29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29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29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29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29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2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2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2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2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2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29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29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29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29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29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29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29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29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29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29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2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2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2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2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2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29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29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29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29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29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29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29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29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29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29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2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2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2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2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>
      <c r="D246" s="10" t="s">
        <v>6</v>
      </c>
      <c r="E246" s="10" t="str">
        <f>DEMANDS!$E$25</f>
        <v>TAVIINT</v>
      </c>
      <c r="F246" s="10">
        <v>2070</v>
      </c>
      <c r="G246" s="10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1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0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0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0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0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0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0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0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0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0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0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1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1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1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0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0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0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0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0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1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0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0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0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0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0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91"/>
  <sheetViews>
    <sheetView tabSelected="1" zoomScale="77" zoomScaleNormal="85" workbookViewId="0">
      <selection activeCell="U20" sqref="U20"/>
    </sheetView>
  </sheetViews>
  <sheetFormatPr defaultRowHeight="14.5"/>
  <cols>
    <col min="2" max="2" width="9.54296875" customWidth="1"/>
    <col min="3" max="4" width="10.7265625" bestFit="1" customWidth="1"/>
    <col min="5" max="5" width="11.453125" bestFit="1" customWidth="1"/>
    <col min="6" max="6" width="48.54296875" bestFit="1" customWidth="1"/>
    <col min="7" max="89" width="8.7265625" customWidth="1"/>
  </cols>
  <sheetData>
    <row r="1" spans="2:89">
      <c r="B1" t="s">
        <v>0</v>
      </c>
      <c r="C1" t="s">
        <v>1</v>
      </c>
      <c r="G1" s="26"/>
      <c r="H1" s="26"/>
      <c r="I1" s="26"/>
      <c r="J1" s="26"/>
    </row>
    <row r="2" spans="2:89" ht="15" thickBot="1">
      <c r="B2" s="47" t="s">
        <v>2</v>
      </c>
      <c r="C2" s="47" t="s">
        <v>3</v>
      </c>
      <c r="D2" s="47" t="s">
        <v>4</v>
      </c>
      <c r="E2" s="47" t="s">
        <v>5</v>
      </c>
      <c r="F2" s="47" t="s">
        <v>59</v>
      </c>
      <c r="G2" s="47">
        <v>2018</v>
      </c>
      <c r="H2" s="47">
        <v>2019</v>
      </c>
      <c r="I2" s="47">
        <v>2020</v>
      </c>
      <c r="J2" s="47">
        <v>2021</v>
      </c>
      <c r="K2" s="47">
        <v>2022</v>
      </c>
      <c r="L2" s="47">
        <v>2023</v>
      </c>
      <c r="M2" s="47">
        <v>2024</v>
      </c>
      <c r="N2" s="47">
        <v>2025</v>
      </c>
      <c r="O2" s="47">
        <v>2026</v>
      </c>
      <c r="P2" s="47">
        <v>2027</v>
      </c>
      <c r="Q2" s="47">
        <v>2028</v>
      </c>
      <c r="R2" s="47">
        <v>2029</v>
      </c>
      <c r="S2" s="47">
        <v>2030</v>
      </c>
      <c r="T2" s="47">
        <v>2031</v>
      </c>
      <c r="U2" s="47">
        <v>2032</v>
      </c>
      <c r="V2" s="47">
        <v>2033</v>
      </c>
      <c r="W2" s="47">
        <v>2034</v>
      </c>
      <c r="X2" s="47">
        <v>2035</v>
      </c>
      <c r="Y2" s="47">
        <v>2036</v>
      </c>
      <c r="Z2" s="47">
        <v>2037</v>
      </c>
      <c r="AA2" s="47">
        <v>2038</v>
      </c>
      <c r="AB2" s="47">
        <v>2039</v>
      </c>
      <c r="AC2" s="47">
        <v>2040</v>
      </c>
      <c r="AD2" s="47">
        <v>2041</v>
      </c>
      <c r="AE2" s="47">
        <v>2042</v>
      </c>
      <c r="AF2" s="47">
        <v>2043</v>
      </c>
      <c r="AG2" s="47">
        <v>2044</v>
      </c>
      <c r="AH2" s="47">
        <v>2045</v>
      </c>
      <c r="AI2" s="47">
        <v>2046</v>
      </c>
      <c r="AJ2" s="47">
        <v>2047</v>
      </c>
      <c r="AK2" s="47">
        <v>2048</v>
      </c>
      <c r="AL2" s="47">
        <v>2049</v>
      </c>
      <c r="AM2" s="47">
        <v>2050</v>
      </c>
      <c r="AN2" s="47">
        <v>2051</v>
      </c>
      <c r="AO2" s="47">
        <v>2052</v>
      </c>
      <c r="AP2" s="47">
        <v>2053</v>
      </c>
      <c r="AQ2" s="47">
        <v>2054</v>
      </c>
      <c r="AR2" s="47">
        <v>2055</v>
      </c>
      <c r="AS2" s="47">
        <v>2056</v>
      </c>
      <c r="AT2" s="47">
        <v>2057</v>
      </c>
      <c r="AU2" s="47">
        <v>2058</v>
      </c>
      <c r="AV2" s="47">
        <v>2059</v>
      </c>
      <c r="AW2" s="47">
        <v>2060</v>
      </c>
      <c r="AX2" s="47">
        <v>2061</v>
      </c>
      <c r="AY2" s="47">
        <v>2062</v>
      </c>
      <c r="AZ2" s="47">
        <v>2063</v>
      </c>
      <c r="BA2" s="47">
        <v>2064</v>
      </c>
      <c r="BB2" s="47">
        <v>2065</v>
      </c>
      <c r="BC2" s="47">
        <v>2066</v>
      </c>
      <c r="BD2" s="47">
        <v>2067</v>
      </c>
      <c r="BE2" s="47">
        <v>2068</v>
      </c>
      <c r="BF2" s="47">
        <v>2069</v>
      </c>
      <c r="BG2" s="47">
        <v>2070</v>
      </c>
      <c r="BH2" s="47">
        <v>2071</v>
      </c>
      <c r="BI2" s="47">
        <v>2072</v>
      </c>
      <c r="BJ2" s="47">
        <v>2073</v>
      </c>
      <c r="BK2" s="47">
        <v>2074</v>
      </c>
      <c r="BL2" s="47">
        <v>2075</v>
      </c>
      <c r="BM2" s="47">
        <v>2076</v>
      </c>
      <c r="BN2" s="47">
        <v>2077</v>
      </c>
      <c r="BO2" s="47">
        <v>2078</v>
      </c>
      <c r="BP2" s="47">
        <v>2079</v>
      </c>
      <c r="BQ2" s="47">
        <v>2080</v>
      </c>
      <c r="BR2" s="47">
        <v>2081</v>
      </c>
      <c r="BS2" s="47">
        <v>2082</v>
      </c>
      <c r="BT2" s="47">
        <v>2083</v>
      </c>
      <c r="BU2" s="47">
        <v>2084</v>
      </c>
      <c r="BV2" s="47">
        <v>2085</v>
      </c>
      <c r="BW2" s="47">
        <v>2086</v>
      </c>
      <c r="BX2" s="47">
        <v>2087</v>
      </c>
      <c r="BY2" s="47">
        <v>2088</v>
      </c>
      <c r="BZ2" s="47">
        <v>2089</v>
      </c>
      <c r="CA2" s="47">
        <v>2090</v>
      </c>
      <c r="CB2" s="47">
        <v>2091</v>
      </c>
      <c r="CC2" s="47">
        <v>2092</v>
      </c>
      <c r="CD2" s="47">
        <v>2093</v>
      </c>
      <c r="CE2" s="47">
        <v>2094</v>
      </c>
      <c r="CF2" s="47">
        <v>2095</v>
      </c>
      <c r="CG2" s="47">
        <v>2096</v>
      </c>
      <c r="CH2" s="47">
        <v>2097</v>
      </c>
      <c r="CI2" s="47">
        <v>2098</v>
      </c>
      <c r="CJ2" s="47">
        <v>2099</v>
      </c>
      <c r="CK2" s="47">
        <v>2100</v>
      </c>
    </row>
    <row r="3" spans="2:89">
      <c r="C3" t="s">
        <v>6</v>
      </c>
      <c r="D3" t="str">
        <f>_xlfn.TEXTJOIN(",",TRUE,Regions!$C$3,Regions!$D$3)</f>
        <v>IE,National</v>
      </c>
      <c r="E3" t="s">
        <v>211</v>
      </c>
      <c r="F3" s="28"/>
      <c r="G3" s="45">
        <v>0.52</v>
      </c>
      <c r="H3" s="46">
        <f t="shared" ref="H3:H16" si="0">+G3</f>
        <v>0.52</v>
      </c>
      <c r="I3" s="46">
        <f t="shared" ref="I3:BT3" si="1">+H3</f>
        <v>0.52</v>
      </c>
      <c r="J3" s="46">
        <f t="shared" si="1"/>
        <v>0.52</v>
      </c>
      <c r="K3" s="46">
        <f>+J3*1.03</f>
        <v>0.53560000000000008</v>
      </c>
      <c r="L3" s="46">
        <f>+$G3*$S75/N$75</f>
        <v>0.52031048066744945</v>
      </c>
      <c r="M3" s="46">
        <f t="shared" ref="M3:AM3" si="2">+$G3*$S75/O$75</f>
        <v>0.57552712115213422</v>
      </c>
      <c r="N3" s="46">
        <f t="shared" si="2"/>
        <v>0.59393282387080037</v>
      </c>
      <c r="O3" s="46">
        <f t="shared" si="2"/>
        <v>0.54872724250312699</v>
      </c>
      <c r="P3" s="46">
        <f t="shared" si="2"/>
        <v>0.56901991557894804</v>
      </c>
      <c r="Q3" s="46">
        <f t="shared" si="2"/>
        <v>0.52</v>
      </c>
      <c r="R3" s="46">
        <f t="shared" si="2"/>
        <v>0.50021373796340851</v>
      </c>
      <c r="S3" s="46">
        <f t="shared" si="2"/>
        <v>0.48118035316793367</v>
      </c>
      <c r="T3" s="46">
        <f t="shared" si="2"/>
        <v>0.46287119825516376</v>
      </c>
      <c r="U3" s="46">
        <f t="shared" si="2"/>
        <v>0.46280190249824266</v>
      </c>
      <c r="V3" s="46">
        <f t="shared" si="2"/>
        <v>0.46273261711548602</v>
      </c>
      <c r="W3" s="46">
        <f t="shared" si="2"/>
        <v>0.46266334210534077</v>
      </c>
      <c r="X3" s="46">
        <f t="shared" si="2"/>
        <v>0.46259407746625392</v>
      </c>
      <c r="Y3" s="46">
        <f t="shared" si="2"/>
        <v>0.46252482319667293</v>
      </c>
      <c r="Z3" s="46">
        <f t="shared" si="2"/>
        <v>0.45846644646921919</v>
      </c>
      <c r="AA3" s="46">
        <f t="shared" si="2"/>
        <v>0.45444367955303594</v>
      </c>
      <c r="AB3" s="46">
        <f t="shared" si="2"/>
        <v>0.45045620999347835</v>
      </c>
      <c r="AC3" s="46">
        <f t="shared" si="2"/>
        <v>0.44650372807750305</v>
      </c>
      <c r="AD3" s="46">
        <f t="shared" si="2"/>
        <v>0.44258592680961184</v>
      </c>
      <c r="AE3" s="46">
        <f t="shared" si="2"/>
        <v>0.43963703725074732</v>
      </c>
      <c r="AF3" s="46">
        <f t="shared" si="2"/>
        <v>0.43670779574010038</v>
      </c>
      <c r="AG3" s="46">
        <f t="shared" si="2"/>
        <v>0.43379807136541026</v>
      </c>
      <c r="AH3" s="46">
        <f t="shared" si="2"/>
        <v>0.43090773408666683</v>
      </c>
      <c r="AI3" s="46">
        <f t="shared" si="2"/>
        <v>0.42803665473029867</v>
      </c>
      <c r="AJ3" s="46">
        <f t="shared" si="2"/>
        <v>0.42580871407245813</v>
      </c>
      <c r="AK3" s="46">
        <f t="shared" si="2"/>
        <v>0.42359236989711507</v>
      </c>
      <c r="AL3" s="46">
        <f t="shared" si="2"/>
        <v>0.4213875618443107</v>
      </c>
      <c r="AM3" s="46">
        <f t="shared" si="2"/>
        <v>0.41919422986826116</v>
      </c>
      <c r="AN3" s="46">
        <f t="shared" si="1"/>
        <v>0.41919422986826116</v>
      </c>
      <c r="AO3" s="46">
        <f t="shared" si="1"/>
        <v>0.41919422986826116</v>
      </c>
      <c r="AP3" s="46">
        <f t="shared" si="1"/>
        <v>0.41919422986826116</v>
      </c>
      <c r="AQ3" s="46">
        <f t="shared" si="1"/>
        <v>0.41919422986826116</v>
      </c>
      <c r="AR3" s="46">
        <f t="shared" si="1"/>
        <v>0.41919422986826116</v>
      </c>
      <c r="AS3" s="46">
        <f t="shared" si="1"/>
        <v>0.41919422986826116</v>
      </c>
      <c r="AT3" s="46">
        <f t="shared" si="1"/>
        <v>0.41919422986826116</v>
      </c>
      <c r="AU3" s="46">
        <f t="shared" si="1"/>
        <v>0.41919422986826116</v>
      </c>
      <c r="AV3" s="46">
        <f t="shared" si="1"/>
        <v>0.41919422986826116</v>
      </c>
      <c r="AW3" s="46">
        <f t="shared" si="1"/>
        <v>0.41919422986826116</v>
      </c>
      <c r="AX3" s="46">
        <f t="shared" si="1"/>
        <v>0.41919422986826116</v>
      </c>
      <c r="AY3" s="46">
        <f t="shared" si="1"/>
        <v>0.41919422986826116</v>
      </c>
      <c r="AZ3" s="46">
        <f t="shared" si="1"/>
        <v>0.41919422986826116</v>
      </c>
      <c r="BA3" s="46">
        <f t="shared" si="1"/>
        <v>0.41919422986826116</v>
      </c>
      <c r="BB3" s="46">
        <f t="shared" si="1"/>
        <v>0.41919422986826116</v>
      </c>
      <c r="BC3" s="46">
        <f t="shared" si="1"/>
        <v>0.41919422986826116</v>
      </c>
      <c r="BD3" s="46">
        <f t="shared" si="1"/>
        <v>0.41919422986826116</v>
      </c>
      <c r="BE3" s="46">
        <f t="shared" si="1"/>
        <v>0.41919422986826116</v>
      </c>
      <c r="BF3" s="46">
        <f t="shared" si="1"/>
        <v>0.41919422986826116</v>
      </c>
      <c r="BG3" s="46">
        <f t="shared" si="1"/>
        <v>0.41919422986826116</v>
      </c>
      <c r="BH3" s="46">
        <f t="shared" si="1"/>
        <v>0.41919422986826116</v>
      </c>
      <c r="BI3" s="46">
        <f t="shared" si="1"/>
        <v>0.41919422986826116</v>
      </c>
      <c r="BJ3" s="46">
        <f t="shared" si="1"/>
        <v>0.41919422986826116</v>
      </c>
      <c r="BK3" s="46">
        <f t="shared" si="1"/>
        <v>0.41919422986826116</v>
      </c>
      <c r="BL3" s="46">
        <f t="shared" si="1"/>
        <v>0.41919422986826116</v>
      </c>
      <c r="BM3" s="46">
        <f t="shared" si="1"/>
        <v>0.41919422986826116</v>
      </c>
      <c r="BN3" s="46">
        <f t="shared" si="1"/>
        <v>0.41919422986826116</v>
      </c>
      <c r="BO3" s="46">
        <f t="shared" si="1"/>
        <v>0.41919422986826116</v>
      </c>
      <c r="BP3" s="46">
        <f t="shared" si="1"/>
        <v>0.41919422986826116</v>
      </c>
      <c r="BQ3" s="46">
        <f t="shared" si="1"/>
        <v>0.41919422986826116</v>
      </c>
      <c r="BR3" s="46">
        <f t="shared" si="1"/>
        <v>0.41919422986826116</v>
      </c>
      <c r="BS3" s="46">
        <f t="shared" si="1"/>
        <v>0.41919422986826116</v>
      </c>
      <c r="BT3" s="46">
        <f t="shared" si="1"/>
        <v>0.41919422986826116</v>
      </c>
      <c r="BU3" s="46">
        <f t="shared" ref="BU3:CK3" si="3">+BT3</f>
        <v>0.41919422986826116</v>
      </c>
      <c r="BV3" s="46">
        <f t="shared" si="3"/>
        <v>0.41919422986826116</v>
      </c>
      <c r="BW3" s="46">
        <f t="shared" si="3"/>
        <v>0.41919422986826116</v>
      </c>
      <c r="BX3" s="46">
        <f t="shared" si="3"/>
        <v>0.41919422986826116</v>
      </c>
      <c r="BY3" s="46">
        <f t="shared" si="3"/>
        <v>0.41919422986826116</v>
      </c>
      <c r="BZ3" s="46">
        <f t="shared" si="3"/>
        <v>0.41919422986826116</v>
      </c>
      <c r="CA3" s="46">
        <f t="shared" si="3"/>
        <v>0.41919422986826116</v>
      </c>
      <c r="CB3" s="46">
        <f t="shared" si="3"/>
        <v>0.41919422986826116</v>
      </c>
      <c r="CC3" s="46">
        <f t="shared" si="3"/>
        <v>0.41919422986826116</v>
      </c>
      <c r="CD3" s="46">
        <f t="shared" si="3"/>
        <v>0.41919422986826116</v>
      </c>
      <c r="CE3" s="46">
        <f t="shared" si="3"/>
        <v>0.41919422986826116</v>
      </c>
      <c r="CF3" s="46">
        <f t="shared" si="3"/>
        <v>0.41919422986826116</v>
      </c>
      <c r="CG3" s="46">
        <f t="shared" si="3"/>
        <v>0.41919422986826116</v>
      </c>
      <c r="CH3" s="46">
        <f t="shared" si="3"/>
        <v>0.41919422986826116</v>
      </c>
      <c r="CI3" s="46">
        <f t="shared" si="3"/>
        <v>0.41919422986826116</v>
      </c>
      <c r="CJ3" s="46">
        <f t="shared" si="3"/>
        <v>0.41919422986826116</v>
      </c>
      <c r="CK3" s="46">
        <f t="shared" si="3"/>
        <v>0.41919422986826116</v>
      </c>
    </row>
    <row r="4" spans="2:89">
      <c r="C4" t="s">
        <v>6</v>
      </c>
      <c r="D4" t="str">
        <f>_xlfn.TEXTJOIN(",",TRUE,Regions!$C$3,Regions!$D$3)</f>
        <v>IE,National</v>
      </c>
      <c r="E4" t="s">
        <v>17</v>
      </c>
      <c r="F4" s="28"/>
      <c r="G4" s="45">
        <f t="shared" ref="G4:G12" si="4">+K56</f>
        <v>5.7</v>
      </c>
      <c r="H4" s="46">
        <f t="shared" si="0"/>
        <v>5.7</v>
      </c>
      <c r="I4" s="46">
        <f t="shared" ref="I4:BT4" si="5">+H4</f>
        <v>5.7</v>
      </c>
      <c r="J4" s="46">
        <f t="shared" si="5"/>
        <v>5.7</v>
      </c>
      <c r="K4" s="46">
        <f t="shared" ref="K4:K12" si="6">+J4*1.03</f>
        <v>5.8710000000000004</v>
      </c>
      <c r="L4" s="46">
        <f>+$G4*$S73/N$73</f>
        <v>6.3936770363908364</v>
      </c>
      <c r="M4" s="46">
        <f t="shared" ref="M4:AM4" si="7">+$G4*$S73/O$73</f>
        <v>6.266042757717015</v>
      </c>
      <c r="N4" s="46">
        <f t="shared" si="7"/>
        <v>6.4438678067896671</v>
      </c>
      <c r="O4" s="46">
        <f t="shared" si="7"/>
        <v>6.5722596491328815</v>
      </c>
      <c r="P4" s="46">
        <f t="shared" si="7"/>
        <v>5.7338875023601394</v>
      </c>
      <c r="Q4" s="46">
        <f t="shared" si="7"/>
        <v>5.7</v>
      </c>
      <c r="R4" s="46">
        <f t="shared" si="7"/>
        <v>5.6656886754820768</v>
      </c>
      <c r="S4" s="46">
        <f t="shared" si="7"/>
        <v>5.6309559140515937</v>
      </c>
      <c r="T4" s="46">
        <f t="shared" si="7"/>
        <v>5.5958044161927232</v>
      </c>
      <c r="U4" s="46">
        <f t="shared" si="7"/>
        <v>5.560237201240092</v>
      </c>
      <c r="V4" s="46">
        <f t="shared" si="7"/>
        <v>5.5242576125160046</v>
      </c>
      <c r="W4" s="46">
        <f t="shared" si="7"/>
        <v>5.4878693203822655</v>
      </c>
      <c r="X4" s="46">
        <f t="shared" si="7"/>
        <v>5.4510763248805425</v>
      </c>
      <c r="Y4" s="46">
        <f t="shared" si="7"/>
        <v>5.4138987174831641</v>
      </c>
      <c r="Z4" s="46">
        <f t="shared" si="7"/>
        <v>5.376323082210031</v>
      </c>
      <c r="AA4" s="46">
        <f t="shared" si="7"/>
        <v>5.3383542853457682</v>
      </c>
      <c r="AB4" s="46">
        <f t="shared" si="7"/>
        <v>5.29999752740639</v>
      </c>
      <c r="AC4" s="46">
        <f t="shared" si="7"/>
        <v>5.2612583463270308</v>
      </c>
      <c r="AD4" s="46">
        <f t="shared" si="7"/>
        <v>5.2221426153495152</v>
      </c>
      <c r="AE4" s="46">
        <f t="shared" si="7"/>
        <v>5.1826565429143709</v>
      </c>
      <c r="AF4" s="46">
        <f t="shared" si="7"/>
        <v>5.1428066717077519</v>
      </c>
      <c r="AG4" s="46">
        <f t="shared" si="7"/>
        <v>5.1025998775850434</v>
      </c>
      <c r="AH4" s="46">
        <f t="shared" si="7"/>
        <v>5.0620433658628121</v>
      </c>
      <c r="AI4" s="46">
        <f t="shared" si="7"/>
        <v>5.0211446684944034</v>
      </c>
      <c r="AJ4" s="46">
        <f t="shared" si="7"/>
        <v>4.9799116417325244</v>
      </c>
      <c r="AK4" s="46">
        <f t="shared" si="7"/>
        <v>4.9383524596043635</v>
      </c>
      <c r="AL4" s="46">
        <f t="shared" si="7"/>
        <v>4.8964756103255471</v>
      </c>
      <c r="AM4" s="46">
        <f t="shared" si="7"/>
        <v>4.854289890097145</v>
      </c>
      <c r="AN4" s="46">
        <f t="shared" si="5"/>
        <v>4.854289890097145</v>
      </c>
      <c r="AO4" s="46">
        <f t="shared" si="5"/>
        <v>4.854289890097145</v>
      </c>
      <c r="AP4" s="46">
        <f t="shared" si="5"/>
        <v>4.854289890097145</v>
      </c>
      <c r="AQ4" s="46">
        <f t="shared" si="5"/>
        <v>4.854289890097145</v>
      </c>
      <c r="AR4" s="46">
        <f t="shared" si="5"/>
        <v>4.854289890097145</v>
      </c>
      <c r="AS4" s="46">
        <f t="shared" si="5"/>
        <v>4.854289890097145</v>
      </c>
      <c r="AT4" s="46">
        <f t="shared" si="5"/>
        <v>4.854289890097145</v>
      </c>
      <c r="AU4" s="46">
        <f t="shared" si="5"/>
        <v>4.854289890097145</v>
      </c>
      <c r="AV4" s="46">
        <f t="shared" si="5"/>
        <v>4.854289890097145</v>
      </c>
      <c r="AW4" s="46">
        <f t="shared" si="5"/>
        <v>4.854289890097145</v>
      </c>
      <c r="AX4" s="46">
        <f t="shared" si="5"/>
        <v>4.854289890097145</v>
      </c>
      <c r="AY4" s="46">
        <f t="shared" si="5"/>
        <v>4.854289890097145</v>
      </c>
      <c r="AZ4" s="46">
        <f t="shared" si="5"/>
        <v>4.854289890097145</v>
      </c>
      <c r="BA4" s="46">
        <f t="shared" si="5"/>
        <v>4.854289890097145</v>
      </c>
      <c r="BB4" s="46">
        <f t="shared" si="5"/>
        <v>4.854289890097145</v>
      </c>
      <c r="BC4" s="46">
        <f t="shared" si="5"/>
        <v>4.854289890097145</v>
      </c>
      <c r="BD4" s="46">
        <f t="shared" si="5"/>
        <v>4.854289890097145</v>
      </c>
      <c r="BE4" s="46">
        <f t="shared" si="5"/>
        <v>4.854289890097145</v>
      </c>
      <c r="BF4" s="46">
        <f t="shared" si="5"/>
        <v>4.854289890097145</v>
      </c>
      <c r="BG4" s="46">
        <f t="shared" si="5"/>
        <v>4.854289890097145</v>
      </c>
      <c r="BH4" s="46">
        <f t="shared" si="5"/>
        <v>4.854289890097145</v>
      </c>
      <c r="BI4" s="46">
        <f t="shared" si="5"/>
        <v>4.854289890097145</v>
      </c>
      <c r="BJ4" s="46">
        <f t="shared" si="5"/>
        <v>4.854289890097145</v>
      </c>
      <c r="BK4" s="46">
        <f t="shared" si="5"/>
        <v>4.854289890097145</v>
      </c>
      <c r="BL4" s="46">
        <f t="shared" si="5"/>
        <v>4.854289890097145</v>
      </c>
      <c r="BM4" s="46">
        <f t="shared" si="5"/>
        <v>4.854289890097145</v>
      </c>
      <c r="BN4" s="46">
        <f t="shared" si="5"/>
        <v>4.854289890097145</v>
      </c>
      <c r="BO4" s="46">
        <f t="shared" si="5"/>
        <v>4.854289890097145</v>
      </c>
      <c r="BP4" s="46">
        <f t="shared" si="5"/>
        <v>4.854289890097145</v>
      </c>
      <c r="BQ4" s="46">
        <f t="shared" si="5"/>
        <v>4.854289890097145</v>
      </c>
      <c r="BR4" s="46">
        <f t="shared" si="5"/>
        <v>4.854289890097145</v>
      </c>
      <c r="BS4" s="46">
        <f t="shared" si="5"/>
        <v>4.854289890097145</v>
      </c>
      <c r="BT4" s="46">
        <f t="shared" si="5"/>
        <v>4.854289890097145</v>
      </c>
      <c r="BU4" s="46">
        <f t="shared" ref="BU4:CK4" si="8">+BT4</f>
        <v>4.854289890097145</v>
      </c>
      <c r="BV4" s="46">
        <f t="shared" si="8"/>
        <v>4.854289890097145</v>
      </c>
      <c r="BW4" s="46">
        <f t="shared" si="8"/>
        <v>4.854289890097145</v>
      </c>
      <c r="BX4" s="46">
        <f t="shared" si="8"/>
        <v>4.854289890097145</v>
      </c>
      <c r="BY4" s="46">
        <f t="shared" si="8"/>
        <v>4.854289890097145</v>
      </c>
      <c r="BZ4" s="46">
        <f t="shared" si="8"/>
        <v>4.854289890097145</v>
      </c>
      <c r="CA4" s="46">
        <f t="shared" si="8"/>
        <v>4.854289890097145</v>
      </c>
      <c r="CB4" s="46">
        <f t="shared" si="8"/>
        <v>4.854289890097145</v>
      </c>
      <c r="CC4" s="46">
        <f t="shared" si="8"/>
        <v>4.854289890097145</v>
      </c>
      <c r="CD4" s="46">
        <f t="shared" si="8"/>
        <v>4.854289890097145</v>
      </c>
      <c r="CE4" s="46">
        <f t="shared" si="8"/>
        <v>4.854289890097145</v>
      </c>
      <c r="CF4" s="46">
        <f t="shared" si="8"/>
        <v>4.854289890097145</v>
      </c>
      <c r="CG4" s="46">
        <f t="shared" si="8"/>
        <v>4.854289890097145</v>
      </c>
      <c r="CH4" s="46">
        <f t="shared" si="8"/>
        <v>4.854289890097145</v>
      </c>
      <c r="CI4" s="46">
        <f t="shared" si="8"/>
        <v>4.854289890097145</v>
      </c>
      <c r="CJ4" s="46">
        <f t="shared" si="8"/>
        <v>4.854289890097145</v>
      </c>
      <c r="CK4" s="46">
        <f t="shared" si="8"/>
        <v>4.854289890097145</v>
      </c>
    </row>
    <row r="5" spans="2:89">
      <c r="C5" t="s">
        <v>6</v>
      </c>
      <c r="D5" t="str">
        <f>_xlfn.TEXTJOIN(",",TRUE,Regions!$C$3,Regions!$D$3)</f>
        <v>IE,National</v>
      </c>
      <c r="E5" t="s">
        <v>212</v>
      </c>
      <c r="F5" s="28"/>
      <c r="G5" s="45">
        <f t="shared" si="4"/>
        <v>13.4</v>
      </c>
      <c r="H5" s="46">
        <f t="shared" si="0"/>
        <v>13.4</v>
      </c>
      <c r="I5" s="46">
        <f t="shared" ref="I5:BT5" si="9">+H5</f>
        <v>13.4</v>
      </c>
      <c r="J5" s="46">
        <f t="shared" si="9"/>
        <v>13.4</v>
      </c>
      <c r="K5" s="46">
        <f t="shared" si="6"/>
        <v>13.802000000000001</v>
      </c>
      <c r="L5" s="46">
        <f>+$G5*$S69/N$69</f>
        <v>16.154874753824778</v>
      </c>
      <c r="M5" s="46">
        <f t="shared" ref="M5:AM5" si="10">+$G5*$S69/O$69</f>
        <v>15.59888189396775</v>
      </c>
      <c r="N5" s="46">
        <f t="shared" si="10"/>
        <v>15.124246148697198</v>
      </c>
      <c r="O5" s="46">
        <f t="shared" si="10"/>
        <v>15.795530518743814</v>
      </c>
      <c r="P5" s="46">
        <f t="shared" si="10"/>
        <v>14.408115366573156</v>
      </c>
      <c r="Q5" s="46">
        <f t="shared" si="10"/>
        <v>13.4</v>
      </c>
      <c r="R5" s="46">
        <f t="shared" si="10"/>
        <v>13.134562029091608</v>
      </c>
      <c r="S5" s="46">
        <f t="shared" si="10"/>
        <v>12.888537306987223</v>
      </c>
      <c r="T5" s="46">
        <f t="shared" si="10"/>
        <v>12.659322874391293</v>
      </c>
      <c r="U5" s="46">
        <f t="shared" si="10"/>
        <v>12.445280669002079</v>
      </c>
      <c r="V5" s="46">
        <f t="shared" si="10"/>
        <v>12.243889967813901</v>
      </c>
      <c r="W5" s="46">
        <f t="shared" si="10"/>
        <v>12.052914648749725</v>
      </c>
      <c r="X5" s="46">
        <f t="shared" si="10"/>
        <v>11.871748558703544</v>
      </c>
      <c r="Y5" s="46">
        <f t="shared" si="10"/>
        <v>11.699076805000395</v>
      </c>
      <c r="Z5" s="46">
        <f t="shared" si="10"/>
        <v>11.534481050370562</v>
      </c>
      <c r="AA5" s="46">
        <f t="shared" si="10"/>
        <v>11.377040013660316</v>
      </c>
      <c r="AB5" s="46">
        <f t="shared" si="10"/>
        <v>11.226106155895152</v>
      </c>
      <c r="AC5" s="46">
        <f t="shared" si="10"/>
        <v>11.081596383154171</v>
      </c>
      <c r="AD5" s="46">
        <f t="shared" si="10"/>
        <v>10.943243886530631</v>
      </c>
      <c r="AE5" s="46">
        <f t="shared" si="10"/>
        <v>10.81081421220996</v>
      </c>
      <c r="AF5" s="46">
        <f t="shared" si="10"/>
        <v>10.684021011683559</v>
      </c>
      <c r="AG5" s="46">
        <f t="shared" si="10"/>
        <v>10.562818879498431</v>
      </c>
      <c r="AH5" s="46">
        <f t="shared" si="10"/>
        <v>10.447016081202372</v>
      </c>
      <c r="AI5" s="46">
        <f t="shared" si="10"/>
        <v>10.336337639390804</v>
      </c>
      <c r="AJ5" s="46">
        <f t="shared" si="10"/>
        <v>10.230656440933911</v>
      </c>
      <c r="AK5" s="46">
        <f t="shared" si="10"/>
        <v>10.129905582855388</v>
      </c>
      <c r="AL5" s="46">
        <f t="shared" si="10"/>
        <v>10.034268734253244</v>
      </c>
      <c r="AM5" s="46">
        <f t="shared" si="10"/>
        <v>9.9435445929686388</v>
      </c>
      <c r="AN5" s="46">
        <f t="shared" si="9"/>
        <v>9.9435445929686388</v>
      </c>
      <c r="AO5" s="46">
        <f t="shared" si="9"/>
        <v>9.9435445929686388</v>
      </c>
      <c r="AP5" s="46">
        <f t="shared" si="9"/>
        <v>9.9435445929686388</v>
      </c>
      <c r="AQ5" s="46">
        <f t="shared" si="9"/>
        <v>9.9435445929686388</v>
      </c>
      <c r="AR5" s="46">
        <f t="shared" si="9"/>
        <v>9.9435445929686388</v>
      </c>
      <c r="AS5" s="46">
        <f t="shared" si="9"/>
        <v>9.9435445929686388</v>
      </c>
      <c r="AT5" s="46">
        <f t="shared" si="9"/>
        <v>9.9435445929686388</v>
      </c>
      <c r="AU5" s="46">
        <f t="shared" si="9"/>
        <v>9.9435445929686388</v>
      </c>
      <c r="AV5" s="46">
        <f t="shared" si="9"/>
        <v>9.9435445929686388</v>
      </c>
      <c r="AW5" s="46">
        <f t="shared" si="9"/>
        <v>9.9435445929686388</v>
      </c>
      <c r="AX5" s="46">
        <f t="shared" si="9"/>
        <v>9.9435445929686388</v>
      </c>
      <c r="AY5" s="46">
        <f t="shared" si="9"/>
        <v>9.9435445929686388</v>
      </c>
      <c r="AZ5" s="46">
        <f t="shared" si="9"/>
        <v>9.9435445929686388</v>
      </c>
      <c r="BA5" s="46">
        <f t="shared" si="9"/>
        <v>9.9435445929686388</v>
      </c>
      <c r="BB5" s="46">
        <f t="shared" si="9"/>
        <v>9.9435445929686388</v>
      </c>
      <c r="BC5" s="46">
        <f t="shared" si="9"/>
        <v>9.9435445929686388</v>
      </c>
      <c r="BD5" s="46">
        <f t="shared" si="9"/>
        <v>9.9435445929686388</v>
      </c>
      <c r="BE5" s="46">
        <f t="shared" si="9"/>
        <v>9.9435445929686388</v>
      </c>
      <c r="BF5" s="46">
        <f t="shared" si="9"/>
        <v>9.9435445929686388</v>
      </c>
      <c r="BG5" s="46">
        <f t="shared" si="9"/>
        <v>9.9435445929686388</v>
      </c>
      <c r="BH5" s="46">
        <f t="shared" si="9"/>
        <v>9.9435445929686388</v>
      </c>
      <c r="BI5" s="46">
        <f t="shared" si="9"/>
        <v>9.9435445929686388</v>
      </c>
      <c r="BJ5" s="46">
        <f t="shared" si="9"/>
        <v>9.9435445929686388</v>
      </c>
      <c r="BK5" s="46">
        <f t="shared" si="9"/>
        <v>9.9435445929686388</v>
      </c>
      <c r="BL5" s="46">
        <f t="shared" si="9"/>
        <v>9.9435445929686388</v>
      </c>
      <c r="BM5" s="46">
        <f t="shared" si="9"/>
        <v>9.9435445929686388</v>
      </c>
      <c r="BN5" s="46">
        <f t="shared" si="9"/>
        <v>9.9435445929686388</v>
      </c>
      <c r="BO5" s="46">
        <f t="shared" si="9"/>
        <v>9.9435445929686388</v>
      </c>
      <c r="BP5" s="46">
        <f t="shared" si="9"/>
        <v>9.9435445929686388</v>
      </c>
      <c r="BQ5" s="46">
        <f t="shared" si="9"/>
        <v>9.9435445929686388</v>
      </c>
      <c r="BR5" s="46">
        <f t="shared" si="9"/>
        <v>9.9435445929686388</v>
      </c>
      <c r="BS5" s="46">
        <f t="shared" si="9"/>
        <v>9.9435445929686388</v>
      </c>
      <c r="BT5" s="46">
        <f t="shared" si="9"/>
        <v>9.9435445929686388</v>
      </c>
      <c r="BU5" s="46">
        <f t="shared" ref="BU5:CK5" si="11">+BT5</f>
        <v>9.9435445929686388</v>
      </c>
      <c r="BV5" s="46">
        <f t="shared" si="11"/>
        <v>9.9435445929686388</v>
      </c>
      <c r="BW5" s="46">
        <f t="shared" si="11"/>
        <v>9.9435445929686388</v>
      </c>
      <c r="BX5" s="46">
        <f t="shared" si="11"/>
        <v>9.9435445929686388</v>
      </c>
      <c r="BY5" s="46">
        <f t="shared" si="11"/>
        <v>9.9435445929686388</v>
      </c>
      <c r="BZ5" s="46">
        <f t="shared" si="11"/>
        <v>9.9435445929686388</v>
      </c>
      <c r="CA5" s="46">
        <f t="shared" si="11"/>
        <v>9.9435445929686388</v>
      </c>
      <c r="CB5" s="46">
        <f t="shared" si="11"/>
        <v>9.9435445929686388</v>
      </c>
      <c r="CC5" s="46">
        <f t="shared" si="11"/>
        <v>9.9435445929686388</v>
      </c>
      <c r="CD5" s="46">
        <f t="shared" si="11"/>
        <v>9.9435445929686388</v>
      </c>
      <c r="CE5" s="46">
        <f t="shared" si="11"/>
        <v>9.9435445929686388</v>
      </c>
      <c r="CF5" s="46">
        <f t="shared" si="11"/>
        <v>9.9435445929686388</v>
      </c>
      <c r="CG5" s="46">
        <f t="shared" si="11"/>
        <v>9.9435445929686388</v>
      </c>
      <c r="CH5" s="46">
        <f t="shared" si="11"/>
        <v>9.9435445929686388</v>
      </c>
      <c r="CI5" s="46">
        <f t="shared" si="11"/>
        <v>9.9435445929686388</v>
      </c>
      <c r="CJ5" s="46">
        <f t="shared" si="11"/>
        <v>9.9435445929686388</v>
      </c>
      <c r="CK5" s="46">
        <f t="shared" si="11"/>
        <v>9.9435445929686388</v>
      </c>
    </row>
    <row r="6" spans="2:89">
      <c r="C6" t="s">
        <v>6</v>
      </c>
      <c r="D6" t="str">
        <f>_xlfn.TEXTJOIN(",",TRUE,Regions!$C$3,Regions!$D$3)</f>
        <v>IE,National</v>
      </c>
      <c r="E6" t="s">
        <v>213</v>
      </c>
      <c r="F6" s="28"/>
      <c r="G6" s="45">
        <f t="shared" si="4"/>
        <v>1.3</v>
      </c>
      <c r="H6" s="46">
        <f t="shared" si="0"/>
        <v>1.3</v>
      </c>
      <c r="I6" s="46">
        <f t="shared" ref="I6:BT6" si="12">+H6</f>
        <v>1.3</v>
      </c>
      <c r="J6" s="46">
        <f t="shared" si="12"/>
        <v>1.3</v>
      </c>
      <c r="K6" s="46">
        <f t="shared" si="6"/>
        <v>1.3390000000000002</v>
      </c>
      <c r="L6" s="46">
        <f>+$G6*$S75/N$75</f>
        <v>1.3007762016686237</v>
      </c>
      <c r="M6" s="46">
        <f t="shared" ref="M6:AM6" si="13">+$G6*$S75/O$75</f>
        <v>1.4388178028803356</v>
      </c>
      <c r="N6" s="46">
        <f t="shared" si="13"/>
        <v>1.484832059677001</v>
      </c>
      <c r="O6" s="46">
        <f t="shared" si="13"/>
        <v>1.3718181062578174</v>
      </c>
      <c r="P6" s="46">
        <f t="shared" si="13"/>
        <v>1.4225497889473699</v>
      </c>
      <c r="Q6" s="46">
        <f t="shared" si="13"/>
        <v>1.3</v>
      </c>
      <c r="R6" s="46">
        <f t="shared" si="13"/>
        <v>1.2505343449085213</v>
      </c>
      <c r="S6" s="46">
        <f t="shared" si="13"/>
        <v>1.2029508829198343</v>
      </c>
      <c r="T6" s="46">
        <f t="shared" si="13"/>
        <v>1.1571779956379094</v>
      </c>
      <c r="U6" s="46">
        <f t="shared" si="13"/>
        <v>1.1570047562456067</v>
      </c>
      <c r="V6" s="46">
        <f t="shared" si="13"/>
        <v>1.156831542788715</v>
      </c>
      <c r="W6" s="46">
        <f t="shared" si="13"/>
        <v>1.1566583552633518</v>
      </c>
      <c r="X6" s="46">
        <f t="shared" si="13"/>
        <v>1.1564851936656348</v>
      </c>
      <c r="Y6" s="46">
        <f t="shared" si="13"/>
        <v>1.1563120579916824</v>
      </c>
      <c r="Z6" s="46">
        <f t="shared" si="13"/>
        <v>1.1461661161730481</v>
      </c>
      <c r="AA6" s="46">
        <f t="shared" si="13"/>
        <v>1.13610919888259</v>
      </c>
      <c r="AB6" s="46">
        <f t="shared" si="13"/>
        <v>1.126140524983696</v>
      </c>
      <c r="AC6" s="46">
        <f t="shared" si="13"/>
        <v>1.1162593201937576</v>
      </c>
      <c r="AD6" s="46">
        <f t="shared" si="13"/>
        <v>1.1064648170240297</v>
      </c>
      <c r="AE6" s="46">
        <f t="shared" si="13"/>
        <v>1.0990925931268682</v>
      </c>
      <c r="AF6" s="46">
        <f t="shared" si="13"/>
        <v>1.091769489350251</v>
      </c>
      <c r="AG6" s="46">
        <f t="shared" si="13"/>
        <v>1.0844951784135257</v>
      </c>
      <c r="AH6" s="46">
        <f t="shared" si="13"/>
        <v>1.0772693352166671</v>
      </c>
      <c r="AI6" s="46">
        <f t="shared" si="13"/>
        <v>1.0700916368257467</v>
      </c>
      <c r="AJ6" s="46">
        <f t="shared" si="13"/>
        <v>1.0645217851811455</v>
      </c>
      <c r="AK6" s="46">
        <f t="shared" si="13"/>
        <v>1.0589809247427877</v>
      </c>
      <c r="AL6" s="46">
        <f t="shared" si="13"/>
        <v>1.0534689046107768</v>
      </c>
      <c r="AM6" s="46">
        <f t="shared" si="13"/>
        <v>1.047985574670653</v>
      </c>
      <c r="AN6" s="46">
        <f t="shared" si="12"/>
        <v>1.047985574670653</v>
      </c>
      <c r="AO6" s="46">
        <f t="shared" si="12"/>
        <v>1.047985574670653</v>
      </c>
      <c r="AP6" s="46">
        <f t="shared" si="12"/>
        <v>1.047985574670653</v>
      </c>
      <c r="AQ6" s="46">
        <f t="shared" si="12"/>
        <v>1.047985574670653</v>
      </c>
      <c r="AR6" s="46">
        <f t="shared" si="12"/>
        <v>1.047985574670653</v>
      </c>
      <c r="AS6" s="46">
        <f t="shared" si="12"/>
        <v>1.047985574670653</v>
      </c>
      <c r="AT6" s="46">
        <f t="shared" si="12"/>
        <v>1.047985574670653</v>
      </c>
      <c r="AU6" s="46">
        <f t="shared" si="12"/>
        <v>1.047985574670653</v>
      </c>
      <c r="AV6" s="46">
        <f t="shared" si="12"/>
        <v>1.047985574670653</v>
      </c>
      <c r="AW6" s="46">
        <f t="shared" si="12"/>
        <v>1.047985574670653</v>
      </c>
      <c r="AX6" s="46">
        <f t="shared" si="12"/>
        <v>1.047985574670653</v>
      </c>
      <c r="AY6" s="46">
        <f t="shared" si="12"/>
        <v>1.047985574670653</v>
      </c>
      <c r="AZ6" s="46">
        <f t="shared" si="12"/>
        <v>1.047985574670653</v>
      </c>
      <c r="BA6" s="46">
        <f t="shared" si="12"/>
        <v>1.047985574670653</v>
      </c>
      <c r="BB6" s="46">
        <f t="shared" si="12"/>
        <v>1.047985574670653</v>
      </c>
      <c r="BC6" s="46">
        <f t="shared" si="12"/>
        <v>1.047985574670653</v>
      </c>
      <c r="BD6" s="46">
        <f t="shared" si="12"/>
        <v>1.047985574670653</v>
      </c>
      <c r="BE6" s="46">
        <f t="shared" si="12"/>
        <v>1.047985574670653</v>
      </c>
      <c r="BF6" s="46">
        <f t="shared" si="12"/>
        <v>1.047985574670653</v>
      </c>
      <c r="BG6" s="46">
        <f t="shared" si="12"/>
        <v>1.047985574670653</v>
      </c>
      <c r="BH6" s="46">
        <f t="shared" si="12"/>
        <v>1.047985574670653</v>
      </c>
      <c r="BI6" s="46">
        <f t="shared" si="12"/>
        <v>1.047985574670653</v>
      </c>
      <c r="BJ6" s="46">
        <f t="shared" si="12"/>
        <v>1.047985574670653</v>
      </c>
      <c r="BK6" s="46">
        <f t="shared" si="12"/>
        <v>1.047985574670653</v>
      </c>
      <c r="BL6" s="46">
        <f t="shared" si="12"/>
        <v>1.047985574670653</v>
      </c>
      <c r="BM6" s="46">
        <f t="shared" si="12"/>
        <v>1.047985574670653</v>
      </c>
      <c r="BN6" s="46">
        <f t="shared" si="12"/>
        <v>1.047985574670653</v>
      </c>
      <c r="BO6" s="46">
        <f t="shared" si="12"/>
        <v>1.047985574670653</v>
      </c>
      <c r="BP6" s="46">
        <f t="shared" si="12"/>
        <v>1.047985574670653</v>
      </c>
      <c r="BQ6" s="46">
        <f t="shared" si="12"/>
        <v>1.047985574670653</v>
      </c>
      <c r="BR6" s="46">
        <f t="shared" si="12"/>
        <v>1.047985574670653</v>
      </c>
      <c r="BS6" s="46">
        <f t="shared" si="12"/>
        <v>1.047985574670653</v>
      </c>
      <c r="BT6" s="46">
        <f t="shared" si="12"/>
        <v>1.047985574670653</v>
      </c>
      <c r="BU6" s="46">
        <f t="shared" ref="BU6:CK6" si="14">+BT6</f>
        <v>1.047985574670653</v>
      </c>
      <c r="BV6" s="46">
        <f t="shared" si="14"/>
        <v>1.047985574670653</v>
      </c>
      <c r="BW6" s="46">
        <f t="shared" si="14"/>
        <v>1.047985574670653</v>
      </c>
      <c r="BX6" s="46">
        <f t="shared" si="14"/>
        <v>1.047985574670653</v>
      </c>
      <c r="BY6" s="46">
        <f t="shared" si="14"/>
        <v>1.047985574670653</v>
      </c>
      <c r="BZ6" s="46">
        <f t="shared" si="14"/>
        <v>1.047985574670653</v>
      </c>
      <c r="CA6" s="46">
        <f t="shared" si="14"/>
        <v>1.047985574670653</v>
      </c>
      <c r="CB6" s="46">
        <f t="shared" si="14"/>
        <v>1.047985574670653</v>
      </c>
      <c r="CC6" s="46">
        <f t="shared" si="14"/>
        <v>1.047985574670653</v>
      </c>
      <c r="CD6" s="46">
        <f t="shared" si="14"/>
        <v>1.047985574670653</v>
      </c>
      <c r="CE6" s="46">
        <f t="shared" si="14"/>
        <v>1.047985574670653</v>
      </c>
      <c r="CF6" s="46">
        <f t="shared" si="14"/>
        <v>1.047985574670653</v>
      </c>
      <c r="CG6" s="46">
        <f t="shared" si="14"/>
        <v>1.047985574670653</v>
      </c>
      <c r="CH6" s="46">
        <f t="shared" si="14"/>
        <v>1.047985574670653</v>
      </c>
      <c r="CI6" s="46">
        <f t="shared" si="14"/>
        <v>1.047985574670653</v>
      </c>
      <c r="CJ6" s="46">
        <f t="shared" si="14"/>
        <v>1.047985574670653</v>
      </c>
      <c r="CK6" s="46">
        <f t="shared" si="14"/>
        <v>1.047985574670653</v>
      </c>
    </row>
    <row r="7" spans="2:89">
      <c r="C7" t="s">
        <v>6</v>
      </c>
      <c r="D7" t="str">
        <f>_xlfn.TEXTJOIN(",",TRUE,Regions!$C$3,Regions!$D$3)</f>
        <v>IE,National</v>
      </c>
      <c r="E7" t="s">
        <v>23</v>
      </c>
      <c r="F7" s="28"/>
      <c r="G7" s="45">
        <f t="shared" si="4"/>
        <v>16.5</v>
      </c>
      <c r="H7" s="46">
        <f t="shared" si="0"/>
        <v>16.5</v>
      </c>
      <c r="I7" s="46">
        <f t="shared" ref="I7:BT7" si="15">+H7</f>
        <v>16.5</v>
      </c>
      <c r="J7" s="46">
        <f t="shared" si="15"/>
        <v>16.5</v>
      </c>
      <c r="K7" s="46">
        <f t="shared" si="6"/>
        <v>16.995000000000001</v>
      </c>
      <c r="L7" s="46">
        <f>+$G7*$S76/N$76</f>
        <v>14.770551619589172</v>
      </c>
      <c r="M7" s="46">
        <f t="shared" ref="M7:AM7" si="16">+$G7*$S76/O$76</f>
        <v>14.463373941303244</v>
      </c>
      <c r="N7" s="46">
        <f t="shared" si="16"/>
        <v>16.074619891693487</v>
      </c>
      <c r="O7" s="46">
        <f t="shared" si="16"/>
        <v>15.458364591425843</v>
      </c>
      <c r="P7" s="46">
        <f t="shared" si="16"/>
        <v>17.455175383869477</v>
      </c>
      <c r="Q7" s="46">
        <f t="shared" si="16"/>
        <v>16.5</v>
      </c>
      <c r="R7" s="46">
        <f t="shared" si="16"/>
        <v>16.416351705991989</v>
      </c>
      <c r="S7" s="46">
        <f t="shared" si="16"/>
        <v>16.331468762085475</v>
      </c>
      <c r="T7" s="46">
        <f t="shared" si="16"/>
        <v>16.245348842972991</v>
      </c>
      <c r="U7" s="46">
        <f t="shared" si="16"/>
        <v>16.157990258938664</v>
      </c>
      <c r="V7" s="46">
        <f t="shared" si="16"/>
        <v>16.069391982495713</v>
      </c>
      <c r="W7" s="46">
        <f t="shared" si="16"/>
        <v>15.979553633897883</v>
      </c>
      <c r="X7" s="46">
        <f t="shared" si="16"/>
        <v>15.888475486920342</v>
      </c>
      <c r="Y7" s="46">
        <f t="shared" si="16"/>
        <v>15.795266930843539</v>
      </c>
      <c r="Z7" s="46">
        <f t="shared" si="16"/>
        <v>15.700870292566611</v>
      </c>
      <c r="AA7" s="46">
        <f t="shared" si="16"/>
        <v>15.6052895305357</v>
      </c>
      <c r="AB7" s="46">
        <f t="shared" si="16"/>
        <v>15.508529285960138</v>
      </c>
      <c r="AC7" s="46">
        <f t="shared" si="16"/>
        <v>15.41059488973228</v>
      </c>
      <c r="AD7" s="46">
        <f t="shared" si="16"/>
        <v>15.311492362432743</v>
      </c>
      <c r="AE7" s="46">
        <f t="shared" si="16"/>
        <v>15.211228397205899</v>
      </c>
      <c r="AF7" s="46">
        <f t="shared" si="16"/>
        <v>15.109810368988539</v>
      </c>
      <c r="AG7" s="46">
        <f t="shared" si="16"/>
        <v>15.007246311658434</v>
      </c>
      <c r="AH7" s="46">
        <f t="shared" si="16"/>
        <v>14.903544922185976</v>
      </c>
      <c r="AI7" s="46">
        <f t="shared" si="16"/>
        <v>14.798715529328401</v>
      </c>
      <c r="AJ7" s="46">
        <f t="shared" si="16"/>
        <v>14.692768078156226</v>
      </c>
      <c r="AK7" s="46">
        <f t="shared" si="16"/>
        <v>14.585713120819472</v>
      </c>
      <c r="AL7" s="46">
        <f t="shared" si="16"/>
        <v>14.47756177190986</v>
      </c>
      <c r="AM7" s="46">
        <f t="shared" si="16"/>
        <v>14.368325688742003</v>
      </c>
      <c r="AN7" s="46">
        <f t="shared" si="15"/>
        <v>14.368325688742003</v>
      </c>
      <c r="AO7" s="46">
        <f t="shared" si="15"/>
        <v>14.368325688742003</v>
      </c>
      <c r="AP7" s="46">
        <f t="shared" si="15"/>
        <v>14.368325688742003</v>
      </c>
      <c r="AQ7" s="46">
        <f t="shared" si="15"/>
        <v>14.368325688742003</v>
      </c>
      <c r="AR7" s="46">
        <f t="shared" si="15"/>
        <v>14.368325688742003</v>
      </c>
      <c r="AS7" s="46">
        <f t="shared" si="15"/>
        <v>14.368325688742003</v>
      </c>
      <c r="AT7" s="46">
        <f t="shared" si="15"/>
        <v>14.368325688742003</v>
      </c>
      <c r="AU7" s="46">
        <f t="shared" si="15"/>
        <v>14.368325688742003</v>
      </c>
      <c r="AV7" s="46">
        <f t="shared" si="15"/>
        <v>14.368325688742003</v>
      </c>
      <c r="AW7" s="46">
        <f t="shared" si="15"/>
        <v>14.368325688742003</v>
      </c>
      <c r="AX7" s="46">
        <f t="shared" si="15"/>
        <v>14.368325688742003</v>
      </c>
      <c r="AY7" s="46">
        <f t="shared" si="15"/>
        <v>14.368325688742003</v>
      </c>
      <c r="AZ7" s="46">
        <f t="shared" si="15"/>
        <v>14.368325688742003</v>
      </c>
      <c r="BA7" s="46">
        <f t="shared" si="15"/>
        <v>14.368325688742003</v>
      </c>
      <c r="BB7" s="46">
        <f t="shared" si="15"/>
        <v>14.368325688742003</v>
      </c>
      <c r="BC7" s="46">
        <f t="shared" si="15"/>
        <v>14.368325688742003</v>
      </c>
      <c r="BD7" s="46">
        <f t="shared" si="15"/>
        <v>14.368325688742003</v>
      </c>
      <c r="BE7" s="46">
        <f t="shared" si="15"/>
        <v>14.368325688742003</v>
      </c>
      <c r="BF7" s="46">
        <f t="shared" si="15"/>
        <v>14.368325688742003</v>
      </c>
      <c r="BG7" s="46">
        <f t="shared" si="15"/>
        <v>14.368325688742003</v>
      </c>
      <c r="BH7" s="46">
        <f t="shared" si="15"/>
        <v>14.368325688742003</v>
      </c>
      <c r="BI7" s="46">
        <f t="shared" si="15"/>
        <v>14.368325688742003</v>
      </c>
      <c r="BJ7" s="46">
        <f t="shared" si="15"/>
        <v>14.368325688742003</v>
      </c>
      <c r="BK7" s="46">
        <f t="shared" si="15"/>
        <v>14.368325688742003</v>
      </c>
      <c r="BL7" s="46">
        <f t="shared" si="15"/>
        <v>14.368325688742003</v>
      </c>
      <c r="BM7" s="46">
        <f t="shared" si="15"/>
        <v>14.368325688742003</v>
      </c>
      <c r="BN7" s="46">
        <f t="shared" si="15"/>
        <v>14.368325688742003</v>
      </c>
      <c r="BO7" s="46">
        <f t="shared" si="15"/>
        <v>14.368325688742003</v>
      </c>
      <c r="BP7" s="46">
        <f t="shared" si="15"/>
        <v>14.368325688742003</v>
      </c>
      <c r="BQ7" s="46">
        <f t="shared" si="15"/>
        <v>14.368325688742003</v>
      </c>
      <c r="BR7" s="46">
        <f t="shared" si="15"/>
        <v>14.368325688742003</v>
      </c>
      <c r="BS7" s="46">
        <f t="shared" si="15"/>
        <v>14.368325688742003</v>
      </c>
      <c r="BT7" s="46">
        <f t="shared" si="15"/>
        <v>14.368325688742003</v>
      </c>
      <c r="BU7" s="46">
        <f t="shared" ref="BU7:CK7" si="17">+BT7</f>
        <v>14.368325688742003</v>
      </c>
      <c r="BV7" s="46">
        <f t="shared" si="17"/>
        <v>14.368325688742003</v>
      </c>
      <c r="BW7" s="46">
        <f t="shared" si="17"/>
        <v>14.368325688742003</v>
      </c>
      <c r="BX7" s="46">
        <f t="shared" si="17"/>
        <v>14.368325688742003</v>
      </c>
      <c r="BY7" s="46">
        <f t="shared" si="17"/>
        <v>14.368325688742003</v>
      </c>
      <c r="BZ7" s="46">
        <f t="shared" si="17"/>
        <v>14.368325688742003</v>
      </c>
      <c r="CA7" s="46">
        <f t="shared" si="17"/>
        <v>14.368325688742003</v>
      </c>
      <c r="CB7" s="46">
        <f t="shared" si="17"/>
        <v>14.368325688742003</v>
      </c>
      <c r="CC7" s="46">
        <f t="shared" si="17"/>
        <v>14.368325688742003</v>
      </c>
      <c r="CD7" s="46">
        <f t="shared" si="17"/>
        <v>14.368325688742003</v>
      </c>
      <c r="CE7" s="46">
        <f t="shared" si="17"/>
        <v>14.368325688742003</v>
      </c>
      <c r="CF7" s="46">
        <f t="shared" si="17"/>
        <v>14.368325688742003</v>
      </c>
      <c r="CG7" s="46">
        <f t="shared" si="17"/>
        <v>14.368325688742003</v>
      </c>
      <c r="CH7" s="46">
        <f t="shared" si="17"/>
        <v>14.368325688742003</v>
      </c>
      <c r="CI7" s="46">
        <f t="shared" si="17"/>
        <v>14.368325688742003</v>
      </c>
      <c r="CJ7" s="46">
        <f t="shared" si="17"/>
        <v>14.368325688742003</v>
      </c>
      <c r="CK7" s="46">
        <f t="shared" si="17"/>
        <v>14.368325688742003</v>
      </c>
    </row>
    <row r="8" spans="2:89">
      <c r="C8" t="s">
        <v>6</v>
      </c>
      <c r="D8" t="str">
        <f>_xlfn.TEXTJOIN(",",TRUE,Regions!$C$3,Regions!$D$3)</f>
        <v>IE,National</v>
      </c>
      <c r="E8" t="s">
        <v>31</v>
      </c>
      <c r="F8" s="28"/>
      <c r="G8" s="45">
        <f t="shared" si="4"/>
        <v>3.8</v>
      </c>
      <c r="H8" s="46">
        <f t="shared" si="0"/>
        <v>3.8</v>
      </c>
      <c r="I8" s="46">
        <f t="shared" ref="I8:BT8" si="18">+H8</f>
        <v>3.8</v>
      </c>
      <c r="J8" s="46">
        <f t="shared" si="18"/>
        <v>3.8</v>
      </c>
      <c r="K8" s="46">
        <f t="shared" si="6"/>
        <v>3.9139999999999997</v>
      </c>
      <c r="L8" s="46">
        <f>+$G8*$S80/N$80</f>
        <v>3.8741569495470718</v>
      </c>
      <c r="M8" s="46">
        <f t="shared" ref="M8:AM8" si="19">+$G8*$S80/O$80</f>
        <v>4.2242562315564411</v>
      </c>
      <c r="N8" s="46">
        <f t="shared" si="19"/>
        <v>4.2726524372162</v>
      </c>
      <c r="O8" s="46">
        <f t="shared" si="19"/>
        <v>4.3933187922614563</v>
      </c>
      <c r="P8" s="46">
        <f t="shared" si="19"/>
        <v>3.8790947720120998</v>
      </c>
      <c r="Q8" s="46">
        <f t="shared" si="19"/>
        <v>3.8000000000000003</v>
      </c>
      <c r="R8" s="46">
        <f t="shared" si="19"/>
        <v>3.7277776194823407</v>
      </c>
      <c r="S8" s="46">
        <f t="shared" si="19"/>
        <v>3.6616176679563091</v>
      </c>
      <c r="T8" s="46">
        <f t="shared" si="19"/>
        <v>3.6007272705014657</v>
      </c>
      <c r="U8" s="46">
        <f t="shared" si="19"/>
        <v>3.5447132517963373</v>
      </c>
      <c r="V8" s="46">
        <f t="shared" si="19"/>
        <v>3.492652383099208</v>
      </c>
      <c r="W8" s="46">
        <f t="shared" si="19"/>
        <v>3.4436745528570749</v>
      </c>
      <c r="X8" s="46">
        <f t="shared" si="19"/>
        <v>3.3977176661971833</v>
      </c>
      <c r="Y8" s="46">
        <f t="shared" si="19"/>
        <v>3.3543112366830155</v>
      </c>
      <c r="Z8" s="46">
        <f t="shared" si="19"/>
        <v>3.3134254756279646</v>
      </c>
      <c r="AA8" s="46">
        <f t="shared" si="19"/>
        <v>3.2747337227406574</v>
      </c>
      <c r="AB8" s="46">
        <f t="shared" si="19"/>
        <v>3.2380363877831293</v>
      </c>
      <c r="AC8" s="46">
        <f t="shared" si="19"/>
        <v>3.2034539913233484</v>
      </c>
      <c r="AD8" s="46">
        <f t="shared" si="19"/>
        <v>3.1709955920784174</v>
      </c>
      <c r="AE8" s="46">
        <f t="shared" si="19"/>
        <v>3.1406845465026718</v>
      </c>
      <c r="AF8" s="46">
        <f t="shared" si="19"/>
        <v>3.1125058965289272</v>
      </c>
      <c r="AG8" s="46">
        <f t="shared" si="19"/>
        <v>3.0865975534047663</v>
      </c>
      <c r="AH8" s="46">
        <f t="shared" si="19"/>
        <v>3.0630049887520019</v>
      </c>
      <c r="AI8" s="46">
        <f t="shared" si="19"/>
        <v>3.0417142562812236</v>
      </c>
      <c r="AJ8" s="46">
        <f t="shared" si="19"/>
        <v>3.0228105007297605</v>
      </c>
      <c r="AK8" s="46">
        <f t="shared" si="19"/>
        <v>3.0064278388580798</v>
      </c>
      <c r="AL8" s="46">
        <f t="shared" si="19"/>
        <v>2.9928958143920679</v>
      </c>
      <c r="AM8" s="46">
        <f t="shared" si="19"/>
        <v>2.9822756267333546</v>
      </c>
      <c r="AN8" s="46">
        <f t="shared" si="18"/>
        <v>2.9822756267333546</v>
      </c>
      <c r="AO8" s="46">
        <f t="shared" si="18"/>
        <v>2.9822756267333546</v>
      </c>
      <c r="AP8" s="46">
        <f t="shared" si="18"/>
        <v>2.9822756267333546</v>
      </c>
      <c r="AQ8" s="46">
        <f t="shared" si="18"/>
        <v>2.9822756267333546</v>
      </c>
      <c r="AR8" s="46">
        <f t="shared" si="18"/>
        <v>2.9822756267333546</v>
      </c>
      <c r="AS8" s="46">
        <f t="shared" si="18"/>
        <v>2.9822756267333546</v>
      </c>
      <c r="AT8" s="46">
        <f t="shared" si="18"/>
        <v>2.9822756267333546</v>
      </c>
      <c r="AU8" s="46">
        <f t="shared" si="18"/>
        <v>2.9822756267333546</v>
      </c>
      <c r="AV8" s="46">
        <f t="shared" si="18"/>
        <v>2.9822756267333546</v>
      </c>
      <c r="AW8" s="46">
        <f t="shared" si="18"/>
        <v>2.9822756267333546</v>
      </c>
      <c r="AX8" s="46">
        <f t="shared" si="18"/>
        <v>2.9822756267333546</v>
      </c>
      <c r="AY8" s="46">
        <f t="shared" si="18"/>
        <v>2.9822756267333546</v>
      </c>
      <c r="AZ8" s="46">
        <f t="shared" si="18"/>
        <v>2.9822756267333546</v>
      </c>
      <c r="BA8" s="46">
        <f t="shared" si="18"/>
        <v>2.9822756267333546</v>
      </c>
      <c r="BB8" s="46">
        <f t="shared" si="18"/>
        <v>2.9822756267333546</v>
      </c>
      <c r="BC8" s="46">
        <f t="shared" si="18"/>
        <v>2.9822756267333546</v>
      </c>
      <c r="BD8" s="46">
        <f t="shared" si="18"/>
        <v>2.9822756267333546</v>
      </c>
      <c r="BE8" s="46">
        <f t="shared" si="18"/>
        <v>2.9822756267333546</v>
      </c>
      <c r="BF8" s="46">
        <f t="shared" si="18"/>
        <v>2.9822756267333546</v>
      </c>
      <c r="BG8" s="46">
        <f t="shared" si="18"/>
        <v>2.9822756267333546</v>
      </c>
      <c r="BH8" s="46">
        <f t="shared" si="18"/>
        <v>2.9822756267333546</v>
      </c>
      <c r="BI8" s="46">
        <f t="shared" si="18"/>
        <v>2.9822756267333546</v>
      </c>
      <c r="BJ8" s="46">
        <f t="shared" si="18"/>
        <v>2.9822756267333546</v>
      </c>
      <c r="BK8" s="46">
        <f t="shared" si="18"/>
        <v>2.9822756267333546</v>
      </c>
      <c r="BL8" s="46">
        <f t="shared" si="18"/>
        <v>2.9822756267333546</v>
      </c>
      <c r="BM8" s="46">
        <f t="shared" si="18"/>
        <v>2.9822756267333546</v>
      </c>
      <c r="BN8" s="46">
        <f t="shared" si="18"/>
        <v>2.9822756267333546</v>
      </c>
      <c r="BO8" s="46">
        <f t="shared" si="18"/>
        <v>2.9822756267333546</v>
      </c>
      <c r="BP8" s="46">
        <f t="shared" si="18"/>
        <v>2.9822756267333546</v>
      </c>
      <c r="BQ8" s="46">
        <f t="shared" si="18"/>
        <v>2.9822756267333546</v>
      </c>
      <c r="BR8" s="46">
        <f t="shared" si="18"/>
        <v>2.9822756267333546</v>
      </c>
      <c r="BS8" s="46">
        <f t="shared" si="18"/>
        <v>2.9822756267333546</v>
      </c>
      <c r="BT8" s="46">
        <f t="shared" si="18"/>
        <v>2.9822756267333546</v>
      </c>
      <c r="BU8" s="46">
        <f t="shared" ref="BU8:CK8" si="20">+BT8</f>
        <v>2.9822756267333546</v>
      </c>
      <c r="BV8" s="46">
        <f t="shared" si="20"/>
        <v>2.9822756267333546</v>
      </c>
      <c r="BW8" s="46">
        <f t="shared" si="20"/>
        <v>2.9822756267333546</v>
      </c>
      <c r="BX8" s="46">
        <f t="shared" si="20"/>
        <v>2.9822756267333546</v>
      </c>
      <c r="BY8" s="46">
        <f t="shared" si="20"/>
        <v>2.9822756267333546</v>
      </c>
      <c r="BZ8" s="46">
        <f t="shared" si="20"/>
        <v>2.9822756267333546</v>
      </c>
      <c r="CA8" s="46">
        <f t="shared" si="20"/>
        <v>2.9822756267333546</v>
      </c>
      <c r="CB8" s="46">
        <f t="shared" si="20"/>
        <v>2.9822756267333546</v>
      </c>
      <c r="CC8" s="46">
        <f t="shared" si="20"/>
        <v>2.9822756267333546</v>
      </c>
      <c r="CD8" s="46">
        <f t="shared" si="20"/>
        <v>2.9822756267333546</v>
      </c>
      <c r="CE8" s="46">
        <f t="shared" si="20"/>
        <v>2.9822756267333546</v>
      </c>
      <c r="CF8" s="46">
        <f t="shared" si="20"/>
        <v>2.9822756267333546</v>
      </c>
      <c r="CG8" s="46">
        <f t="shared" si="20"/>
        <v>2.9822756267333546</v>
      </c>
      <c r="CH8" s="46">
        <f t="shared" si="20"/>
        <v>2.9822756267333546</v>
      </c>
      <c r="CI8" s="46">
        <f t="shared" si="20"/>
        <v>2.9822756267333546</v>
      </c>
      <c r="CJ8" s="46">
        <f t="shared" si="20"/>
        <v>2.9822756267333546</v>
      </c>
      <c r="CK8" s="46">
        <f t="shared" si="20"/>
        <v>2.9822756267333546</v>
      </c>
    </row>
    <row r="9" spans="2:89">
      <c r="C9" t="s">
        <v>6</v>
      </c>
      <c r="D9" t="str">
        <f>_xlfn.TEXTJOIN(",",TRUE,Regions!$C$3,Regions!$D$3)</f>
        <v>IE,National</v>
      </c>
      <c r="E9" t="s">
        <v>21</v>
      </c>
      <c r="F9" s="28"/>
      <c r="G9" s="45">
        <f t="shared" si="4"/>
        <v>2.4</v>
      </c>
      <c r="H9" s="46">
        <f t="shared" si="0"/>
        <v>2.4</v>
      </c>
      <c r="I9" s="46">
        <f t="shared" ref="I9:BT9" si="21">+H9</f>
        <v>2.4</v>
      </c>
      <c r="J9" s="46">
        <f t="shared" si="21"/>
        <v>2.4</v>
      </c>
      <c r="K9" s="46">
        <f t="shared" si="6"/>
        <v>2.472</v>
      </c>
      <c r="L9" s="46">
        <f>+$G9*$S75/N$75</f>
        <v>2.4014329876959208</v>
      </c>
      <c r="M9" s="46">
        <f t="shared" ref="M9:AM9" si="22">+$G9*$S75/O$75</f>
        <v>2.6562790207021578</v>
      </c>
      <c r="N9" s="46">
        <f t="shared" si="22"/>
        <v>2.7412284178652326</v>
      </c>
      <c r="O9" s="46">
        <f t="shared" si="22"/>
        <v>2.5325872730913552</v>
      </c>
      <c r="P9" s="46">
        <f t="shared" si="22"/>
        <v>2.626245764210529</v>
      </c>
      <c r="Q9" s="46">
        <f t="shared" si="22"/>
        <v>2.4</v>
      </c>
      <c r="R9" s="46">
        <f t="shared" si="22"/>
        <v>2.308678790600347</v>
      </c>
      <c r="S9" s="46">
        <f t="shared" si="22"/>
        <v>2.2208323992366168</v>
      </c>
      <c r="T9" s="46">
        <f t="shared" si="22"/>
        <v>2.1363286073315249</v>
      </c>
      <c r="U9" s="46">
        <f t="shared" si="22"/>
        <v>2.1360087807611197</v>
      </c>
      <c r="V9" s="46">
        <f t="shared" si="22"/>
        <v>2.1356890020714738</v>
      </c>
      <c r="W9" s="46">
        <f t="shared" si="22"/>
        <v>2.1353692712554189</v>
      </c>
      <c r="X9" s="46">
        <f t="shared" si="22"/>
        <v>2.1350495883057872</v>
      </c>
      <c r="Y9" s="46">
        <f t="shared" si="22"/>
        <v>2.1347299532154134</v>
      </c>
      <c r="Z9" s="46">
        <f t="shared" si="22"/>
        <v>2.1159989837040887</v>
      </c>
      <c r="AA9" s="46">
        <f t="shared" si="22"/>
        <v>2.0974323671678583</v>
      </c>
      <c r="AB9" s="46">
        <f t="shared" si="22"/>
        <v>2.0790286615083615</v>
      </c>
      <c r="AC9" s="46">
        <f t="shared" si="22"/>
        <v>2.0607864372807829</v>
      </c>
      <c r="AD9" s="46">
        <f t="shared" si="22"/>
        <v>2.0427042775828239</v>
      </c>
      <c r="AE9" s="46">
        <f t="shared" si="22"/>
        <v>2.029094018080372</v>
      </c>
      <c r="AF9" s="46">
        <f t="shared" si="22"/>
        <v>2.0155744418773862</v>
      </c>
      <c r="AG9" s="46">
        <f t="shared" si="22"/>
        <v>2.0021449447634319</v>
      </c>
      <c r="AH9" s="46">
        <f t="shared" si="22"/>
        <v>1.9888049265538468</v>
      </c>
      <c r="AI9" s="46">
        <f t="shared" si="22"/>
        <v>1.9755537910629168</v>
      </c>
      <c r="AJ9" s="46">
        <f t="shared" si="22"/>
        <v>1.9652709880267298</v>
      </c>
      <c r="AK9" s="46">
        <f t="shared" si="22"/>
        <v>1.9550417072174542</v>
      </c>
      <c r="AL9" s="46">
        <f t="shared" si="22"/>
        <v>1.9448656700506648</v>
      </c>
      <c r="AM9" s="46">
        <f t="shared" si="22"/>
        <v>1.9347425993919745</v>
      </c>
      <c r="AN9" s="46">
        <f t="shared" si="21"/>
        <v>1.9347425993919745</v>
      </c>
      <c r="AO9" s="46">
        <f t="shared" si="21"/>
        <v>1.9347425993919745</v>
      </c>
      <c r="AP9" s="46">
        <f t="shared" si="21"/>
        <v>1.9347425993919745</v>
      </c>
      <c r="AQ9" s="46">
        <f t="shared" si="21"/>
        <v>1.9347425993919745</v>
      </c>
      <c r="AR9" s="46">
        <f t="shared" si="21"/>
        <v>1.9347425993919745</v>
      </c>
      <c r="AS9" s="46">
        <f t="shared" si="21"/>
        <v>1.9347425993919745</v>
      </c>
      <c r="AT9" s="46">
        <f t="shared" si="21"/>
        <v>1.9347425993919745</v>
      </c>
      <c r="AU9" s="46">
        <f t="shared" si="21"/>
        <v>1.9347425993919745</v>
      </c>
      <c r="AV9" s="46">
        <f t="shared" si="21"/>
        <v>1.9347425993919745</v>
      </c>
      <c r="AW9" s="46">
        <f t="shared" si="21"/>
        <v>1.9347425993919745</v>
      </c>
      <c r="AX9" s="46">
        <f t="shared" si="21"/>
        <v>1.9347425993919745</v>
      </c>
      <c r="AY9" s="46">
        <f t="shared" si="21"/>
        <v>1.9347425993919745</v>
      </c>
      <c r="AZ9" s="46">
        <f t="shared" si="21"/>
        <v>1.9347425993919745</v>
      </c>
      <c r="BA9" s="46">
        <f t="shared" si="21"/>
        <v>1.9347425993919745</v>
      </c>
      <c r="BB9" s="46">
        <f t="shared" si="21"/>
        <v>1.9347425993919745</v>
      </c>
      <c r="BC9" s="46">
        <f t="shared" si="21"/>
        <v>1.9347425993919745</v>
      </c>
      <c r="BD9" s="46">
        <f t="shared" si="21"/>
        <v>1.9347425993919745</v>
      </c>
      <c r="BE9" s="46">
        <f t="shared" si="21"/>
        <v>1.9347425993919745</v>
      </c>
      <c r="BF9" s="46">
        <f t="shared" si="21"/>
        <v>1.9347425993919745</v>
      </c>
      <c r="BG9" s="46">
        <f t="shared" si="21"/>
        <v>1.9347425993919745</v>
      </c>
      <c r="BH9" s="46">
        <f t="shared" si="21"/>
        <v>1.9347425993919745</v>
      </c>
      <c r="BI9" s="46">
        <f t="shared" si="21"/>
        <v>1.9347425993919745</v>
      </c>
      <c r="BJ9" s="46">
        <f t="shared" si="21"/>
        <v>1.9347425993919745</v>
      </c>
      <c r="BK9" s="46">
        <f t="shared" si="21"/>
        <v>1.9347425993919745</v>
      </c>
      <c r="BL9" s="46">
        <f t="shared" si="21"/>
        <v>1.9347425993919745</v>
      </c>
      <c r="BM9" s="46">
        <f t="shared" si="21"/>
        <v>1.9347425993919745</v>
      </c>
      <c r="BN9" s="46">
        <f t="shared" si="21"/>
        <v>1.9347425993919745</v>
      </c>
      <c r="BO9" s="46">
        <f t="shared" si="21"/>
        <v>1.9347425993919745</v>
      </c>
      <c r="BP9" s="46">
        <f t="shared" si="21"/>
        <v>1.9347425993919745</v>
      </c>
      <c r="BQ9" s="46">
        <f t="shared" si="21"/>
        <v>1.9347425993919745</v>
      </c>
      <c r="BR9" s="46">
        <f t="shared" si="21"/>
        <v>1.9347425993919745</v>
      </c>
      <c r="BS9" s="46">
        <f t="shared" si="21"/>
        <v>1.9347425993919745</v>
      </c>
      <c r="BT9" s="46">
        <f t="shared" si="21"/>
        <v>1.9347425993919745</v>
      </c>
      <c r="BU9" s="46">
        <f t="shared" ref="BU9:CK9" si="23">+BT9</f>
        <v>1.9347425993919745</v>
      </c>
      <c r="BV9" s="46">
        <f t="shared" si="23"/>
        <v>1.9347425993919745</v>
      </c>
      <c r="BW9" s="46">
        <f t="shared" si="23"/>
        <v>1.9347425993919745</v>
      </c>
      <c r="BX9" s="46">
        <f t="shared" si="23"/>
        <v>1.9347425993919745</v>
      </c>
      <c r="BY9" s="46">
        <f t="shared" si="23"/>
        <v>1.9347425993919745</v>
      </c>
      <c r="BZ9" s="46">
        <f t="shared" si="23"/>
        <v>1.9347425993919745</v>
      </c>
      <c r="CA9" s="46">
        <f t="shared" si="23"/>
        <v>1.9347425993919745</v>
      </c>
      <c r="CB9" s="46">
        <f t="shared" si="23"/>
        <v>1.9347425993919745</v>
      </c>
      <c r="CC9" s="46">
        <f t="shared" si="23"/>
        <v>1.9347425993919745</v>
      </c>
      <c r="CD9" s="46">
        <f t="shared" si="23"/>
        <v>1.9347425993919745</v>
      </c>
      <c r="CE9" s="46">
        <f t="shared" si="23"/>
        <v>1.9347425993919745</v>
      </c>
      <c r="CF9" s="46">
        <f t="shared" si="23"/>
        <v>1.9347425993919745</v>
      </c>
      <c r="CG9" s="46">
        <f t="shared" si="23"/>
        <v>1.9347425993919745</v>
      </c>
      <c r="CH9" s="46">
        <f t="shared" si="23"/>
        <v>1.9347425993919745</v>
      </c>
      <c r="CI9" s="46">
        <f t="shared" si="23"/>
        <v>1.9347425993919745</v>
      </c>
      <c r="CJ9" s="46">
        <f t="shared" si="23"/>
        <v>1.9347425993919745</v>
      </c>
      <c r="CK9" s="46">
        <f t="shared" si="23"/>
        <v>1.9347425993919745</v>
      </c>
    </row>
    <row r="10" spans="2:89">
      <c r="C10" t="s">
        <v>6</v>
      </c>
      <c r="D10" t="str">
        <f>_xlfn.TEXTJOIN(",",TRUE,Regions!$C$3,Regions!$D$3)</f>
        <v>IE,National</v>
      </c>
      <c r="E10" t="s">
        <v>13</v>
      </c>
      <c r="F10" s="28"/>
      <c r="G10" s="45">
        <f t="shared" si="4"/>
        <v>5</v>
      </c>
      <c r="H10" s="46">
        <f t="shared" si="0"/>
        <v>5</v>
      </c>
      <c r="I10" s="46">
        <f t="shared" ref="I10:BT10" si="24">+H10</f>
        <v>5</v>
      </c>
      <c r="J10" s="46">
        <f t="shared" si="24"/>
        <v>5</v>
      </c>
      <c r="K10" s="46">
        <f t="shared" si="6"/>
        <v>5.15</v>
      </c>
      <c r="L10" s="46">
        <f>+$G10*$S71/N$71</f>
        <v>4.2303722533509482</v>
      </c>
      <c r="M10" s="46">
        <f t="shared" ref="M10:AM10" si="25">+$G10*$S71/O$71</f>
        <v>4.4659501633181833</v>
      </c>
      <c r="N10" s="46">
        <f t="shared" si="25"/>
        <v>5.0711505680665816</v>
      </c>
      <c r="O10" s="46">
        <f t="shared" si="25"/>
        <v>4.445005765225428</v>
      </c>
      <c r="P10" s="46">
        <f t="shared" si="25"/>
        <v>5.0397636310481468</v>
      </c>
      <c r="Q10" s="46">
        <f t="shared" si="25"/>
        <v>5</v>
      </c>
      <c r="R10" s="46">
        <f t="shared" si="25"/>
        <v>4.9599011352561346</v>
      </c>
      <c r="S10" s="46">
        <f t="shared" si="25"/>
        <v>4.9194760304269023</v>
      </c>
      <c r="T10" s="46">
        <f t="shared" si="25"/>
        <v>4.878731862282816</v>
      </c>
      <c r="U10" s="46">
        <f t="shared" si="25"/>
        <v>4.8376767299276633</v>
      </c>
      <c r="V10" s="46">
        <f t="shared" si="25"/>
        <v>4.7963184513366111</v>
      </c>
      <c r="W10" s="46">
        <f t="shared" si="25"/>
        <v>4.7546675859373231</v>
      </c>
      <c r="X10" s="46">
        <f t="shared" si="25"/>
        <v>4.712731543799932</v>
      </c>
      <c r="Y10" s="46">
        <f t="shared" si="25"/>
        <v>4.6705211115653773</v>
      </c>
      <c r="Z10" s="46">
        <f t="shared" si="25"/>
        <v>4.6280453026949449</v>
      </c>
      <c r="AA10" s="46">
        <f t="shared" si="25"/>
        <v>4.5853137528220493</v>
      </c>
      <c r="AB10" s="46">
        <f t="shared" si="25"/>
        <v>4.5423362258051228</v>
      </c>
      <c r="AC10" s="46">
        <f t="shared" si="25"/>
        <v>4.4991241709992398</v>
      </c>
      <c r="AD10" s="46">
        <f t="shared" si="25"/>
        <v>4.455688184868027</v>
      </c>
      <c r="AE10" s="46">
        <f t="shared" si="25"/>
        <v>4.4120386726248002</v>
      </c>
      <c r="AF10" s="46">
        <f t="shared" si="25"/>
        <v>4.3681873262304913</v>
      </c>
      <c r="AG10" s="46">
        <f t="shared" si="25"/>
        <v>4.3241457099025533</v>
      </c>
      <c r="AH10" s="46">
        <f t="shared" si="25"/>
        <v>4.2799253567917201</v>
      </c>
      <c r="AI10" s="46">
        <f t="shared" si="25"/>
        <v>4.2355382716646748</v>
      </c>
      <c r="AJ10" s="46">
        <f t="shared" si="25"/>
        <v>4.1909965397186202</v>
      </c>
      <c r="AK10" s="46">
        <f t="shared" si="25"/>
        <v>4.1463123923418985</v>
      </c>
      <c r="AL10" s="46">
        <f t="shared" si="25"/>
        <v>4.1014982626017238</v>
      </c>
      <c r="AM10" s="46">
        <f t="shared" si="25"/>
        <v>4.0565672017889431</v>
      </c>
      <c r="AN10" s="46">
        <f t="shared" si="24"/>
        <v>4.0565672017889431</v>
      </c>
      <c r="AO10" s="46">
        <f t="shared" si="24"/>
        <v>4.0565672017889431</v>
      </c>
      <c r="AP10" s="46">
        <f t="shared" si="24"/>
        <v>4.0565672017889431</v>
      </c>
      <c r="AQ10" s="46">
        <f t="shared" si="24"/>
        <v>4.0565672017889431</v>
      </c>
      <c r="AR10" s="46">
        <f t="shared" si="24"/>
        <v>4.0565672017889431</v>
      </c>
      <c r="AS10" s="46">
        <f t="shared" si="24"/>
        <v>4.0565672017889431</v>
      </c>
      <c r="AT10" s="46">
        <f t="shared" si="24"/>
        <v>4.0565672017889431</v>
      </c>
      <c r="AU10" s="46">
        <f t="shared" si="24"/>
        <v>4.0565672017889431</v>
      </c>
      <c r="AV10" s="46">
        <f t="shared" si="24"/>
        <v>4.0565672017889431</v>
      </c>
      <c r="AW10" s="46">
        <f t="shared" si="24"/>
        <v>4.0565672017889431</v>
      </c>
      <c r="AX10" s="46">
        <f t="shared" si="24"/>
        <v>4.0565672017889431</v>
      </c>
      <c r="AY10" s="46">
        <f t="shared" si="24"/>
        <v>4.0565672017889431</v>
      </c>
      <c r="AZ10" s="46">
        <f t="shared" si="24"/>
        <v>4.0565672017889431</v>
      </c>
      <c r="BA10" s="46">
        <f t="shared" si="24"/>
        <v>4.0565672017889431</v>
      </c>
      <c r="BB10" s="46">
        <f t="shared" si="24"/>
        <v>4.0565672017889431</v>
      </c>
      <c r="BC10" s="46">
        <f t="shared" si="24"/>
        <v>4.0565672017889431</v>
      </c>
      <c r="BD10" s="46">
        <f t="shared" si="24"/>
        <v>4.0565672017889431</v>
      </c>
      <c r="BE10" s="46">
        <f t="shared" si="24"/>
        <v>4.0565672017889431</v>
      </c>
      <c r="BF10" s="46">
        <f t="shared" si="24"/>
        <v>4.0565672017889431</v>
      </c>
      <c r="BG10" s="46">
        <f t="shared" si="24"/>
        <v>4.0565672017889431</v>
      </c>
      <c r="BH10" s="46">
        <f t="shared" si="24"/>
        <v>4.0565672017889431</v>
      </c>
      <c r="BI10" s="46">
        <f t="shared" si="24"/>
        <v>4.0565672017889431</v>
      </c>
      <c r="BJ10" s="46">
        <f t="shared" si="24"/>
        <v>4.0565672017889431</v>
      </c>
      <c r="BK10" s="46">
        <f t="shared" si="24"/>
        <v>4.0565672017889431</v>
      </c>
      <c r="BL10" s="46">
        <f t="shared" si="24"/>
        <v>4.0565672017889431</v>
      </c>
      <c r="BM10" s="46">
        <f t="shared" si="24"/>
        <v>4.0565672017889431</v>
      </c>
      <c r="BN10" s="46">
        <f t="shared" si="24"/>
        <v>4.0565672017889431</v>
      </c>
      <c r="BO10" s="46">
        <f t="shared" si="24"/>
        <v>4.0565672017889431</v>
      </c>
      <c r="BP10" s="46">
        <f t="shared" si="24"/>
        <v>4.0565672017889431</v>
      </c>
      <c r="BQ10" s="46">
        <f t="shared" si="24"/>
        <v>4.0565672017889431</v>
      </c>
      <c r="BR10" s="46">
        <f t="shared" si="24"/>
        <v>4.0565672017889431</v>
      </c>
      <c r="BS10" s="46">
        <f t="shared" si="24"/>
        <v>4.0565672017889431</v>
      </c>
      <c r="BT10" s="46">
        <f t="shared" si="24"/>
        <v>4.0565672017889431</v>
      </c>
      <c r="BU10" s="46">
        <f t="shared" ref="BU10:CK10" si="26">+BT10</f>
        <v>4.0565672017889431</v>
      </c>
      <c r="BV10" s="46">
        <f t="shared" si="26"/>
        <v>4.0565672017889431</v>
      </c>
      <c r="BW10" s="46">
        <f t="shared" si="26"/>
        <v>4.0565672017889431</v>
      </c>
      <c r="BX10" s="46">
        <f t="shared" si="26"/>
        <v>4.0565672017889431</v>
      </c>
      <c r="BY10" s="46">
        <f t="shared" si="26"/>
        <v>4.0565672017889431</v>
      </c>
      <c r="BZ10" s="46">
        <f t="shared" si="26"/>
        <v>4.0565672017889431</v>
      </c>
      <c r="CA10" s="46">
        <f t="shared" si="26"/>
        <v>4.0565672017889431</v>
      </c>
      <c r="CB10" s="46">
        <f t="shared" si="26"/>
        <v>4.0565672017889431</v>
      </c>
      <c r="CC10" s="46">
        <f t="shared" si="26"/>
        <v>4.0565672017889431</v>
      </c>
      <c r="CD10" s="46">
        <f t="shared" si="26"/>
        <v>4.0565672017889431</v>
      </c>
      <c r="CE10" s="46">
        <f t="shared" si="26"/>
        <v>4.0565672017889431</v>
      </c>
      <c r="CF10" s="46">
        <f t="shared" si="26"/>
        <v>4.0565672017889431</v>
      </c>
      <c r="CG10" s="46">
        <f t="shared" si="26"/>
        <v>4.0565672017889431</v>
      </c>
      <c r="CH10" s="46">
        <f t="shared" si="26"/>
        <v>4.0565672017889431</v>
      </c>
      <c r="CI10" s="46">
        <f t="shared" si="26"/>
        <v>4.0565672017889431</v>
      </c>
      <c r="CJ10" s="46">
        <f t="shared" si="26"/>
        <v>4.0565672017889431</v>
      </c>
      <c r="CK10" s="46">
        <f t="shared" si="26"/>
        <v>4.0565672017889431</v>
      </c>
    </row>
    <row r="11" spans="2:89">
      <c r="C11" t="s">
        <v>6</v>
      </c>
      <c r="D11" t="str">
        <f>_xlfn.TEXTJOIN(",",TRUE,Regions!$C$3,Regions!$D$3)</f>
        <v>IE,National</v>
      </c>
      <c r="E11" s="83" t="s">
        <v>209</v>
      </c>
      <c r="F11" s="28"/>
      <c r="G11" s="45">
        <f t="shared" si="4"/>
        <v>23.439361110035826</v>
      </c>
      <c r="H11" s="46">
        <f t="shared" si="0"/>
        <v>23.439361110035826</v>
      </c>
      <c r="I11" s="46">
        <f t="shared" ref="I11:BT11" si="27">+H11</f>
        <v>23.439361110035826</v>
      </c>
      <c r="J11" s="46">
        <f t="shared" si="27"/>
        <v>23.439361110035826</v>
      </c>
      <c r="K11" s="46">
        <f t="shared" si="6"/>
        <v>24.142541943336902</v>
      </c>
      <c r="L11" s="46">
        <f>+$G11*$S80/N$80</f>
        <v>23.89677993089175</v>
      </c>
      <c r="M11" s="46">
        <f t="shared" ref="M11:AM11" si="28">+$G11*$S80/O$80</f>
        <v>26.056280850729088</v>
      </c>
      <c r="N11" s="46">
        <f t="shared" si="28"/>
        <v>26.354800887785572</v>
      </c>
      <c r="O11" s="46">
        <f t="shared" si="28"/>
        <v>27.099101485084933</v>
      </c>
      <c r="P11" s="46">
        <f t="shared" si="28"/>
        <v>23.92723766874834</v>
      </c>
      <c r="Q11" s="46">
        <f t="shared" si="28"/>
        <v>23.439361110035826</v>
      </c>
      <c r="R11" s="46">
        <f t="shared" si="28"/>
        <v>22.993875200251658</v>
      </c>
      <c r="S11" s="46">
        <f t="shared" si="28"/>
        <v>22.585783885819783</v>
      </c>
      <c r="T11" s="46">
        <f t="shared" si="28"/>
        <v>22.210196513694079</v>
      </c>
      <c r="U11" s="46">
        <f t="shared" si="28"/>
        <v>21.86468787904834</v>
      </c>
      <c r="V11" s="46">
        <f t="shared" si="28"/>
        <v>21.543563273497242</v>
      </c>
      <c r="W11" s="46">
        <f t="shared" si="28"/>
        <v>21.241455628910032</v>
      </c>
      <c r="X11" s="46">
        <f t="shared" si="28"/>
        <v>20.957981928406298</v>
      </c>
      <c r="Y11" s="46">
        <f t="shared" si="28"/>
        <v>20.69024009264843</v>
      </c>
      <c r="Z11" s="46">
        <f t="shared" si="28"/>
        <v>20.438046377483175</v>
      </c>
      <c r="AA11" s="46">
        <f t="shared" si="28"/>
        <v>20.199385859613212</v>
      </c>
      <c r="AB11" s="46">
        <f t="shared" si="28"/>
        <v>19.973027415969675</v>
      </c>
      <c r="AC11" s="46">
        <f t="shared" si="28"/>
        <v>19.759714447898297</v>
      </c>
      <c r="AD11" s="46">
        <f t="shared" si="28"/>
        <v>19.559502831857337</v>
      </c>
      <c r="AE11" s="46">
        <f t="shared" si="28"/>
        <v>19.372536636364533</v>
      </c>
      <c r="AF11" s="46">
        <f t="shared" si="28"/>
        <v>19.198723596278242</v>
      </c>
      <c r="AG11" s="46">
        <f t="shared" si="28"/>
        <v>19.038914383054578</v>
      </c>
      <c r="AH11" s="46">
        <f t="shared" si="28"/>
        <v>18.893389477157736</v>
      </c>
      <c r="AI11" s="46">
        <f t="shared" si="28"/>
        <v>18.762062854347278</v>
      </c>
      <c r="AJ11" s="46">
        <f t="shared" si="28"/>
        <v>18.645459708898176</v>
      </c>
      <c r="AK11" s="46">
        <f t="shared" si="28"/>
        <v>18.544407306910298</v>
      </c>
      <c r="AL11" s="46">
        <f t="shared" si="28"/>
        <v>18.460938357434323</v>
      </c>
      <c r="AM11" s="46">
        <f t="shared" si="28"/>
        <v>18.395430353858291</v>
      </c>
      <c r="AN11" s="46">
        <f t="shared" si="27"/>
        <v>18.395430353858291</v>
      </c>
      <c r="AO11" s="46">
        <f t="shared" si="27"/>
        <v>18.395430353858291</v>
      </c>
      <c r="AP11" s="46">
        <f t="shared" si="27"/>
        <v>18.395430353858291</v>
      </c>
      <c r="AQ11" s="46">
        <f t="shared" si="27"/>
        <v>18.395430353858291</v>
      </c>
      <c r="AR11" s="46">
        <f t="shared" si="27"/>
        <v>18.395430353858291</v>
      </c>
      <c r="AS11" s="46">
        <f t="shared" si="27"/>
        <v>18.395430353858291</v>
      </c>
      <c r="AT11" s="46">
        <f t="shared" si="27"/>
        <v>18.395430353858291</v>
      </c>
      <c r="AU11" s="46">
        <f t="shared" si="27"/>
        <v>18.395430353858291</v>
      </c>
      <c r="AV11" s="46">
        <f t="shared" si="27"/>
        <v>18.395430353858291</v>
      </c>
      <c r="AW11" s="46">
        <f t="shared" si="27"/>
        <v>18.395430353858291</v>
      </c>
      <c r="AX11" s="46">
        <f t="shared" si="27"/>
        <v>18.395430353858291</v>
      </c>
      <c r="AY11" s="46">
        <f t="shared" si="27"/>
        <v>18.395430353858291</v>
      </c>
      <c r="AZ11" s="46">
        <f t="shared" si="27"/>
        <v>18.395430353858291</v>
      </c>
      <c r="BA11" s="46">
        <f t="shared" si="27"/>
        <v>18.395430353858291</v>
      </c>
      <c r="BB11" s="46">
        <f t="shared" si="27"/>
        <v>18.395430353858291</v>
      </c>
      <c r="BC11" s="46">
        <f t="shared" si="27"/>
        <v>18.395430353858291</v>
      </c>
      <c r="BD11" s="46">
        <f t="shared" si="27"/>
        <v>18.395430353858291</v>
      </c>
      <c r="BE11" s="46">
        <f t="shared" si="27"/>
        <v>18.395430353858291</v>
      </c>
      <c r="BF11" s="46">
        <f t="shared" si="27"/>
        <v>18.395430353858291</v>
      </c>
      <c r="BG11" s="46">
        <f t="shared" si="27"/>
        <v>18.395430353858291</v>
      </c>
      <c r="BH11" s="46">
        <f t="shared" si="27"/>
        <v>18.395430353858291</v>
      </c>
      <c r="BI11" s="46">
        <f t="shared" si="27"/>
        <v>18.395430353858291</v>
      </c>
      <c r="BJ11" s="46">
        <f t="shared" si="27"/>
        <v>18.395430353858291</v>
      </c>
      <c r="BK11" s="46">
        <f t="shared" si="27"/>
        <v>18.395430353858291</v>
      </c>
      <c r="BL11" s="46">
        <f t="shared" si="27"/>
        <v>18.395430353858291</v>
      </c>
      <c r="BM11" s="46">
        <f t="shared" si="27"/>
        <v>18.395430353858291</v>
      </c>
      <c r="BN11" s="46">
        <f t="shared" si="27"/>
        <v>18.395430353858291</v>
      </c>
      <c r="BO11" s="46">
        <f t="shared" si="27"/>
        <v>18.395430353858291</v>
      </c>
      <c r="BP11" s="46">
        <f t="shared" si="27"/>
        <v>18.395430353858291</v>
      </c>
      <c r="BQ11" s="46">
        <f t="shared" si="27"/>
        <v>18.395430353858291</v>
      </c>
      <c r="BR11" s="46">
        <f t="shared" si="27"/>
        <v>18.395430353858291</v>
      </c>
      <c r="BS11" s="46">
        <f t="shared" si="27"/>
        <v>18.395430353858291</v>
      </c>
      <c r="BT11" s="46">
        <f t="shared" si="27"/>
        <v>18.395430353858291</v>
      </c>
      <c r="BU11" s="46">
        <f t="shared" ref="BU11:CK11" si="29">+BT11</f>
        <v>18.395430353858291</v>
      </c>
      <c r="BV11" s="46">
        <f t="shared" si="29"/>
        <v>18.395430353858291</v>
      </c>
      <c r="BW11" s="46">
        <f t="shared" si="29"/>
        <v>18.395430353858291</v>
      </c>
      <c r="BX11" s="46">
        <f t="shared" si="29"/>
        <v>18.395430353858291</v>
      </c>
      <c r="BY11" s="46">
        <f t="shared" si="29"/>
        <v>18.395430353858291</v>
      </c>
      <c r="BZ11" s="46">
        <f t="shared" si="29"/>
        <v>18.395430353858291</v>
      </c>
      <c r="CA11" s="46">
        <f t="shared" si="29"/>
        <v>18.395430353858291</v>
      </c>
      <c r="CB11" s="46">
        <f t="shared" si="29"/>
        <v>18.395430353858291</v>
      </c>
      <c r="CC11" s="46">
        <f t="shared" si="29"/>
        <v>18.395430353858291</v>
      </c>
      <c r="CD11" s="46">
        <f t="shared" si="29"/>
        <v>18.395430353858291</v>
      </c>
      <c r="CE11" s="46">
        <f t="shared" si="29"/>
        <v>18.395430353858291</v>
      </c>
      <c r="CF11" s="46">
        <f t="shared" si="29"/>
        <v>18.395430353858291</v>
      </c>
      <c r="CG11" s="46">
        <f t="shared" si="29"/>
        <v>18.395430353858291</v>
      </c>
      <c r="CH11" s="46">
        <f t="shared" si="29"/>
        <v>18.395430353858291</v>
      </c>
      <c r="CI11" s="46">
        <f t="shared" si="29"/>
        <v>18.395430353858291</v>
      </c>
      <c r="CJ11" s="46">
        <f t="shared" si="29"/>
        <v>18.395430353858291</v>
      </c>
      <c r="CK11" s="46">
        <f t="shared" si="29"/>
        <v>18.395430353858291</v>
      </c>
    </row>
    <row r="12" spans="2:89">
      <c r="C12" t="s">
        <v>6</v>
      </c>
      <c r="D12" t="str">
        <f>_xlfn.TEXTJOIN(",",TRUE,Regions!$C$3,Regions!$D$3)</f>
        <v>IE,National</v>
      </c>
      <c r="E12" s="83" t="s">
        <v>210</v>
      </c>
      <c r="F12" s="28"/>
      <c r="G12" s="45">
        <f t="shared" si="4"/>
        <v>0</v>
      </c>
      <c r="H12" s="46">
        <f t="shared" si="0"/>
        <v>0</v>
      </c>
      <c r="I12" s="46">
        <f t="shared" ref="I12:BT12" si="30">+H12</f>
        <v>0</v>
      </c>
      <c r="J12" s="46">
        <f t="shared" si="30"/>
        <v>0</v>
      </c>
      <c r="K12" s="46">
        <f t="shared" si="6"/>
        <v>0</v>
      </c>
      <c r="L12" s="46">
        <f t="shared" ref="L12" si="31">+$G12*$S84/N$75</f>
        <v>0</v>
      </c>
      <c r="M12" s="46">
        <f t="shared" si="30"/>
        <v>0</v>
      </c>
      <c r="N12" s="46">
        <f t="shared" si="30"/>
        <v>0</v>
      </c>
      <c r="O12" s="46">
        <f t="shared" si="30"/>
        <v>0</v>
      </c>
      <c r="P12" s="46">
        <f t="shared" si="30"/>
        <v>0</v>
      </c>
      <c r="Q12" s="46">
        <f t="shared" si="30"/>
        <v>0</v>
      </c>
      <c r="R12" s="46">
        <f t="shared" si="30"/>
        <v>0</v>
      </c>
      <c r="S12" s="46">
        <f t="shared" si="30"/>
        <v>0</v>
      </c>
      <c r="T12" s="46">
        <f t="shared" si="30"/>
        <v>0</v>
      </c>
      <c r="U12" s="46">
        <f t="shared" si="30"/>
        <v>0</v>
      </c>
      <c r="V12" s="46">
        <f t="shared" si="30"/>
        <v>0</v>
      </c>
      <c r="W12" s="46">
        <f t="shared" si="30"/>
        <v>0</v>
      </c>
      <c r="X12" s="46">
        <f t="shared" si="30"/>
        <v>0</v>
      </c>
      <c r="Y12" s="46">
        <f t="shared" si="30"/>
        <v>0</v>
      </c>
      <c r="Z12" s="46">
        <f t="shared" si="30"/>
        <v>0</v>
      </c>
      <c r="AA12" s="46">
        <f t="shared" si="30"/>
        <v>0</v>
      </c>
      <c r="AB12" s="46">
        <f t="shared" si="30"/>
        <v>0</v>
      </c>
      <c r="AC12" s="46">
        <f t="shared" si="30"/>
        <v>0</v>
      </c>
      <c r="AD12" s="46">
        <f t="shared" si="30"/>
        <v>0</v>
      </c>
      <c r="AE12" s="46">
        <f t="shared" si="30"/>
        <v>0</v>
      </c>
      <c r="AF12" s="46">
        <f t="shared" si="30"/>
        <v>0</v>
      </c>
      <c r="AG12" s="46">
        <f t="shared" si="30"/>
        <v>0</v>
      </c>
      <c r="AH12" s="46">
        <f t="shared" si="30"/>
        <v>0</v>
      </c>
      <c r="AI12" s="46">
        <f t="shared" si="30"/>
        <v>0</v>
      </c>
      <c r="AJ12" s="46">
        <f t="shared" si="30"/>
        <v>0</v>
      </c>
      <c r="AK12" s="46">
        <f t="shared" si="30"/>
        <v>0</v>
      </c>
      <c r="AL12" s="46">
        <f t="shared" si="30"/>
        <v>0</v>
      </c>
      <c r="AM12" s="46">
        <f t="shared" si="30"/>
        <v>0</v>
      </c>
      <c r="AN12" s="46">
        <f t="shared" si="30"/>
        <v>0</v>
      </c>
      <c r="AO12" s="46">
        <f t="shared" si="30"/>
        <v>0</v>
      </c>
      <c r="AP12" s="46">
        <f t="shared" si="30"/>
        <v>0</v>
      </c>
      <c r="AQ12" s="46">
        <f t="shared" si="30"/>
        <v>0</v>
      </c>
      <c r="AR12" s="46">
        <f t="shared" si="30"/>
        <v>0</v>
      </c>
      <c r="AS12" s="46">
        <f t="shared" si="30"/>
        <v>0</v>
      </c>
      <c r="AT12" s="46">
        <f t="shared" si="30"/>
        <v>0</v>
      </c>
      <c r="AU12" s="46">
        <f t="shared" si="30"/>
        <v>0</v>
      </c>
      <c r="AV12" s="46">
        <f t="shared" si="30"/>
        <v>0</v>
      </c>
      <c r="AW12" s="46">
        <f t="shared" si="30"/>
        <v>0</v>
      </c>
      <c r="AX12" s="46">
        <f t="shared" si="30"/>
        <v>0</v>
      </c>
      <c r="AY12" s="46">
        <f t="shared" si="30"/>
        <v>0</v>
      </c>
      <c r="AZ12" s="46">
        <f t="shared" si="30"/>
        <v>0</v>
      </c>
      <c r="BA12" s="46">
        <f t="shared" si="30"/>
        <v>0</v>
      </c>
      <c r="BB12" s="46">
        <f t="shared" si="30"/>
        <v>0</v>
      </c>
      <c r="BC12" s="46">
        <f t="shared" si="30"/>
        <v>0</v>
      </c>
      <c r="BD12" s="46">
        <f t="shared" si="30"/>
        <v>0</v>
      </c>
      <c r="BE12" s="46">
        <f t="shared" si="30"/>
        <v>0</v>
      </c>
      <c r="BF12" s="46">
        <f t="shared" si="30"/>
        <v>0</v>
      </c>
      <c r="BG12" s="46">
        <f t="shared" si="30"/>
        <v>0</v>
      </c>
      <c r="BH12" s="46">
        <f t="shared" si="30"/>
        <v>0</v>
      </c>
      <c r="BI12" s="46">
        <f t="shared" si="30"/>
        <v>0</v>
      </c>
      <c r="BJ12" s="46">
        <f t="shared" si="30"/>
        <v>0</v>
      </c>
      <c r="BK12" s="46">
        <f t="shared" si="30"/>
        <v>0</v>
      </c>
      <c r="BL12" s="46">
        <f t="shared" si="30"/>
        <v>0</v>
      </c>
      <c r="BM12" s="46">
        <f t="shared" si="30"/>
        <v>0</v>
      </c>
      <c r="BN12" s="46">
        <f t="shared" si="30"/>
        <v>0</v>
      </c>
      <c r="BO12" s="46">
        <f t="shared" si="30"/>
        <v>0</v>
      </c>
      <c r="BP12" s="46">
        <f t="shared" si="30"/>
        <v>0</v>
      </c>
      <c r="BQ12" s="46">
        <f t="shared" si="30"/>
        <v>0</v>
      </c>
      <c r="BR12" s="46">
        <f t="shared" si="30"/>
        <v>0</v>
      </c>
      <c r="BS12" s="46">
        <f t="shared" si="30"/>
        <v>0</v>
      </c>
      <c r="BT12" s="46">
        <f t="shared" si="30"/>
        <v>0</v>
      </c>
      <c r="BU12" s="46">
        <f t="shared" ref="BU12:CK12" si="32">+BT12</f>
        <v>0</v>
      </c>
      <c r="BV12" s="46">
        <f t="shared" si="32"/>
        <v>0</v>
      </c>
      <c r="BW12" s="46">
        <f t="shared" si="32"/>
        <v>0</v>
      </c>
      <c r="BX12" s="46">
        <f t="shared" si="32"/>
        <v>0</v>
      </c>
      <c r="BY12" s="46">
        <f t="shared" si="32"/>
        <v>0</v>
      </c>
      <c r="BZ12" s="46">
        <f t="shared" si="32"/>
        <v>0</v>
      </c>
      <c r="CA12" s="46">
        <f t="shared" si="32"/>
        <v>0</v>
      </c>
      <c r="CB12" s="46">
        <f t="shared" si="32"/>
        <v>0</v>
      </c>
      <c r="CC12" s="46">
        <f t="shared" si="32"/>
        <v>0</v>
      </c>
      <c r="CD12" s="46">
        <f t="shared" si="32"/>
        <v>0</v>
      </c>
      <c r="CE12" s="46">
        <f t="shared" si="32"/>
        <v>0</v>
      </c>
      <c r="CF12" s="46">
        <f t="shared" si="32"/>
        <v>0</v>
      </c>
      <c r="CG12" s="46">
        <f t="shared" si="32"/>
        <v>0</v>
      </c>
      <c r="CH12" s="46">
        <f t="shared" si="32"/>
        <v>0</v>
      </c>
      <c r="CI12" s="46">
        <f t="shared" si="32"/>
        <v>0</v>
      </c>
      <c r="CJ12" s="46">
        <f t="shared" si="32"/>
        <v>0</v>
      </c>
      <c r="CK12" s="46">
        <f t="shared" si="32"/>
        <v>0</v>
      </c>
    </row>
    <row r="13" spans="2:89">
      <c r="C13" t="s">
        <v>6</v>
      </c>
      <c r="D13" t="str">
        <f>_xlfn.TEXTJOIN(",",TRUE,Regions!$C$3,Regions!$D$3)</f>
        <v>IE,National</v>
      </c>
      <c r="E13" t="s">
        <v>27</v>
      </c>
      <c r="F13" s="28" t="s">
        <v>28</v>
      </c>
      <c r="G13" s="45">
        <f>VLOOKUP(E13,'BY-Demands'!$I$6:$J$42,2,FALSE)</f>
        <v>0</v>
      </c>
      <c r="H13" s="46">
        <f t="shared" si="0"/>
        <v>0</v>
      </c>
      <c r="I13" s="46">
        <f t="shared" ref="I13:BT13" si="33">+H13</f>
        <v>0</v>
      </c>
      <c r="J13" s="46">
        <f t="shared" si="33"/>
        <v>0</v>
      </c>
      <c r="K13" s="46">
        <f t="shared" si="33"/>
        <v>0</v>
      </c>
      <c r="L13" s="46">
        <f t="shared" si="33"/>
        <v>0</v>
      </c>
      <c r="M13" s="46">
        <f t="shared" si="33"/>
        <v>0</v>
      </c>
      <c r="N13" s="46">
        <f t="shared" si="33"/>
        <v>0</v>
      </c>
      <c r="O13" s="46">
        <f t="shared" si="33"/>
        <v>0</v>
      </c>
      <c r="P13" s="46">
        <f t="shared" si="33"/>
        <v>0</v>
      </c>
      <c r="Q13" s="46">
        <f t="shared" si="33"/>
        <v>0</v>
      </c>
      <c r="R13" s="46">
        <f t="shared" si="33"/>
        <v>0</v>
      </c>
      <c r="S13" s="46">
        <f t="shared" si="33"/>
        <v>0</v>
      </c>
      <c r="T13" s="46">
        <f t="shared" si="33"/>
        <v>0</v>
      </c>
      <c r="U13" s="46">
        <f t="shared" si="33"/>
        <v>0</v>
      </c>
      <c r="V13" s="46">
        <f t="shared" si="33"/>
        <v>0</v>
      </c>
      <c r="W13" s="46">
        <f t="shared" si="33"/>
        <v>0</v>
      </c>
      <c r="X13" s="46">
        <f t="shared" si="33"/>
        <v>0</v>
      </c>
      <c r="Y13" s="46">
        <f t="shared" si="33"/>
        <v>0</v>
      </c>
      <c r="Z13" s="46">
        <f t="shared" si="33"/>
        <v>0</v>
      </c>
      <c r="AA13" s="46">
        <f t="shared" si="33"/>
        <v>0</v>
      </c>
      <c r="AB13" s="46">
        <f t="shared" si="33"/>
        <v>0</v>
      </c>
      <c r="AC13" s="46">
        <f t="shared" si="33"/>
        <v>0</v>
      </c>
      <c r="AD13" s="46">
        <f t="shared" si="33"/>
        <v>0</v>
      </c>
      <c r="AE13" s="46">
        <f t="shared" si="33"/>
        <v>0</v>
      </c>
      <c r="AF13" s="46">
        <f t="shared" si="33"/>
        <v>0</v>
      </c>
      <c r="AG13" s="46">
        <f t="shared" si="33"/>
        <v>0</v>
      </c>
      <c r="AH13" s="46">
        <f t="shared" si="33"/>
        <v>0</v>
      </c>
      <c r="AI13" s="46">
        <f t="shared" si="33"/>
        <v>0</v>
      </c>
      <c r="AJ13" s="46">
        <f t="shared" si="33"/>
        <v>0</v>
      </c>
      <c r="AK13" s="46">
        <f t="shared" si="33"/>
        <v>0</v>
      </c>
      <c r="AL13" s="46">
        <f t="shared" si="33"/>
        <v>0</v>
      </c>
      <c r="AM13" s="46">
        <f t="shared" si="33"/>
        <v>0</v>
      </c>
      <c r="AN13" s="46">
        <f t="shared" si="33"/>
        <v>0</v>
      </c>
      <c r="AO13" s="46">
        <f t="shared" si="33"/>
        <v>0</v>
      </c>
      <c r="AP13" s="46">
        <f t="shared" si="33"/>
        <v>0</v>
      </c>
      <c r="AQ13" s="46">
        <f t="shared" si="33"/>
        <v>0</v>
      </c>
      <c r="AR13" s="46">
        <f t="shared" si="33"/>
        <v>0</v>
      </c>
      <c r="AS13" s="46">
        <f t="shared" si="33"/>
        <v>0</v>
      </c>
      <c r="AT13" s="46">
        <f t="shared" si="33"/>
        <v>0</v>
      </c>
      <c r="AU13" s="46">
        <f t="shared" si="33"/>
        <v>0</v>
      </c>
      <c r="AV13" s="46">
        <f t="shared" si="33"/>
        <v>0</v>
      </c>
      <c r="AW13" s="46">
        <f t="shared" si="33"/>
        <v>0</v>
      </c>
      <c r="AX13" s="46">
        <f t="shared" si="33"/>
        <v>0</v>
      </c>
      <c r="AY13" s="46">
        <f t="shared" si="33"/>
        <v>0</v>
      </c>
      <c r="AZ13" s="46">
        <f t="shared" si="33"/>
        <v>0</v>
      </c>
      <c r="BA13" s="46">
        <f t="shared" si="33"/>
        <v>0</v>
      </c>
      <c r="BB13" s="46">
        <f t="shared" si="33"/>
        <v>0</v>
      </c>
      <c r="BC13" s="46">
        <f t="shared" si="33"/>
        <v>0</v>
      </c>
      <c r="BD13" s="46">
        <f t="shared" si="33"/>
        <v>0</v>
      </c>
      <c r="BE13" s="46">
        <f t="shared" si="33"/>
        <v>0</v>
      </c>
      <c r="BF13" s="46">
        <f t="shared" si="33"/>
        <v>0</v>
      </c>
      <c r="BG13" s="46">
        <f t="shared" si="33"/>
        <v>0</v>
      </c>
      <c r="BH13" s="46">
        <f t="shared" si="33"/>
        <v>0</v>
      </c>
      <c r="BI13" s="46">
        <f t="shared" si="33"/>
        <v>0</v>
      </c>
      <c r="BJ13" s="46">
        <f t="shared" si="33"/>
        <v>0</v>
      </c>
      <c r="BK13" s="46">
        <f t="shared" si="33"/>
        <v>0</v>
      </c>
      <c r="BL13" s="46">
        <f t="shared" si="33"/>
        <v>0</v>
      </c>
      <c r="BM13" s="46">
        <f t="shared" si="33"/>
        <v>0</v>
      </c>
      <c r="BN13" s="46">
        <f t="shared" si="33"/>
        <v>0</v>
      </c>
      <c r="BO13" s="46">
        <f t="shared" si="33"/>
        <v>0</v>
      </c>
      <c r="BP13" s="46">
        <f t="shared" si="33"/>
        <v>0</v>
      </c>
      <c r="BQ13" s="46">
        <f t="shared" si="33"/>
        <v>0</v>
      </c>
      <c r="BR13" s="46">
        <f t="shared" si="33"/>
        <v>0</v>
      </c>
      <c r="BS13" s="46">
        <f t="shared" si="33"/>
        <v>0</v>
      </c>
      <c r="BT13" s="46">
        <f t="shared" si="33"/>
        <v>0</v>
      </c>
      <c r="BU13" s="46">
        <f t="shared" ref="BU13:CK13" si="34">+BT13</f>
        <v>0</v>
      </c>
      <c r="BV13" s="46">
        <f t="shared" si="34"/>
        <v>0</v>
      </c>
      <c r="BW13" s="46">
        <f t="shared" si="34"/>
        <v>0</v>
      </c>
      <c r="BX13" s="46">
        <f t="shared" si="34"/>
        <v>0</v>
      </c>
      <c r="BY13" s="46">
        <f t="shared" si="34"/>
        <v>0</v>
      </c>
      <c r="BZ13" s="46">
        <f t="shared" si="34"/>
        <v>0</v>
      </c>
      <c r="CA13" s="46">
        <f t="shared" si="34"/>
        <v>0</v>
      </c>
      <c r="CB13" s="46">
        <f t="shared" si="34"/>
        <v>0</v>
      </c>
      <c r="CC13" s="46">
        <f t="shared" si="34"/>
        <v>0</v>
      </c>
      <c r="CD13" s="46">
        <f t="shared" si="34"/>
        <v>0</v>
      </c>
      <c r="CE13" s="46">
        <f t="shared" si="34"/>
        <v>0</v>
      </c>
      <c r="CF13" s="46">
        <f t="shared" si="34"/>
        <v>0</v>
      </c>
      <c r="CG13" s="46">
        <f t="shared" si="34"/>
        <v>0</v>
      </c>
      <c r="CH13" s="46">
        <f t="shared" si="34"/>
        <v>0</v>
      </c>
      <c r="CI13" s="46">
        <f t="shared" si="34"/>
        <v>0</v>
      </c>
      <c r="CJ13" s="46">
        <f t="shared" si="34"/>
        <v>0</v>
      </c>
      <c r="CK13" s="46">
        <f t="shared" si="34"/>
        <v>0</v>
      </c>
    </row>
    <row r="14" spans="2:89">
      <c r="C14" t="s">
        <v>6</v>
      </c>
      <c r="D14" t="str">
        <f>_xlfn.TEXTJOIN(",",TRUE,Regions!$C$3,Regions!$D$3)</f>
        <v>IE,National</v>
      </c>
      <c r="E14" t="s">
        <v>29</v>
      </c>
      <c r="F14" s="28" t="s">
        <v>30</v>
      </c>
      <c r="G14" s="45">
        <f>VLOOKUP(E14,'BY-Demands'!$I$6:$J$42,2,FALSE)</f>
        <v>0</v>
      </c>
      <c r="H14" s="46">
        <f t="shared" si="0"/>
        <v>0</v>
      </c>
      <c r="I14" s="46">
        <f t="shared" ref="I14:BT14" si="35">+H14</f>
        <v>0</v>
      </c>
      <c r="J14" s="46">
        <f t="shared" si="35"/>
        <v>0</v>
      </c>
      <c r="K14" s="46">
        <f t="shared" si="35"/>
        <v>0</v>
      </c>
      <c r="L14" s="46">
        <f t="shared" si="35"/>
        <v>0</v>
      </c>
      <c r="M14" s="46">
        <f t="shared" si="35"/>
        <v>0</v>
      </c>
      <c r="N14" s="46">
        <f t="shared" si="35"/>
        <v>0</v>
      </c>
      <c r="O14" s="46">
        <f t="shared" si="35"/>
        <v>0</v>
      </c>
      <c r="P14" s="46">
        <f t="shared" si="35"/>
        <v>0</v>
      </c>
      <c r="Q14" s="46">
        <f t="shared" si="35"/>
        <v>0</v>
      </c>
      <c r="R14" s="46">
        <f t="shared" si="35"/>
        <v>0</v>
      </c>
      <c r="S14" s="46">
        <f t="shared" si="35"/>
        <v>0</v>
      </c>
      <c r="T14" s="46">
        <f t="shared" si="35"/>
        <v>0</v>
      </c>
      <c r="U14" s="46">
        <f t="shared" si="35"/>
        <v>0</v>
      </c>
      <c r="V14" s="46">
        <f t="shared" si="35"/>
        <v>0</v>
      </c>
      <c r="W14" s="46">
        <f t="shared" si="35"/>
        <v>0</v>
      </c>
      <c r="X14" s="46">
        <f t="shared" si="35"/>
        <v>0</v>
      </c>
      <c r="Y14" s="46">
        <f t="shared" si="35"/>
        <v>0</v>
      </c>
      <c r="Z14" s="46">
        <f t="shared" si="35"/>
        <v>0</v>
      </c>
      <c r="AA14" s="46">
        <f t="shared" si="35"/>
        <v>0</v>
      </c>
      <c r="AB14" s="46">
        <f t="shared" si="35"/>
        <v>0</v>
      </c>
      <c r="AC14" s="46">
        <f t="shared" si="35"/>
        <v>0</v>
      </c>
      <c r="AD14" s="46">
        <f t="shared" si="35"/>
        <v>0</v>
      </c>
      <c r="AE14" s="46">
        <f t="shared" si="35"/>
        <v>0</v>
      </c>
      <c r="AF14" s="46">
        <f t="shared" si="35"/>
        <v>0</v>
      </c>
      <c r="AG14" s="46">
        <f t="shared" si="35"/>
        <v>0</v>
      </c>
      <c r="AH14" s="46">
        <f t="shared" si="35"/>
        <v>0</v>
      </c>
      <c r="AI14" s="46">
        <f t="shared" si="35"/>
        <v>0</v>
      </c>
      <c r="AJ14" s="46">
        <f t="shared" si="35"/>
        <v>0</v>
      </c>
      <c r="AK14" s="46">
        <f t="shared" si="35"/>
        <v>0</v>
      </c>
      <c r="AL14" s="46">
        <f t="shared" si="35"/>
        <v>0</v>
      </c>
      <c r="AM14" s="46">
        <f t="shared" si="35"/>
        <v>0</v>
      </c>
      <c r="AN14" s="46">
        <f t="shared" si="35"/>
        <v>0</v>
      </c>
      <c r="AO14" s="46">
        <f t="shared" si="35"/>
        <v>0</v>
      </c>
      <c r="AP14" s="46">
        <f t="shared" si="35"/>
        <v>0</v>
      </c>
      <c r="AQ14" s="46">
        <f t="shared" si="35"/>
        <v>0</v>
      </c>
      <c r="AR14" s="46">
        <f t="shared" si="35"/>
        <v>0</v>
      </c>
      <c r="AS14" s="46">
        <f t="shared" si="35"/>
        <v>0</v>
      </c>
      <c r="AT14" s="46">
        <f t="shared" si="35"/>
        <v>0</v>
      </c>
      <c r="AU14" s="46">
        <f t="shared" si="35"/>
        <v>0</v>
      </c>
      <c r="AV14" s="46">
        <f t="shared" si="35"/>
        <v>0</v>
      </c>
      <c r="AW14" s="46">
        <f t="shared" si="35"/>
        <v>0</v>
      </c>
      <c r="AX14" s="46">
        <f t="shared" si="35"/>
        <v>0</v>
      </c>
      <c r="AY14" s="46">
        <f t="shared" si="35"/>
        <v>0</v>
      </c>
      <c r="AZ14" s="46">
        <f t="shared" si="35"/>
        <v>0</v>
      </c>
      <c r="BA14" s="46">
        <f t="shared" si="35"/>
        <v>0</v>
      </c>
      <c r="BB14" s="46">
        <f t="shared" si="35"/>
        <v>0</v>
      </c>
      <c r="BC14" s="46">
        <f t="shared" si="35"/>
        <v>0</v>
      </c>
      <c r="BD14" s="46">
        <f t="shared" si="35"/>
        <v>0</v>
      </c>
      <c r="BE14" s="46">
        <f t="shared" si="35"/>
        <v>0</v>
      </c>
      <c r="BF14" s="46">
        <f t="shared" si="35"/>
        <v>0</v>
      </c>
      <c r="BG14" s="46">
        <f t="shared" si="35"/>
        <v>0</v>
      </c>
      <c r="BH14" s="46">
        <f t="shared" si="35"/>
        <v>0</v>
      </c>
      <c r="BI14" s="46">
        <f t="shared" si="35"/>
        <v>0</v>
      </c>
      <c r="BJ14" s="46">
        <f t="shared" si="35"/>
        <v>0</v>
      </c>
      <c r="BK14" s="46">
        <f t="shared" si="35"/>
        <v>0</v>
      </c>
      <c r="BL14" s="46">
        <f t="shared" si="35"/>
        <v>0</v>
      </c>
      <c r="BM14" s="46">
        <f t="shared" si="35"/>
        <v>0</v>
      </c>
      <c r="BN14" s="46">
        <f t="shared" si="35"/>
        <v>0</v>
      </c>
      <c r="BO14" s="46">
        <f t="shared" si="35"/>
        <v>0</v>
      </c>
      <c r="BP14" s="46">
        <f t="shared" si="35"/>
        <v>0</v>
      </c>
      <c r="BQ14" s="46">
        <f t="shared" si="35"/>
        <v>0</v>
      </c>
      <c r="BR14" s="46">
        <f t="shared" si="35"/>
        <v>0</v>
      </c>
      <c r="BS14" s="46">
        <f t="shared" si="35"/>
        <v>0</v>
      </c>
      <c r="BT14" s="46">
        <f t="shared" si="35"/>
        <v>0</v>
      </c>
      <c r="BU14" s="46">
        <f t="shared" ref="BU14:CK14" si="36">+BT14</f>
        <v>0</v>
      </c>
      <c r="BV14" s="46">
        <f t="shared" si="36"/>
        <v>0</v>
      </c>
      <c r="BW14" s="46">
        <f t="shared" si="36"/>
        <v>0</v>
      </c>
      <c r="BX14" s="46">
        <f t="shared" si="36"/>
        <v>0</v>
      </c>
      <c r="BY14" s="46">
        <f t="shared" si="36"/>
        <v>0</v>
      </c>
      <c r="BZ14" s="46">
        <f t="shared" si="36"/>
        <v>0</v>
      </c>
      <c r="CA14" s="46">
        <f t="shared" si="36"/>
        <v>0</v>
      </c>
      <c r="CB14" s="46">
        <f t="shared" si="36"/>
        <v>0</v>
      </c>
      <c r="CC14" s="46">
        <f t="shared" si="36"/>
        <v>0</v>
      </c>
      <c r="CD14" s="46">
        <f t="shared" si="36"/>
        <v>0</v>
      </c>
      <c r="CE14" s="46">
        <f t="shared" si="36"/>
        <v>0</v>
      </c>
      <c r="CF14" s="46">
        <f t="shared" si="36"/>
        <v>0</v>
      </c>
      <c r="CG14" s="46">
        <f t="shared" si="36"/>
        <v>0</v>
      </c>
      <c r="CH14" s="46">
        <f t="shared" si="36"/>
        <v>0</v>
      </c>
      <c r="CI14" s="46">
        <f t="shared" si="36"/>
        <v>0</v>
      </c>
      <c r="CJ14" s="46">
        <f t="shared" si="36"/>
        <v>0</v>
      </c>
      <c r="CK14" s="46">
        <f t="shared" si="36"/>
        <v>0</v>
      </c>
    </row>
    <row r="15" spans="2:89">
      <c r="C15" t="s">
        <v>6</v>
      </c>
      <c r="D15" t="str">
        <f>_xlfn.TEXTJOIN(",",TRUE,Regions!$C$3,Regions!$D$3)</f>
        <v>IE,National</v>
      </c>
      <c r="E15" t="s">
        <v>31</v>
      </c>
      <c r="F15" s="28" t="s">
        <v>32</v>
      </c>
      <c r="G15" s="45">
        <f>VLOOKUP(E15,'BY-Demands'!$I$6:$J$42,2,FALSE)</f>
        <v>3.8</v>
      </c>
      <c r="H15" s="46">
        <f t="shared" si="0"/>
        <v>3.8</v>
      </c>
      <c r="I15" s="46">
        <f t="shared" ref="I15:BT15" si="37">+H15</f>
        <v>3.8</v>
      </c>
      <c r="J15" s="46">
        <f t="shared" si="37"/>
        <v>3.8</v>
      </c>
      <c r="K15" s="46">
        <f t="shared" si="37"/>
        <v>3.8</v>
      </c>
      <c r="L15" s="46">
        <f t="shared" si="37"/>
        <v>3.8</v>
      </c>
      <c r="M15" s="46">
        <f t="shared" si="37"/>
        <v>3.8</v>
      </c>
      <c r="N15" s="46">
        <f t="shared" si="37"/>
        <v>3.8</v>
      </c>
      <c r="O15" s="46">
        <f t="shared" si="37"/>
        <v>3.8</v>
      </c>
      <c r="P15" s="46">
        <f t="shared" si="37"/>
        <v>3.8</v>
      </c>
      <c r="Q15" s="46">
        <f t="shared" si="37"/>
        <v>3.8</v>
      </c>
      <c r="R15" s="46">
        <f t="shared" si="37"/>
        <v>3.8</v>
      </c>
      <c r="S15" s="46">
        <f t="shared" si="37"/>
        <v>3.8</v>
      </c>
      <c r="T15" s="46">
        <f t="shared" si="37"/>
        <v>3.8</v>
      </c>
      <c r="U15" s="46">
        <f t="shared" si="37"/>
        <v>3.8</v>
      </c>
      <c r="V15" s="46">
        <f t="shared" si="37"/>
        <v>3.8</v>
      </c>
      <c r="W15" s="46">
        <f t="shared" si="37"/>
        <v>3.8</v>
      </c>
      <c r="X15" s="46">
        <f t="shared" si="37"/>
        <v>3.8</v>
      </c>
      <c r="Y15" s="46">
        <f t="shared" si="37"/>
        <v>3.8</v>
      </c>
      <c r="Z15" s="46">
        <f t="shared" si="37"/>
        <v>3.8</v>
      </c>
      <c r="AA15" s="46">
        <f t="shared" si="37"/>
        <v>3.8</v>
      </c>
      <c r="AB15" s="46">
        <f t="shared" si="37"/>
        <v>3.8</v>
      </c>
      <c r="AC15" s="46">
        <f t="shared" si="37"/>
        <v>3.8</v>
      </c>
      <c r="AD15" s="46">
        <f t="shared" si="37"/>
        <v>3.8</v>
      </c>
      <c r="AE15" s="46">
        <f t="shared" si="37"/>
        <v>3.8</v>
      </c>
      <c r="AF15" s="46">
        <f t="shared" si="37"/>
        <v>3.8</v>
      </c>
      <c r="AG15" s="46">
        <f t="shared" si="37"/>
        <v>3.8</v>
      </c>
      <c r="AH15" s="46">
        <f t="shared" si="37"/>
        <v>3.8</v>
      </c>
      <c r="AI15" s="46">
        <f t="shared" si="37"/>
        <v>3.8</v>
      </c>
      <c r="AJ15" s="46">
        <f t="shared" si="37"/>
        <v>3.8</v>
      </c>
      <c r="AK15" s="46">
        <f t="shared" si="37"/>
        <v>3.8</v>
      </c>
      <c r="AL15" s="46">
        <f t="shared" si="37"/>
        <v>3.8</v>
      </c>
      <c r="AM15" s="46">
        <f t="shared" si="37"/>
        <v>3.8</v>
      </c>
      <c r="AN15" s="46">
        <f t="shared" si="37"/>
        <v>3.8</v>
      </c>
      <c r="AO15" s="46">
        <f t="shared" si="37"/>
        <v>3.8</v>
      </c>
      <c r="AP15" s="46">
        <f t="shared" si="37"/>
        <v>3.8</v>
      </c>
      <c r="AQ15" s="46">
        <f t="shared" si="37"/>
        <v>3.8</v>
      </c>
      <c r="AR15" s="46">
        <f t="shared" si="37"/>
        <v>3.8</v>
      </c>
      <c r="AS15" s="46">
        <f t="shared" si="37"/>
        <v>3.8</v>
      </c>
      <c r="AT15" s="46">
        <f t="shared" si="37"/>
        <v>3.8</v>
      </c>
      <c r="AU15" s="46">
        <f t="shared" si="37"/>
        <v>3.8</v>
      </c>
      <c r="AV15" s="46">
        <f t="shared" si="37"/>
        <v>3.8</v>
      </c>
      <c r="AW15" s="46">
        <f t="shared" si="37"/>
        <v>3.8</v>
      </c>
      <c r="AX15" s="46">
        <f t="shared" si="37"/>
        <v>3.8</v>
      </c>
      <c r="AY15" s="46">
        <f t="shared" si="37"/>
        <v>3.8</v>
      </c>
      <c r="AZ15" s="46">
        <f t="shared" si="37"/>
        <v>3.8</v>
      </c>
      <c r="BA15" s="46">
        <f t="shared" si="37"/>
        <v>3.8</v>
      </c>
      <c r="BB15" s="46">
        <f t="shared" si="37"/>
        <v>3.8</v>
      </c>
      <c r="BC15" s="46">
        <f t="shared" si="37"/>
        <v>3.8</v>
      </c>
      <c r="BD15" s="46">
        <f t="shared" si="37"/>
        <v>3.8</v>
      </c>
      <c r="BE15" s="46">
        <f t="shared" si="37"/>
        <v>3.8</v>
      </c>
      <c r="BF15" s="46">
        <f t="shared" si="37"/>
        <v>3.8</v>
      </c>
      <c r="BG15" s="46">
        <f t="shared" si="37"/>
        <v>3.8</v>
      </c>
      <c r="BH15" s="46">
        <f t="shared" si="37"/>
        <v>3.8</v>
      </c>
      <c r="BI15" s="46">
        <f t="shared" si="37"/>
        <v>3.8</v>
      </c>
      <c r="BJ15" s="46">
        <f t="shared" si="37"/>
        <v>3.8</v>
      </c>
      <c r="BK15" s="46">
        <f t="shared" si="37"/>
        <v>3.8</v>
      </c>
      <c r="BL15" s="46">
        <f t="shared" si="37"/>
        <v>3.8</v>
      </c>
      <c r="BM15" s="46">
        <f t="shared" si="37"/>
        <v>3.8</v>
      </c>
      <c r="BN15" s="46">
        <f t="shared" si="37"/>
        <v>3.8</v>
      </c>
      <c r="BO15" s="46">
        <f t="shared" si="37"/>
        <v>3.8</v>
      </c>
      <c r="BP15" s="46">
        <f t="shared" si="37"/>
        <v>3.8</v>
      </c>
      <c r="BQ15" s="46">
        <f t="shared" si="37"/>
        <v>3.8</v>
      </c>
      <c r="BR15" s="46">
        <f t="shared" si="37"/>
        <v>3.8</v>
      </c>
      <c r="BS15" s="46">
        <f t="shared" si="37"/>
        <v>3.8</v>
      </c>
      <c r="BT15" s="46">
        <f t="shared" si="37"/>
        <v>3.8</v>
      </c>
      <c r="BU15" s="46">
        <f t="shared" ref="BU15:CK15" si="38">+BT15</f>
        <v>3.8</v>
      </c>
      <c r="BV15" s="46">
        <f t="shared" si="38"/>
        <v>3.8</v>
      </c>
      <c r="BW15" s="46">
        <f t="shared" si="38"/>
        <v>3.8</v>
      </c>
      <c r="BX15" s="46">
        <f t="shared" si="38"/>
        <v>3.8</v>
      </c>
      <c r="BY15" s="46">
        <f t="shared" si="38"/>
        <v>3.8</v>
      </c>
      <c r="BZ15" s="46">
        <f t="shared" si="38"/>
        <v>3.8</v>
      </c>
      <c r="CA15" s="46">
        <f t="shared" si="38"/>
        <v>3.8</v>
      </c>
      <c r="CB15" s="46">
        <f t="shared" si="38"/>
        <v>3.8</v>
      </c>
      <c r="CC15" s="46">
        <f t="shared" si="38"/>
        <v>3.8</v>
      </c>
      <c r="CD15" s="46">
        <f t="shared" si="38"/>
        <v>3.8</v>
      </c>
      <c r="CE15" s="46">
        <f t="shared" si="38"/>
        <v>3.8</v>
      </c>
      <c r="CF15" s="46">
        <f t="shared" si="38"/>
        <v>3.8</v>
      </c>
      <c r="CG15" s="46">
        <f t="shared" si="38"/>
        <v>3.8</v>
      </c>
      <c r="CH15" s="46">
        <f t="shared" si="38"/>
        <v>3.8</v>
      </c>
      <c r="CI15" s="46">
        <f t="shared" si="38"/>
        <v>3.8</v>
      </c>
      <c r="CJ15" s="46">
        <f t="shared" si="38"/>
        <v>3.8</v>
      </c>
      <c r="CK15" s="46">
        <f t="shared" si="38"/>
        <v>3.8</v>
      </c>
    </row>
    <row r="16" spans="2:89">
      <c r="C16" t="s">
        <v>6</v>
      </c>
      <c r="D16" t="str">
        <f>_xlfn.TEXTJOIN(",",TRUE,Regions!$C$3,Regions!$D$3)</f>
        <v>IE,National</v>
      </c>
      <c r="E16" t="s">
        <v>33</v>
      </c>
      <c r="F16" s="28" t="s">
        <v>34</v>
      </c>
      <c r="G16" s="45">
        <f>VLOOKUP(E16,'BY-Demands'!$I$6:$J$42,2,FALSE)</f>
        <v>0</v>
      </c>
      <c r="H16" s="46">
        <f t="shared" si="0"/>
        <v>0</v>
      </c>
      <c r="I16" s="46">
        <f t="shared" ref="I16:BT16" si="39">+H16</f>
        <v>0</v>
      </c>
      <c r="J16" s="46">
        <f t="shared" si="39"/>
        <v>0</v>
      </c>
      <c r="K16" s="46">
        <f t="shared" si="39"/>
        <v>0</v>
      </c>
      <c r="L16" s="46">
        <f t="shared" si="39"/>
        <v>0</v>
      </c>
      <c r="M16" s="46">
        <f t="shared" si="39"/>
        <v>0</v>
      </c>
      <c r="N16" s="46">
        <f t="shared" si="39"/>
        <v>0</v>
      </c>
      <c r="O16" s="46">
        <f t="shared" si="39"/>
        <v>0</v>
      </c>
      <c r="P16" s="46">
        <f t="shared" si="39"/>
        <v>0</v>
      </c>
      <c r="Q16" s="46">
        <f t="shared" si="39"/>
        <v>0</v>
      </c>
      <c r="R16" s="46">
        <f t="shared" si="39"/>
        <v>0</v>
      </c>
      <c r="S16" s="46">
        <f t="shared" si="39"/>
        <v>0</v>
      </c>
      <c r="T16" s="46">
        <f t="shared" si="39"/>
        <v>0</v>
      </c>
      <c r="U16" s="46">
        <f t="shared" si="39"/>
        <v>0</v>
      </c>
      <c r="V16" s="46">
        <f t="shared" si="39"/>
        <v>0</v>
      </c>
      <c r="W16" s="46">
        <f t="shared" si="39"/>
        <v>0</v>
      </c>
      <c r="X16" s="46">
        <f t="shared" si="39"/>
        <v>0</v>
      </c>
      <c r="Y16" s="46">
        <f t="shared" si="39"/>
        <v>0</v>
      </c>
      <c r="Z16" s="46">
        <f t="shared" si="39"/>
        <v>0</v>
      </c>
      <c r="AA16" s="46">
        <f t="shared" si="39"/>
        <v>0</v>
      </c>
      <c r="AB16" s="46">
        <f t="shared" si="39"/>
        <v>0</v>
      </c>
      <c r="AC16" s="46">
        <f t="shared" si="39"/>
        <v>0</v>
      </c>
      <c r="AD16" s="46">
        <f t="shared" si="39"/>
        <v>0</v>
      </c>
      <c r="AE16" s="46">
        <f t="shared" si="39"/>
        <v>0</v>
      </c>
      <c r="AF16" s="46">
        <f t="shared" si="39"/>
        <v>0</v>
      </c>
      <c r="AG16" s="46">
        <f t="shared" si="39"/>
        <v>0</v>
      </c>
      <c r="AH16" s="46">
        <f t="shared" si="39"/>
        <v>0</v>
      </c>
      <c r="AI16" s="46">
        <f t="shared" si="39"/>
        <v>0</v>
      </c>
      <c r="AJ16" s="46">
        <f t="shared" si="39"/>
        <v>0</v>
      </c>
      <c r="AK16" s="46">
        <f t="shared" si="39"/>
        <v>0</v>
      </c>
      <c r="AL16" s="46">
        <f t="shared" si="39"/>
        <v>0</v>
      </c>
      <c r="AM16" s="46">
        <f t="shared" si="39"/>
        <v>0</v>
      </c>
      <c r="AN16" s="46">
        <f t="shared" si="39"/>
        <v>0</v>
      </c>
      <c r="AO16" s="46">
        <f t="shared" si="39"/>
        <v>0</v>
      </c>
      <c r="AP16" s="46">
        <f t="shared" si="39"/>
        <v>0</v>
      </c>
      <c r="AQ16" s="46">
        <f t="shared" si="39"/>
        <v>0</v>
      </c>
      <c r="AR16" s="46">
        <f t="shared" si="39"/>
        <v>0</v>
      </c>
      <c r="AS16" s="46">
        <f t="shared" si="39"/>
        <v>0</v>
      </c>
      <c r="AT16" s="46">
        <f t="shared" si="39"/>
        <v>0</v>
      </c>
      <c r="AU16" s="46">
        <f t="shared" si="39"/>
        <v>0</v>
      </c>
      <c r="AV16" s="46">
        <f t="shared" si="39"/>
        <v>0</v>
      </c>
      <c r="AW16" s="46">
        <f t="shared" si="39"/>
        <v>0</v>
      </c>
      <c r="AX16" s="46">
        <f t="shared" si="39"/>
        <v>0</v>
      </c>
      <c r="AY16" s="46">
        <f t="shared" si="39"/>
        <v>0</v>
      </c>
      <c r="AZ16" s="46">
        <f t="shared" si="39"/>
        <v>0</v>
      </c>
      <c r="BA16" s="46">
        <f t="shared" si="39"/>
        <v>0</v>
      </c>
      <c r="BB16" s="46">
        <f t="shared" si="39"/>
        <v>0</v>
      </c>
      <c r="BC16" s="46">
        <f t="shared" si="39"/>
        <v>0</v>
      </c>
      <c r="BD16" s="46">
        <f t="shared" si="39"/>
        <v>0</v>
      </c>
      <c r="BE16" s="46">
        <f t="shared" si="39"/>
        <v>0</v>
      </c>
      <c r="BF16" s="46">
        <f t="shared" si="39"/>
        <v>0</v>
      </c>
      <c r="BG16" s="46">
        <f t="shared" si="39"/>
        <v>0</v>
      </c>
      <c r="BH16" s="46">
        <f t="shared" si="39"/>
        <v>0</v>
      </c>
      <c r="BI16" s="46">
        <f t="shared" si="39"/>
        <v>0</v>
      </c>
      <c r="BJ16" s="46">
        <f t="shared" si="39"/>
        <v>0</v>
      </c>
      <c r="BK16" s="46">
        <f t="shared" si="39"/>
        <v>0</v>
      </c>
      <c r="BL16" s="46">
        <f t="shared" si="39"/>
        <v>0</v>
      </c>
      <c r="BM16" s="46">
        <f t="shared" si="39"/>
        <v>0</v>
      </c>
      <c r="BN16" s="46">
        <f t="shared" si="39"/>
        <v>0</v>
      </c>
      <c r="BO16" s="46">
        <f t="shared" si="39"/>
        <v>0</v>
      </c>
      <c r="BP16" s="46">
        <f t="shared" si="39"/>
        <v>0</v>
      </c>
      <c r="BQ16" s="46">
        <f t="shared" si="39"/>
        <v>0</v>
      </c>
      <c r="BR16" s="46">
        <f t="shared" si="39"/>
        <v>0</v>
      </c>
      <c r="BS16" s="46">
        <f t="shared" si="39"/>
        <v>0</v>
      </c>
      <c r="BT16" s="46">
        <f t="shared" si="39"/>
        <v>0</v>
      </c>
      <c r="BU16" s="46">
        <f t="shared" ref="BU16:CK16" si="40">+BT16</f>
        <v>0</v>
      </c>
      <c r="BV16" s="46">
        <f t="shared" si="40"/>
        <v>0</v>
      </c>
      <c r="BW16" s="46">
        <f t="shared" si="40"/>
        <v>0</v>
      </c>
      <c r="BX16" s="46">
        <f t="shared" si="40"/>
        <v>0</v>
      </c>
      <c r="BY16" s="46">
        <f t="shared" si="40"/>
        <v>0</v>
      </c>
      <c r="BZ16" s="46">
        <f t="shared" si="40"/>
        <v>0</v>
      </c>
      <c r="CA16" s="46">
        <f t="shared" si="40"/>
        <v>0</v>
      </c>
      <c r="CB16" s="46">
        <f t="shared" si="40"/>
        <v>0</v>
      </c>
      <c r="CC16" s="46">
        <f t="shared" si="40"/>
        <v>0</v>
      </c>
      <c r="CD16" s="46">
        <f t="shared" si="40"/>
        <v>0</v>
      </c>
      <c r="CE16" s="46">
        <f t="shared" si="40"/>
        <v>0</v>
      </c>
      <c r="CF16" s="46">
        <f t="shared" si="40"/>
        <v>0</v>
      </c>
      <c r="CG16" s="46">
        <f t="shared" si="40"/>
        <v>0</v>
      </c>
      <c r="CH16" s="46">
        <f t="shared" si="40"/>
        <v>0</v>
      </c>
      <c r="CI16" s="46">
        <f t="shared" si="40"/>
        <v>0</v>
      </c>
      <c r="CJ16" s="46">
        <f t="shared" si="40"/>
        <v>0</v>
      </c>
      <c r="CK16" s="46">
        <f t="shared" si="40"/>
        <v>0</v>
      </c>
    </row>
    <row r="17" spans="3:89">
      <c r="C17" t="s">
        <v>6</v>
      </c>
      <c r="D17" t="str">
        <f>_xlfn.TEXTJOIN(",",TRUE,Regions!$C$3)</f>
        <v>IE</v>
      </c>
      <c r="E17" t="s">
        <v>35</v>
      </c>
      <c r="F17" s="28" t="s">
        <v>36</v>
      </c>
      <c r="G17" s="45">
        <f>VLOOKUP(E17,'BY-Demands'!$I$6:$J$42,2,FALSE)</f>
        <v>14.5565610923972</v>
      </c>
      <c r="H17" s="46">
        <v>14.87639834</v>
      </c>
      <c r="I17" s="46">
        <v>10.76129175</v>
      </c>
      <c r="J17" s="45">
        <f>G17*'TRA-2021'!$C$13</f>
        <v>13.57251588540027</v>
      </c>
      <c r="K17" s="45">
        <f>G17*'TRA-2021'!$C$15</f>
        <v>14.05673907080137</v>
      </c>
      <c r="L17" s="45">
        <f>K17*'TRA-2021'!$C$8/'TRA-2021'!$C$7</f>
        <v>14.107943011361705</v>
      </c>
      <c r="M17" s="45">
        <f>L17*1.0125</f>
        <v>14.284292299003726</v>
      </c>
      <c r="N17" s="45">
        <f t="shared" ref="N17:X17" si="41">M17*1.0125</f>
        <v>14.462845952741272</v>
      </c>
      <c r="O17" s="45">
        <f t="shared" si="41"/>
        <v>14.643631527150538</v>
      </c>
      <c r="P17" s="45">
        <f t="shared" si="41"/>
        <v>14.826676921239919</v>
      </c>
      <c r="Q17" s="45">
        <f t="shared" si="41"/>
        <v>15.012010382755417</v>
      </c>
      <c r="R17" s="45">
        <f t="shared" si="41"/>
        <v>15.199660512539859</v>
      </c>
      <c r="S17" s="45">
        <f t="shared" si="41"/>
        <v>15.389656268946606</v>
      </c>
      <c r="T17" s="45">
        <f t="shared" si="41"/>
        <v>15.582026972308437</v>
      </c>
      <c r="U17" s="45">
        <f t="shared" si="41"/>
        <v>15.776802309462292</v>
      </c>
      <c r="V17" s="45">
        <f t="shared" si="41"/>
        <v>15.974012338330571</v>
      </c>
      <c r="W17" s="45">
        <f t="shared" si="41"/>
        <v>16.173687492559701</v>
      </c>
      <c r="X17" s="45">
        <f t="shared" si="41"/>
        <v>16.375858586216697</v>
      </c>
      <c r="Y17" s="45">
        <f t="shared" ref="Y17:AM17" si="42">X17*1.0125</f>
        <v>16.580556818544405</v>
      </c>
      <c r="Z17" s="45">
        <f t="shared" si="42"/>
        <v>16.787813778776208</v>
      </c>
      <c r="AA17" s="45">
        <f t="shared" si="42"/>
        <v>16.997661451010909</v>
      </c>
      <c r="AB17" s="45">
        <f t="shared" si="42"/>
        <v>17.210132219148544</v>
      </c>
      <c r="AC17" s="45">
        <f t="shared" si="42"/>
        <v>17.425258871887902</v>
      </c>
      <c r="AD17" s="45">
        <f t="shared" si="42"/>
        <v>17.643074607786499</v>
      </c>
      <c r="AE17" s="45">
        <f t="shared" si="42"/>
        <v>17.863613040383829</v>
      </c>
      <c r="AF17" s="45">
        <f t="shared" si="42"/>
        <v>18.086908203388624</v>
      </c>
      <c r="AG17" s="45">
        <f t="shared" si="42"/>
        <v>18.312994555930981</v>
      </c>
      <c r="AH17" s="45">
        <f t="shared" si="42"/>
        <v>18.541906987880118</v>
      </c>
      <c r="AI17" s="45">
        <f t="shared" si="42"/>
        <v>18.77368082522862</v>
      </c>
      <c r="AJ17" s="45">
        <f t="shared" si="42"/>
        <v>19.008351835543976</v>
      </c>
      <c r="AK17" s="45">
        <f t="shared" si="42"/>
        <v>19.245956233488275</v>
      </c>
      <c r="AL17" s="45">
        <f t="shared" si="42"/>
        <v>19.486530686406876</v>
      </c>
      <c r="AM17" s="45">
        <f t="shared" si="42"/>
        <v>19.730112319986961</v>
      </c>
      <c r="AN17" s="46"/>
      <c r="AO17" s="46"/>
      <c r="AP17" s="46"/>
      <c r="AQ17" s="46"/>
      <c r="AR17" s="46">
        <v>21.708902826056999</v>
      </c>
      <c r="AS17" s="46"/>
      <c r="AT17" s="46"/>
      <c r="AU17" s="46"/>
      <c r="AV17" s="46"/>
      <c r="AW17" s="46">
        <v>22.294296983465198</v>
      </c>
      <c r="AX17" s="46"/>
      <c r="AY17" s="46"/>
      <c r="AZ17" s="46"/>
      <c r="BA17" s="46"/>
      <c r="BB17" s="46">
        <v>22.633963522387901</v>
      </c>
      <c r="BC17" s="46"/>
      <c r="BD17" s="46"/>
      <c r="BE17" s="46"/>
      <c r="BF17" s="46"/>
      <c r="BG17" s="46">
        <v>22.998525615910701</v>
      </c>
      <c r="BH17" s="46"/>
      <c r="BI17" s="46"/>
      <c r="BJ17" s="46"/>
      <c r="BK17" s="46"/>
      <c r="BL17" s="46">
        <v>23.420163469983802</v>
      </c>
      <c r="BM17" s="46"/>
      <c r="BN17" s="46"/>
      <c r="BO17" s="46"/>
      <c r="BP17" s="46"/>
      <c r="BQ17" s="46">
        <v>23.915804444215802</v>
      </c>
      <c r="BR17" s="46"/>
      <c r="BS17" s="46"/>
      <c r="BT17" s="46"/>
      <c r="BU17" s="46"/>
      <c r="BV17" s="46">
        <v>24.479480525906901</v>
      </c>
      <c r="BW17" s="46"/>
      <c r="BX17" s="46"/>
      <c r="BY17" s="46"/>
      <c r="BZ17" s="46"/>
      <c r="CA17" s="46">
        <v>25.0796251155347</v>
      </c>
      <c r="CB17" s="46"/>
      <c r="CC17" s="46"/>
      <c r="CD17" s="46"/>
      <c r="CE17" s="46"/>
      <c r="CF17" s="46">
        <v>25.6801225927071</v>
      </c>
      <c r="CG17" s="46"/>
      <c r="CH17" s="46"/>
      <c r="CI17" s="46"/>
      <c r="CJ17" s="46"/>
      <c r="CK17" s="46">
        <v>26.281462653597</v>
      </c>
    </row>
    <row r="18" spans="3:89">
      <c r="C18" t="s">
        <v>6</v>
      </c>
      <c r="D18" t="str">
        <f>_xlfn.TEXTJOIN(",",TRUE,Regions!$C$3)</f>
        <v>IE</v>
      </c>
      <c r="E18" t="s">
        <v>37</v>
      </c>
      <c r="F18" s="28" t="s">
        <v>38</v>
      </c>
      <c r="G18" s="45">
        <f>VLOOKUP(E18,'BY-Demands'!$I$6:$J$42,2,FALSE)</f>
        <v>31.276118540281001</v>
      </c>
      <c r="H18" s="46">
        <f>31.98425643</f>
        <v>31.984256429999999</v>
      </c>
      <c r="I18" s="46">
        <f>23.13677727</f>
        <v>23.13677727</v>
      </c>
      <c r="J18" s="45">
        <f>0.95*G18*'TRA-2021'!$C$13</f>
        <v>27.703716034013713</v>
      </c>
      <c r="K18" s="45">
        <f>G18*'TRA-2021'!$C$15</f>
        <v>30.202204674413409</v>
      </c>
      <c r="L18" s="45">
        <f>K18*'TRA-2021'!$C$8/'TRA-2021'!$C$7</f>
        <v>30.312221079011263</v>
      </c>
      <c r="M18" s="45">
        <f>L18*1.015</f>
        <v>30.766904395196427</v>
      </c>
      <c r="N18" s="45">
        <f t="shared" ref="N18:X18" si="43">M18*1.015</f>
        <v>31.228407961124372</v>
      </c>
      <c r="O18" s="45">
        <f t="shared" si="43"/>
        <v>31.696834080541233</v>
      </c>
      <c r="P18" s="45">
        <f t="shared" si="43"/>
        <v>32.172286591749348</v>
      </c>
      <c r="Q18" s="45">
        <f t="shared" si="43"/>
        <v>32.654870890625588</v>
      </c>
      <c r="R18" s="45">
        <f t="shared" si="43"/>
        <v>33.144693953984969</v>
      </c>
      <c r="S18" s="45">
        <f t="shared" si="43"/>
        <v>33.641864363294744</v>
      </c>
      <c r="T18" s="45">
        <f t="shared" si="43"/>
        <v>34.146492328744159</v>
      </c>
      <c r="U18" s="45">
        <f t="shared" si="43"/>
        <v>34.658689713675315</v>
      </c>
      <c r="V18" s="45">
        <f t="shared" si="43"/>
        <v>35.178570059380441</v>
      </c>
      <c r="W18" s="45">
        <f t="shared" si="43"/>
        <v>35.706248610271146</v>
      </c>
      <c r="X18" s="45">
        <f t="shared" si="43"/>
        <v>36.241842339425212</v>
      </c>
      <c r="Y18" s="45">
        <f t="shared" ref="Y18:AM18" si="44">X18*1.015</f>
        <v>36.785469974516587</v>
      </c>
      <c r="Z18" s="45">
        <f t="shared" si="44"/>
        <v>37.33725202413433</v>
      </c>
      <c r="AA18" s="45">
        <f t="shared" si="44"/>
        <v>37.897310804496342</v>
      </c>
      <c r="AB18" s="45">
        <f t="shared" si="44"/>
        <v>38.465770466563782</v>
      </c>
      <c r="AC18" s="45">
        <f t="shared" si="44"/>
        <v>39.042757023562238</v>
      </c>
      <c r="AD18" s="45">
        <f t="shared" si="44"/>
        <v>39.628398378915669</v>
      </c>
      <c r="AE18" s="45">
        <f t="shared" si="44"/>
        <v>40.222824354599403</v>
      </c>
      <c r="AF18" s="45">
        <f t="shared" si="44"/>
        <v>40.82616671991839</v>
      </c>
      <c r="AG18" s="45">
        <f t="shared" si="44"/>
        <v>41.43855922071716</v>
      </c>
      <c r="AH18" s="45">
        <f t="shared" si="44"/>
        <v>42.060137609027912</v>
      </c>
      <c r="AI18" s="45">
        <f t="shared" si="44"/>
        <v>42.691039673163324</v>
      </c>
      <c r="AJ18" s="45">
        <f t="shared" si="44"/>
        <v>43.331405268260767</v>
      </c>
      <c r="AK18" s="45">
        <f t="shared" si="44"/>
        <v>43.981376347284673</v>
      </c>
      <c r="AL18" s="45">
        <f t="shared" si="44"/>
        <v>44.641096992493942</v>
      </c>
      <c r="AM18" s="45">
        <f t="shared" si="44"/>
        <v>45.310713447381346</v>
      </c>
      <c r="AN18" s="46"/>
      <c r="AO18" s="46"/>
      <c r="AP18" s="46"/>
      <c r="AQ18" s="46"/>
      <c r="AR18" s="46">
        <v>46.674141076022501</v>
      </c>
      <c r="AS18" s="46"/>
      <c r="AT18" s="46"/>
      <c r="AU18" s="46"/>
      <c r="AV18" s="46"/>
      <c r="AW18" s="46">
        <v>47.932738514450101</v>
      </c>
      <c r="AX18" s="46"/>
      <c r="AY18" s="46"/>
      <c r="AZ18" s="46"/>
      <c r="BA18" s="46"/>
      <c r="BB18" s="46">
        <v>48.663021573133904</v>
      </c>
      <c r="BC18" s="46"/>
      <c r="BD18" s="46"/>
      <c r="BE18" s="46"/>
      <c r="BF18" s="46"/>
      <c r="BG18" s="46">
        <v>49.446830074208002</v>
      </c>
      <c r="BH18" s="46"/>
      <c r="BI18" s="46"/>
      <c r="BJ18" s="46"/>
      <c r="BK18" s="46"/>
      <c r="BL18" s="46">
        <v>50.353351460465198</v>
      </c>
      <c r="BM18" s="46"/>
      <c r="BN18" s="46"/>
      <c r="BO18" s="46"/>
      <c r="BP18" s="46"/>
      <c r="BQ18" s="46">
        <v>51.418979555063999</v>
      </c>
      <c r="BR18" s="46"/>
      <c r="BS18" s="46"/>
      <c r="BT18" s="46"/>
      <c r="BU18" s="46"/>
      <c r="BV18" s="46">
        <v>52.6308831306999</v>
      </c>
      <c r="BW18" s="46"/>
      <c r="BX18" s="46"/>
      <c r="BY18" s="46"/>
      <c r="BZ18" s="46"/>
      <c r="CA18" s="46">
        <v>53.921193998399701</v>
      </c>
      <c r="CB18" s="46"/>
      <c r="CC18" s="46"/>
      <c r="CD18" s="46"/>
      <c r="CE18" s="46"/>
      <c r="CF18" s="46">
        <v>55.212263574320303</v>
      </c>
      <c r="CG18" s="46"/>
      <c r="CH18" s="46"/>
      <c r="CI18" s="46"/>
      <c r="CJ18" s="46"/>
      <c r="CK18" s="46">
        <v>56.505144705233697</v>
      </c>
    </row>
    <row r="19" spans="3:89">
      <c r="C19" t="s">
        <v>6</v>
      </c>
      <c r="D19" t="str">
        <f>_xlfn.TEXTJOIN(",",TRUE,Regions!$C$3)</f>
        <v>IE</v>
      </c>
      <c r="E19" t="s">
        <v>39</v>
      </c>
      <c r="F19" s="28" t="s">
        <v>40</v>
      </c>
      <c r="G19" s="45">
        <f>VLOOKUP(E19,'BY-Demands'!$I$6:$J$42,2,FALSE)</f>
        <v>27.131577542973599</v>
      </c>
      <c r="H19" s="45">
        <f>0.9*27.52133693</f>
        <v>24.769203236999999</v>
      </c>
      <c r="I19" s="45">
        <f>0.9*19.90838974</f>
        <v>17.917550766000002</v>
      </c>
      <c r="J19" s="45">
        <f>I19*'TRA-2021'!$C$14</f>
        <v>18.200537756613475</v>
      </c>
      <c r="K19" s="45">
        <f>J19*'TRA-2021'!$C$17</f>
        <v>18.849873697196202</v>
      </c>
      <c r="L19" s="45">
        <f>K19*'TRA-2021'!$C$8/'TRA-2021'!$C$7</f>
        <v>18.918537404155515</v>
      </c>
      <c r="M19" s="45">
        <f>L19*1.025</f>
        <v>19.3915008392594</v>
      </c>
      <c r="N19" s="45">
        <f t="shared" ref="N19:X19" si="45">M19*1.025</f>
        <v>19.876288360240885</v>
      </c>
      <c r="O19" s="45">
        <f t="shared" si="45"/>
        <v>20.373195569246906</v>
      </c>
      <c r="P19" s="45">
        <f t="shared" si="45"/>
        <v>20.882525458478078</v>
      </c>
      <c r="Q19" s="45">
        <f t="shared" si="45"/>
        <v>21.404588594940027</v>
      </c>
      <c r="R19" s="45">
        <f t="shared" si="45"/>
        <v>21.939703309813524</v>
      </c>
      <c r="S19" s="45">
        <f t="shared" si="45"/>
        <v>22.48819589255886</v>
      </c>
      <c r="T19" s="45">
        <f t="shared" si="45"/>
        <v>23.050400789872828</v>
      </c>
      <c r="U19" s="45">
        <f t="shared" si="45"/>
        <v>23.626660809619647</v>
      </c>
      <c r="V19" s="45">
        <f t="shared" si="45"/>
        <v>24.217327329860137</v>
      </c>
      <c r="W19" s="45">
        <f t="shared" si="45"/>
        <v>24.822760513106637</v>
      </c>
      <c r="X19" s="45">
        <f t="shared" si="45"/>
        <v>25.443329525934299</v>
      </c>
      <c r="Y19" s="45">
        <f t="shared" ref="Y19:AM19" si="46">X19*1.025</f>
        <v>26.079412764082655</v>
      </c>
      <c r="Z19" s="45">
        <f t="shared" si="46"/>
        <v>26.731398083184718</v>
      </c>
      <c r="AA19" s="45">
        <f t="shared" si="46"/>
        <v>27.399683035264335</v>
      </c>
      <c r="AB19" s="45">
        <f t="shared" si="46"/>
        <v>28.084675111145941</v>
      </c>
      <c r="AC19" s="45">
        <f t="shared" si="46"/>
        <v>28.786791988924588</v>
      </c>
      <c r="AD19" s="45">
        <f t="shared" si="46"/>
        <v>29.506461788647698</v>
      </c>
      <c r="AE19" s="45">
        <f t="shared" si="46"/>
        <v>30.244123333363888</v>
      </c>
      <c r="AF19" s="45">
        <f t="shared" si="46"/>
        <v>31.000226416697981</v>
      </c>
      <c r="AG19" s="45">
        <f t="shared" si="46"/>
        <v>31.775232077115426</v>
      </c>
      <c r="AH19" s="45">
        <f t="shared" si="46"/>
        <v>32.569612879043312</v>
      </c>
      <c r="AI19" s="45">
        <f t="shared" si="46"/>
        <v>33.383853201019392</v>
      </c>
      <c r="AJ19" s="45">
        <f t="shared" si="46"/>
        <v>34.218449531044875</v>
      </c>
      <c r="AK19" s="45">
        <f t="shared" si="46"/>
        <v>35.073910769320996</v>
      </c>
      <c r="AL19" s="45">
        <f t="shared" si="46"/>
        <v>35.95075853855402</v>
      </c>
      <c r="AM19" s="45">
        <f t="shared" si="46"/>
        <v>36.849527502017864</v>
      </c>
      <c r="AN19" s="46"/>
      <c r="AO19" s="46"/>
      <c r="AP19" s="46"/>
      <c r="AQ19" s="46"/>
      <c r="AR19" s="46">
        <v>40.161470228205403</v>
      </c>
      <c r="AS19" s="46"/>
      <c r="AT19" s="46"/>
      <c r="AU19" s="46"/>
      <c r="AV19" s="46"/>
      <c r="AW19" s="46">
        <v>41.2444494194106</v>
      </c>
      <c r="AX19" s="46"/>
      <c r="AY19" s="46"/>
      <c r="AZ19" s="46"/>
      <c r="BA19" s="46"/>
      <c r="BB19" s="46">
        <v>41.872832516417603</v>
      </c>
      <c r="BC19" s="46"/>
      <c r="BD19" s="46"/>
      <c r="BE19" s="46"/>
      <c r="BF19" s="46"/>
      <c r="BG19" s="46">
        <v>42.547272389434802</v>
      </c>
      <c r="BH19" s="46"/>
      <c r="BI19" s="46"/>
      <c r="BJ19" s="46"/>
      <c r="BK19" s="46"/>
      <c r="BL19" s="46">
        <v>43.327302419470001</v>
      </c>
      <c r="BM19" s="46"/>
      <c r="BN19" s="46"/>
      <c r="BO19" s="46"/>
      <c r="BP19" s="46"/>
      <c r="BQ19" s="46">
        <v>44.244238221799201</v>
      </c>
      <c r="BR19" s="46"/>
      <c r="BS19" s="46"/>
      <c r="BT19" s="46"/>
      <c r="BU19" s="46"/>
      <c r="BV19" s="46">
        <v>45.287038972927803</v>
      </c>
      <c r="BW19" s="46"/>
      <c r="BX19" s="46"/>
      <c r="BY19" s="46"/>
      <c r="BZ19" s="46"/>
      <c r="CA19" s="46">
        <v>46.397306463739199</v>
      </c>
      <c r="CB19" s="46"/>
      <c r="CC19" s="46"/>
      <c r="CD19" s="46"/>
      <c r="CE19" s="46"/>
      <c r="CF19" s="46">
        <v>47.508226796508197</v>
      </c>
      <c r="CG19" s="46"/>
      <c r="CH19" s="46"/>
      <c r="CI19" s="46"/>
      <c r="CJ19" s="46"/>
      <c r="CK19" s="46">
        <v>48.620705909154502</v>
      </c>
    </row>
    <row r="20" spans="3:89">
      <c r="C20" t="s">
        <v>6</v>
      </c>
      <c r="D20" t="str">
        <f>_xlfn.TEXTJOIN(",",TRUE,Regions!$C$3)</f>
        <v>IE</v>
      </c>
      <c r="E20" t="s">
        <v>41</v>
      </c>
      <c r="F20" s="28" t="s">
        <v>42</v>
      </c>
      <c r="G20" s="45">
        <f>VLOOKUP(E20,'BY-Demands'!$I$6:$J$42,2,FALSE)</f>
        <v>0.32</v>
      </c>
      <c r="H20" s="45">
        <v>0.318</v>
      </c>
      <c r="I20" s="45">
        <v>0.31</v>
      </c>
      <c r="J20" s="45">
        <v>0.34200000000000003</v>
      </c>
      <c r="K20" s="45">
        <f>J20*'TRA-2021'!C16</f>
        <v>0.34839378640979202</v>
      </c>
      <c r="L20" s="45">
        <v>0.36599999999999999</v>
      </c>
      <c r="M20" s="45">
        <v>0.41899999999999998</v>
      </c>
      <c r="N20" s="45">
        <v>0.432</v>
      </c>
      <c r="O20" s="45">
        <v>0.441</v>
      </c>
      <c r="P20" s="45">
        <v>0.45</v>
      </c>
      <c r="Q20" s="45">
        <v>0.45800000000000002</v>
      </c>
      <c r="R20" s="45">
        <v>0.46800000000000003</v>
      </c>
      <c r="S20" s="45">
        <v>0.47699999999999998</v>
      </c>
      <c r="T20" s="45">
        <v>0.49</v>
      </c>
      <c r="U20" s="45">
        <v>16.694453097980016</v>
      </c>
      <c r="V20" s="45">
        <v>17.078425519233555</v>
      </c>
      <c r="W20" s="45">
        <v>17.471229306175925</v>
      </c>
      <c r="X20" s="45">
        <v>17.87306758021797</v>
      </c>
      <c r="Y20" s="45">
        <v>18.284148134562983</v>
      </c>
      <c r="Z20" s="45">
        <v>18.704683541657932</v>
      </c>
      <c r="AA20" s="45">
        <v>19.13489126311606</v>
      </c>
      <c r="AB20" s="45">
        <v>19.574993762167729</v>
      </c>
      <c r="AC20" s="45">
        <v>20.025218618697583</v>
      </c>
      <c r="AD20" s="45">
        <v>20.485798646927627</v>
      </c>
      <c r="AE20" s="45">
        <v>20.956972015806958</v>
      </c>
      <c r="AF20" s="45">
        <v>21.438982372170514</v>
      </c>
      <c r="AG20" s="45">
        <v>21.932078966730433</v>
      </c>
      <c r="AH20" s="45">
        <v>22.436516782965231</v>
      </c>
      <c r="AI20" s="45">
        <v>22.952556668973429</v>
      </c>
      <c r="AJ20" s="45">
        <v>23.480465472359818</v>
      </c>
      <c r="AK20" s="45">
        <v>24.020516178224089</v>
      </c>
      <c r="AL20" s="45">
        <v>24.572988050323243</v>
      </c>
      <c r="AM20" s="45">
        <v>25.138166775480673</v>
      </c>
      <c r="AN20" s="46">
        <v>25.716344611316728</v>
      </c>
      <c r="AO20" s="46">
        <v>26.307820537377012</v>
      </c>
      <c r="AP20" s="46">
        <v>26.912900409736679</v>
      </c>
      <c r="AQ20" s="46">
        <v>27.531897119160618</v>
      </c>
      <c r="AR20" s="46">
        <v>28.165130752901309</v>
      </c>
      <c r="AS20" s="46">
        <v>28.812928760218039</v>
      </c>
      <c r="AT20" s="46">
        <v>29.475626121703051</v>
      </c>
      <c r="AU20" s="46">
        <v>30.15356552250222</v>
      </c>
      <c r="AV20" s="46">
        <v>30.847097529519768</v>
      </c>
      <c r="AW20" s="46">
        <v>31.55658077269872</v>
      </c>
      <c r="AX20" s="46">
        <v>32.282382130470786</v>
      </c>
      <c r="AY20" s="46">
        <v>33.024876919471609</v>
      </c>
      <c r="AZ20" s="46">
        <v>33.784449088619454</v>
      </c>
      <c r="BA20" s="46">
        <v>34.561491417657699</v>
      </c>
      <c r="BB20" s="46">
        <v>35.356405720263822</v>
      </c>
      <c r="BC20" s="46">
        <v>36.169603051829888</v>
      </c>
      <c r="BD20" s="46">
        <v>37.001503922021968</v>
      </c>
      <c r="BE20" s="46">
        <v>37.85253851222847</v>
      </c>
      <c r="BF20" s="46">
        <v>38.723146898009716</v>
      </c>
      <c r="BG20" s="46">
        <v>39.613779276663941</v>
      </c>
      <c r="BH20" s="46">
        <v>40.524896200027207</v>
      </c>
      <c r="BI20" s="46">
        <v>41.456968812627828</v>
      </c>
      <c r="BJ20" s="46">
        <v>42.410479095318259</v>
      </c>
      <c r="BK20" s="46">
        <v>43.385920114510576</v>
      </c>
      <c r="BL20" s="46">
        <v>44.383796277144313</v>
      </c>
      <c r="BM20" s="46">
        <v>45.404623591518629</v>
      </c>
      <c r="BN20" s="46">
        <v>46.448929934123555</v>
      </c>
      <c r="BO20" s="46">
        <v>47.517255322608392</v>
      </c>
      <c r="BP20" s="46">
        <v>48.610152195028377</v>
      </c>
      <c r="BQ20" s="46">
        <v>49.728185695514021</v>
      </c>
      <c r="BR20" s="46">
        <v>50.871933966510845</v>
      </c>
      <c r="BS20" s="46">
        <v>52.041988447740586</v>
      </c>
      <c r="BT20" s="46">
        <v>53.238954182038611</v>
      </c>
      <c r="BU20" s="46">
        <v>54.463450128225503</v>
      </c>
      <c r="BV20" s="46">
        <v>55.716109481174684</v>
      </c>
      <c r="BW20" s="46">
        <v>56.997579999241694</v>
      </c>
      <c r="BX20" s="46">
        <v>58.308524339224249</v>
      </c>
      <c r="BY20" s="46">
        <v>59.649620399026404</v>
      </c>
      <c r="BZ20" s="46">
        <v>61.021561668204008</v>
      </c>
      <c r="CA20" s="46">
        <v>62.425057586572692</v>
      </c>
      <c r="CB20" s="46">
        <v>63.860833911063864</v>
      </c>
      <c r="CC20" s="46">
        <v>65.329633091018323</v>
      </c>
      <c r="CD20" s="46">
        <v>66.832214652111745</v>
      </c>
      <c r="CE20" s="46">
        <v>68.369355589110299</v>
      </c>
      <c r="CF20" s="46">
        <v>69.941850767659844</v>
      </c>
      <c r="CG20" s="46">
        <v>71.550513335316012</v>
      </c>
      <c r="CH20" s="46">
        <v>73.196175142028267</v>
      </c>
      <c r="CI20" s="46">
        <v>74.879687170294915</v>
      </c>
      <c r="CJ20" s="46">
        <v>76.601919975211686</v>
      </c>
      <c r="CK20" s="46">
        <v>78.363764134641542</v>
      </c>
    </row>
    <row r="21" spans="3:89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45">
        <f>VLOOKUP(E21,'BY-Demands'!$I$6:$J$42,2,FALSE)</f>
        <v>7.7105748259750104</v>
      </c>
      <c r="H21" s="46">
        <v>10.277153740875089</v>
      </c>
      <c r="I21" s="46">
        <v>3.3705919303064187</v>
      </c>
      <c r="J21" s="46">
        <v>8.6157094085103783</v>
      </c>
      <c r="K21" s="46">
        <v>7.6814227047944605</v>
      </c>
      <c r="L21" s="46">
        <f t="shared" ref="L21:R21" si="47">K21-($H$21/11)</f>
        <v>6.7471360010785428</v>
      </c>
      <c r="M21" s="46">
        <f t="shared" si="47"/>
        <v>5.8128492973626251</v>
      </c>
      <c r="N21" s="46">
        <f t="shared" si="47"/>
        <v>4.8785625936467074</v>
      </c>
      <c r="O21" s="46">
        <f t="shared" si="47"/>
        <v>3.9442758899307901</v>
      </c>
      <c r="P21" s="46">
        <f t="shared" si="47"/>
        <v>3.0099891862148729</v>
      </c>
      <c r="Q21" s="46">
        <f t="shared" si="47"/>
        <v>2.0757024824989556</v>
      </c>
      <c r="R21" s="46">
        <f t="shared" si="47"/>
        <v>1.1414157787830383</v>
      </c>
      <c r="S21" s="46">
        <v>0</v>
      </c>
      <c r="T21" s="46"/>
      <c r="U21" s="46"/>
      <c r="V21" s="46"/>
      <c r="W21" s="46"/>
      <c r="X21" s="46">
        <v>0</v>
      </c>
      <c r="Y21" s="46"/>
      <c r="Z21" s="46"/>
      <c r="AA21" s="46"/>
      <c r="AB21" s="46"/>
      <c r="AC21" s="46">
        <v>0</v>
      </c>
      <c r="AD21" s="46"/>
      <c r="AE21" s="46"/>
      <c r="AF21" s="46"/>
      <c r="AG21" s="46"/>
      <c r="AH21" s="46">
        <v>0</v>
      </c>
      <c r="AI21" s="46"/>
      <c r="AJ21" s="46"/>
      <c r="AK21" s="46"/>
      <c r="AL21" s="46"/>
      <c r="AM21" s="46">
        <v>0</v>
      </c>
      <c r="AN21" s="46"/>
      <c r="AO21" s="46"/>
      <c r="AP21" s="46"/>
      <c r="AQ21" s="46"/>
      <c r="AR21" s="46">
        <v>0</v>
      </c>
      <c r="AS21" s="46"/>
      <c r="AT21" s="46"/>
      <c r="AU21" s="46"/>
      <c r="AV21" s="46"/>
      <c r="AW21" s="46">
        <v>0</v>
      </c>
      <c r="AX21" s="46"/>
      <c r="AY21" s="46"/>
      <c r="AZ21" s="46"/>
      <c r="BA21" s="46"/>
      <c r="BB21" s="46">
        <v>0</v>
      </c>
      <c r="BC21" s="46"/>
      <c r="BD21" s="46"/>
      <c r="BE21" s="46"/>
      <c r="BF21" s="46"/>
      <c r="BG21" s="46">
        <v>0</v>
      </c>
      <c r="BH21" s="46"/>
      <c r="BI21" s="46"/>
      <c r="BJ21" s="46"/>
      <c r="BK21" s="46"/>
      <c r="BL21" s="46">
        <v>0</v>
      </c>
      <c r="BM21" s="46"/>
      <c r="BN21" s="46"/>
      <c r="BO21" s="46"/>
      <c r="BP21" s="46"/>
      <c r="BQ21" s="46">
        <v>0</v>
      </c>
      <c r="BR21" s="46"/>
      <c r="BS21" s="46"/>
      <c r="BT21" s="46"/>
      <c r="BU21" s="46"/>
      <c r="BV21" s="46">
        <v>0</v>
      </c>
      <c r="BW21" s="46"/>
      <c r="BX21" s="46"/>
      <c r="BY21" s="46"/>
      <c r="BZ21" s="46"/>
      <c r="CA21" s="46">
        <v>0</v>
      </c>
      <c r="CB21" s="46"/>
      <c r="CC21" s="46"/>
      <c r="CD21" s="46"/>
      <c r="CE21" s="46"/>
      <c r="CF21" s="46">
        <v>0</v>
      </c>
      <c r="CG21" s="46"/>
      <c r="CH21" s="46"/>
      <c r="CI21" s="46"/>
      <c r="CJ21" s="46"/>
      <c r="CK21" s="46">
        <v>0</v>
      </c>
    </row>
    <row r="22" spans="3:89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45">
        <f>VLOOKUP(E22,'BY-Demands'!$I$6:$J$42,2,FALSE)</f>
        <v>3.5132998087277101</v>
      </c>
      <c r="H22" s="46">
        <v>3.7418117054559139</v>
      </c>
      <c r="I22" s="46">
        <v>4.5759806863218264</v>
      </c>
      <c r="J22" s="46">
        <v>5.0500849492972852</v>
      </c>
      <c r="K22" s="46">
        <v>4.6611834502685596</v>
      </c>
      <c r="L22" s="46">
        <v>4.8042664418927696</v>
      </c>
      <c r="M22" s="46">
        <v>4.9555896582088499</v>
      </c>
      <c r="N22" s="46">
        <v>5.1129502074838999</v>
      </c>
      <c r="O22" s="46">
        <v>5.2752039056523996</v>
      </c>
      <c r="P22" s="46">
        <v>5.4414060135777298</v>
      </c>
      <c r="Q22" s="46">
        <v>5.6117259844700902</v>
      </c>
      <c r="R22" s="46">
        <v>5.7862882839617802</v>
      </c>
      <c r="S22" s="46">
        <v>5.9645530611175701</v>
      </c>
      <c r="T22" s="46">
        <v>6.1457480291828999</v>
      </c>
      <c r="U22" s="46">
        <v>6.3299271732513001</v>
      </c>
      <c r="V22" s="46">
        <v>6.5164111808959202</v>
      </c>
      <c r="W22" s="46">
        <v>6.7046092152599002</v>
      </c>
      <c r="X22" s="46">
        <v>6.8941328835870399</v>
      </c>
      <c r="Y22" s="46">
        <v>7.0848817136199704</v>
      </c>
      <c r="Z22" s="46">
        <v>7.2761374036976303</v>
      </c>
      <c r="AA22" s="46">
        <v>7.4682763498887699</v>
      </c>
      <c r="AB22" s="46">
        <v>7.6618204080974204</v>
      </c>
      <c r="AC22" s="46">
        <v>7.8573484184930402</v>
      </c>
      <c r="AD22" s="46">
        <v>8.0554527175184294</v>
      </c>
      <c r="AE22" s="46">
        <v>8.2566896515540797</v>
      </c>
      <c r="AF22" s="46">
        <v>8.4615630814728604</v>
      </c>
      <c r="AG22" s="46">
        <v>8.6705693702179794</v>
      </c>
      <c r="AH22" s="46">
        <v>8.8842603654121408</v>
      </c>
      <c r="AI22" s="46">
        <v>9.1033168790680801</v>
      </c>
      <c r="AJ22" s="46">
        <v>9.3273565167733494</v>
      </c>
      <c r="AK22" s="46">
        <v>9.5573045230475095</v>
      </c>
      <c r="AL22" s="46">
        <v>9.7942615939640305</v>
      </c>
      <c r="AM22" s="46">
        <v>10.039412402408599</v>
      </c>
      <c r="AN22" s="46">
        <v>10.293860643626401</v>
      </c>
      <c r="AO22" s="46">
        <v>10.5584100956768</v>
      </c>
      <c r="AP22" s="46">
        <v>10.833663592103999</v>
      </c>
      <c r="AQ22" s="46">
        <v>11.1201369904683</v>
      </c>
      <c r="AR22" s="46">
        <v>11.4183281532989</v>
      </c>
      <c r="AS22" s="46">
        <v>11.7286584642425</v>
      </c>
      <c r="AT22" s="46">
        <v>12.051195404665901</v>
      </c>
      <c r="AU22" s="46">
        <v>12.3857005404062</v>
      </c>
      <c r="AV22" s="46">
        <v>12.7317569865743</v>
      </c>
      <c r="AW22" s="46">
        <v>13.088970352070501</v>
      </c>
      <c r="AX22" s="46">
        <v>12.461582160250099</v>
      </c>
      <c r="AY22" s="46">
        <v>12.666563648039499</v>
      </c>
      <c r="AZ22" s="46">
        <v>12.871545135828899</v>
      </c>
      <c r="BA22" s="46">
        <v>13.0765266236182</v>
      </c>
      <c r="BB22" s="46">
        <v>13.281508111407501</v>
      </c>
      <c r="BC22" s="46">
        <v>13.486489599196901</v>
      </c>
      <c r="BD22" s="46">
        <v>13.6914710869862</v>
      </c>
      <c r="BE22" s="46">
        <v>13.8964525747756</v>
      </c>
      <c r="BF22" s="46">
        <v>14.101434062565</v>
      </c>
      <c r="BG22" s="46">
        <v>14.3064155503543</v>
      </c>
      <c r="BH22" s="46">
        <v>14.511397038143601</v>
      </c>
      <c r="BI22" s="46">
        <v>14.716378525933001</v>
      </c>
      <c r="BJ22" s="46">
        <v>14.921360013722399</v>
      </c>
      <c r="BK22" s="46">
        <v>15.1263415015117</v>
      </c>
      <c r="BL22" s="46">
        <v>15.3313229893011</v>
      </c>
      <c r="BM22" s="46">
        <v>15.5363044770905</v>
      </c>
      <c r="BN22" s="46">
        <v>15.7412859648798</v>
      </c>
      <c r="BO22" s="46">
        <v>15.946267452669099</v>
      </c>
      <c r="BP22" s="46">
        <v>16.151248940458501</v>
      </c>
      <c r="BQ22" s="46">
        <v>16.356230428247802</v>
      </c>
      <c r="BR22" s="46">
        <v>16.561211916037202</v>
      </c>
      <c r="BS22" s="46">
        <v>16.766193403826598</v>
      </c>
      <c r="BT22" s="46">
        <v>16.971174891615899</v>
      </c>
      <c r="BU22" s="46">
        <v>17.176156379405199</v>
      </c>
      <c r="BV22" s="46">
        <v>17.3811378671946</v>
      </c>
      <c r="BW22" s="46">
        <v>17.586119354984</v>
      </c>
      <c r="BX22" s="46">
        <v>17.7911008427733</v>
      </c>
      <c r="BY22" s="46">
        <v>17.9960823305627</v>
      </c>
      <c r="BZ22" s="46">
        <v>18.201063818352001</v>
      </c>
      <c r="CA22" s="46">
        <v>18.406045306141401</v>
      </c>
      <c r="CB22" s="46">
        <v>18.611026793930701</v>
      </c>
      <c r="CC22" s="46">
        <v>18.816008281720102</v>
      </c>
      <c r="CD22" s="46">
        <v>19.020989769509399</v>
      </c>
      <c r="CE22" s="46">
        <v>19.225971257298799</v>
      </c>
      <c r="CF22" s="46">
        <v>19.430952745088199</v>
      </c>
      <c r="CG22" s="46">
        <v>19.635934232877499</v>
      </c>
      <c r="CH22" s="46">
        <v>19.8409157206668</v>
      </c>
      <c r="CI22" s="46">
        <v>20.0458972084562</v>
      </c>
      <c r="CJ22" s="46">
        <v>20.2508786962456</v>
      </c>
      <c r="CK22" s="46">
        <v>20.455860184034901</v>
      </c>
    </row>
    <row r="23" spans="3:89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45">
        <f>VLOOKUP(E23,'BY-Demands'!$I$6:$J$42,2,FALSE)</f>
        <v>20.831454920682301</v>
      </c>
      <c r="H23" s="46">
        <v>16.657128777768676</v>
      </c>
      <c r="I23" s="46">
        <v>22.750457116443403</v>
      </c>
      <c r="J23" s="46">
        <v>15.130660002348661</v>
      </c>
      <c r="K23" s="46">
        <v>13.161374650000001</v>
      </c>
      <c r="L23" s="46">
        <v>12.48596777</v>
      </c>
      <c r="M23" s="46">
        <v>11.082962500000001</v>
      </c>
      <c r="N23" s="46">
        <v>8.6768985000000001</v>
      </c>
      <c r="O23" s="46">
        <v>5.6468117209999997</v>
      </c>
      <c r="P23" s="46">
        <v>3.024291002</v>
      </c>
      <c r="Q23" s="46">
        <v>1.39538575</v>
      </c>
      <c r="R23" s="46">
        <v>0.58209679999999997</v>
      </c>
      <c r="S23" s="46">
        <v>0</v>
      </c>
      <c r="T23" s="46"/>
      <c r="U23" s="46"/>
      <c r="V23" s="46"/>
      <c r="W23" s="46"/>
      <c r="X23" s="46">
        <v>0</v>
      </c>
      <c r="Y23" s="46"/>
      <c r="Z23" s="46"/>
      <c r="AA23" s="46"/>
      <c r="AB23" s="46"/>
      <c r="AC23" s="46">
        <v>0</v>
      </c>
      <c r="AD23" s="46"/>
      <c r="AE23" s="46"/>
      <c r="AF23" s="46"/>
      <c r="AG23" s="46"/>
      <c r="AH23" s="46">
        <v>0</v>
      </c>
      <c r="AI23" s="46"/>
      <c r="AJ23" s="46"/>
      <c r="AK23" s="46"/>
      <c r="AL23" s="46"/>
      <c r="AM23" s="46">
        <v>0</v>
      </c>
      <c r="AN23" s="46"/>
      <c r="AO23" s="46"/>
      <c r="AP23" s="46"/>
      <c r="AQ23" s="46"/>
      <c r="AR23" s="46">
        <v>0</v>
      </c>
      <c r="AS23" s="46"/>
      <c r="AT23" s="46"/>
      <c r="AU23" s="46"/>
      <c r="AV23" s="46"/>
      <c r="AW23" s="46">
        <v>0</v>
      </c>
      <c r="AX23" s="46"/>
      <c r="AY23" s="46"/>
      <c r="AZ23" s="46"/>
      <c r="BA23" s="46"/>
      <c r="BB23" s="46">
        <v>0</v>
      </c>
      <c r="BC23" s="46"/>
      <c r="BD23" s="46"/>
      <c r="BE23" s="46"/>
      <c r="BF23" s="46"/>
      <c r="BG23" s="46">
        <v>0</v>
      </c>
      <c r="BH23" s="46"/>
      <c r="BI23" s="46"/>
      <c r="BJ23" s="46"/>
      <c r="BK23" s="46"/>
      <c r="BL23" s="46">
        <v>0</v>
      </c>
      <c r="BM23" s="46"/>
      <c r="BN23" s="46"/>
      <c r="BO23" s="46"/>
      <c r="BP23" s="46"/>
      <c r="BQ23" s="46">
        <v>0</v>
      </c>
      <c r="BR23" s="46"/>
      <c r="BS23" s="46"/>
      <c r="BT23" s="46"/>
      <c r="BU23" s="46"/>
      <c r="BV23" s="46">
        <v>0</v>
      </c>
      <c r="BW23" s="46"/>
      <c r="BX23" s="46"/>
      <c r="BY23" s="46"/>
      <c r="BZ23" s="46"/>
      <c r="CA23" s="46">
        <v>0</v>
      </c>
      <c r="CB23" s="46"/>
      <c r="CC23" s="46"/>
      <c r="CD23" s="46"/>
      <c r="CE23" s="46"/>
      <c r="CF23" s="46">
        <v>0</v>
      </c>
      <c r="CG23" s="46"/>
      <c r="CH23" s="46"/>
      <c r="CI23" s="46"/>
      <c r="CJ23" s="46"/>
      <c r="CK23" s="46">
        <v>0</v>
      </c>
    </row>
    <row r="24" spans="3:89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45">
        <f>VLOOKUP(E24,'BY-Demands'!$I$6:$J$42,2,FALSE)</f>
        <v>0.23349320028657899</v>
      </c>
      <c r="H24" s="46">
        <v>0.25090920347352241</v>
      </c>
      <c r="I24" s="46">
        <v>0.11004689080374389</v>
      </c>
      <c r="J24" s="46">
        <v>0.12006442123265494</v>
      </c>
      <c r="K24" s="46">
        <v>0.23</v>
      </c>
      <c r="L24" s="46">
        <v>0.23</v>
      </c>
      <c r="M24" s="46">
        <v>0.23</v>
      </c>
      <c r="N24" s="46">
        <v>0.23</v>
      </c>
      <c r="O24" s="46">
        <v>0.23</v>
      </c>
      <c r="P24" s="46">
        <v>0.23</v>
      </c>
      <c r="Q24" s="46">
        <v>0.23</v>
      </c>
      <c r="R24" s="46">
        <v>0.23</v>
      </c>
      <c r="S24" s="46">
        <v>0.23</v>
      </c>
      <c r="T24" s="46">
        <v>0.23</v>
      </c>
      <c r="U24" s="46">
        <v>0.23</v>
      </c>
      <c r="V24" s="46">
        <v>0.23</v>
      </c>
      <c r="W24" s="46">
        <v>0.23</v>
      </c>
      <c r="X24" s="46">
        <v>0.23</v>
      </c>
      <c r="Y24" s="46">
        <v>0.23</v>
      </c>
      <c r="Z24" s="46">
        <v>0.23</v>
      </c>
      <c r="AA24" s="46">
        <v>0.23</v>
      </c>
      <c r="AB24" s="46">
        <v>0.23</v>
      </c>
      <c r="AC24" s="46">
        <v>0.23</v>
      </c>
      <c r="AD24" s="46">
        <v>0.23</v>
      </c>
      <c r="AE24" s="46">
        <v>0.23</v>
      </c>
      <c r="AF24" s="46">
        <v>0.23</v>
      </c>
      <c r="AG24" s="46">
        <v>0.23</v>
      </c>
      <c r="AH24" s="46">
        <v>0.23</v>
      </c>
      <c r="AI24" s="46">
        <v>0.23</v>
      </c>
      <c r="AJ24" s="46">
        <v>0.23</v>
      </c>
      <c r="AK24" s="46">
        <v>0.23</v>
      </c>
      <c r="AL24" s="46">
        <v>0.23</v>
      </c>
      <c r="AM24" s="46">
        <v>0.23</v>
      </c>
      <c r="AN24" s="46">
        <v>0.23</v>
      </c>
      <c r="AO24" s="46">
        <v>0.23</v>
      </c>
      <c r="AP24" s="46">
        <v>0.23</v>
      </c>
      <c r="AQ24" s="46">
        <v>0.23</v>
      </c>
      <c r="AR24" s="46">
        <v>0.23</v>
      </c>
      <c r="AS24" s="46">
        <v>0.23</v>
      </c>
      <c r="AT24" s="46">
        <v>0.23</v>
      </c>
      <c r="AU24" s="46">
        <v>0.23</v>
      </c>
      <c r="AV24" s="46">
        <v>0.23</v>
      </c>
      <c r="AW24" s="46">
        <v>0.23</v>
      </c>
      <c r="AX24" s="46">
        <v>0.23</v>
      </c>
      <c r="AY24" s="46">
        <v>0.23</v>
      </c>
      <c r="AZ24" s="46">
        <v>0.23</v>
      </c>
      <c r="BA24" s="46">
        <v>0.23</v>
      </c>
      <c r="BB24" s="46">
        <v>0.23</v>
      </c>
      <c r="BC24" s="46">
        <v>0.23</v>
      </c>
      <c r="BD24" s="46">
        <v>0.23</v>
      </c>
      <c r="BE24" s="46">
        <v>0.23</v>
      </c>
      <c r="BF24" s="46">
        <v>0.23</v>
      </c>
      <c r="BG24" s="46">
        <v>0.23</v>
      </c>
      <c r="BH24" s="46">
        <v>0.23</v>
      </c>
      <c r="BI24" s="46">
        <v>0.23</v>
      </c>
      <c r="BJ24" s="46">
        <v>0.23</v>
      </c>
      <c r="BK24" s="46">
        <v>0.23</v>
      </c>
      <c r="BL24" s="46">
        <v>0.23</v>
      </c>
      <c r="BM24" s="46">
        <v>0.23</v>
      </c>
      <c r="BN24" s="46">
        <v>0.23</v>
      </c>
      <c r="BO24" s="46">
        <v>0.23</v>
      </c>
      <c r="BP24" s="46">
        <v>0.23</v>
      </c>
      <c r="BQ24" s="46">
        <v>0.23</v>
      </c>
      <c r="BR24" s="46">
        <v>0.23</v>
      </c>
      <c r="BS24" s="46">
        <v>0.23</v>
      </c>
      <c r="BT24" s="46">
        <v>0.23</v>
      </c>
      <c r="BU24" s="46">
        <v>0.23</v>
      </c>
      <c r="BV24" s="46">
        <v>0.23</v>
      </c>
      <c r="BW24" s="46">
        <v>0.23</v>
      </c>
      <c r="BX24" s="46">
        <v>0.23</v>
      </c>
      <c r="BY24" s="46">
        <v>0.23</v>
      </c>
      <c r="BZ24" s="46">
        <v>0.23</v>
      </c>
      <c r="CA24" s="46">
        <v>0.23</v>
      </c>
      <c r="CB24" s="46">
        <v>0.23</v>
      </c>
      <c r="CC24" s="46">
        <v>0.23</v>
      </c>
      <c r="CD24" s="46">
        <v>0.23</v>
      </c>
      <c r="CE24" s="46">
        <v>0.23</v>
      </c>
      <c r="CF24" s="46">
        <v>0.23</v>
      </c>
      <c r="CG24" s="46">
        <v>0.23</v>
      </c>
      <c r="CH24" s="46">
        <v>0.23</v>
      </c>
      <c r="CI24" s="46">
        <v>0.23</v>
      </c>
      <c r="CJ24" s="46">
        <v>0.23</v>
      </c>
      <c r="CK24" s="46">
        <v>0.23</v>
      </c>
    </row>
    <row r="25" spans="3:89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45">
        <f>VLOOKUP(E25,'BY-Demands'!$I$6:$J$42,2,FALSE)</f>
        <v>45.9683637522608</v>
      </c>
      <c r="H25" s="46">
        <v>46.490627829341264</v>
      </c>
      <c r="I25" s="46">
        <v>16.580491392971403</v>
      </c>
      <c r="J25" s="46">
        <v>18.575720244415919</v>
      </c>
      <c r="K25" s="46">
        <v>48.192396850000002</v>
      </c>
      <c r="L25" s="46">
        <v>48.860779260000001</v>
      </c>
      <c r="M25" s="46">
        <v>49.515792400000002</v>
      </c>
      <c r="N25" s="46">
        <v>50.15770371</v>
      </c>
      <c r="O25" s="46">
        <v>50.786775239999997</v>
      </c>
      <c r="P25" s="46">
        <v>51.403263819999999</v>
      </c>
      <c r="Q25" s="46">
        <v>52.007421139999998</v>
      </c>
      <c r="R25" s="46">
        <v>52.599493860000003</v>
      </c>
      <c r="S25" s="46">
        <v>53.179723690000003</v>
      </c>
      <c r="T25" s="46">
        <v>53.748347529999997</v>
      </c>
      <c r="U25" s="46">
        <v>54.305597519999999</v>
      </c>
      <c r="V25" s="46">
        <v>54.851701169999998</v>
      </c>
      <c r="W25" s="46">
        <v>55.386881420000002</v>
      </c>
      <c r="X25" s="46">
        <v>55.911356779999998</v>
      </c>
      <c r="Y25" s="46">
        <v>56.425341359999997</v>
      </c>
      <c r="Z25" s="46">
        <v>56.929045010000003</v>
      </c>
      <c r="AA25" s="46">
        <v>57.422673379999999</v>
      </c>
      <c r="AB25" s="46">
        <v>57.906427979999997</v>
      </c>
      <c r="AC25" s="46">
        <v>58.380506330000003</v>
      </c>
      <c r="AD25" s="46">
        <v>58.845101960000001</v>
      </c>
      <c r="AE25" s="46">
        <v>59.300404559999997</v>
      </c>
      <c r="AF25" s="46">
        <v>59.746600020000002</v>
      </c>
      <c r="AG25" s="46">
        <v>60.183870480000003</v>
      </c>
      <c r="AH25" s="46">
        <v>60.612394479999999</v>
      </c>
      <c r="AI25" s="46">
        <v>61.032346969999999</v>
      </c>
      <c r="AJ25" s="46">
        <v>61.443899389999999</v>
      </c>
      <c r="AK25" s="46">
        <v>61.847219770000002</v>
      </c>
      <c r="AL25" s="46">
        <v>62.242472769999999</v>
      </c>
      <c r="AM25" s="46">
        <v>62.629819759999997</v>
      </c>
      <c r="AN25" s="46">
        <v>63.009418869999998</v>
      </c>
      <c r="AO25" s="46">
        <v>63.38142509</v>
      </c>
      <c r="AP25" s="46">
        <v>63.745990280000001</v>
      </c>
      <c r="AQ25" s="46">
        <v>64.103263290000001</v>
      </c>
      <c r="AR25" s="46">
        <v>64.453389970000003</v>
      </c>
      <c r="AS25" s="46">
        <v>64.796513279999999</v>
      </c>
      <c r="AT25" s="46">
        <v>65.132773299999997</v>
      </c>
      <c r="AU25" s="46">
        <v>65.462307300000006</v>
      </c>
      <c r="AV25" s="46">
        <v>65.785249820000004</v>
      </c>
      <c r="AW25" s="46">
        <v>66.101732720000001</v>
      </c>
      <c r="AX25" s="46">
        <v>66.4118852</v>
      </c>
      <c r="AY25" s="46">
        <v>66.715833869999997</v>
      </c>
      <c r="AZ25" s="46">
        <v>67.013702850000001</v>
      </c>
      <c r="BA25" s="46">
        <v>67.305613719999997</v>
      </c>
      <c r="BB25" s="46">
        <v>67.591685670000004</v>
      </c>
      <c r="BC25" s="46">
        <v>67.872035490000002</v>
      </c>
      <c r="BD25" s="46">
        <v>68.146777639999996</v>
      </c>
      <c r="BE25" s="46">
        <v>68.416024280000002</v>
      </c>
      <c r="BF25" s="46">
        <v>68.679885339999998</v>
      </c>
      <c r="BG25" s="46">
        <v>68.938468540000002</v>
      </c>
      <c r="BH25" s="46">
        <v>69.191879450000002</v>
      </c>
      <c r="BI25" s="46">
        <v>69.440221539999996</v>
      </c>
      <c r="BJ25" s="46">
        <v>69.683596179999995</v>
      </c>
      <c r="BK25" s="46">
        <v>69.92210274</v>
      </c>
      <c r="BL25" s="46">
        <v>70.155838599999996</v>
      </c>
      <c r="BM25" s="46">
        <v>70.384899169999997</v>
      </c>
      <c r="BN25" s="46">
        <v>70.609377989999999</v>
      </c>
      <c r="BO25" s="46">
        <v>70.829366680000007</v>
      </c>
      <c r="BP25" s="46">
        <v>71.04495507</v>
      </c>
      <c r="BQ25" s="46">
        <v>71.256231170000007</v>
      </c>
      <c r="BR25" s="46">
        <v>71.463281230000007</v>
      </c>
      <c r="BS25" s="46">
        <v>71.666189799999998</v>
      </c>
      <c r="BT25" s="46">
        <v>71.865039710000005</v>
      </c>
      <c r="BU25" s="46">
        <v>72.059912139999994</v>
      </c>
      <c r="BV25" s="46">
        <v>72.250886649999998</v>
      </c>
      <c r="BW25" s="46">
        <v>72.438041200000001</v>
      </c>
      <c r="BX25" s="46">
        <v>72.621452219999995</v>
      </c>
      <c r="BY25" s="46">
        <v>72.801194570000007</v>
      </c>
      <c r="BZ25" s="46">
        <v>72.977341640000006</v>
      </c>
      <c r="CA25" s="46">
        <v>73.149965350000002</v>
      </c>
      <c r="CB25" s="46">
        <v>73.319136159999999</v>
      </c>
      <c r="CC25" s="46">
        <v>73.48492315</v>
      </c>
      <c r="CD25" s="46">
        <v>73.647394009999999</v>
      </c>
      <c r="CE25" s="46">
        <v>73.806615050000005</v>
      </c>
      <c r="CF25" s="46">
        <v>73.962651280000003</v>
      </c>
      <c r="CG25" s="46">
        <v>74.115566419999993</v>
      </c>
      <c r="CH25" s="46">
        <v>74.265422880000003</v>
      </c>
      <c r="CI25" s="46">
        <v>74.412281849999999</v>
      </c>
      <c r="CJ25" s="46">
        <v>74.556203289999999</v>
      </c>
      <c r="CK25" s="46">
        <v>74.697245960000004</v>
      </c>
    </row>
    <row r="26" spans="3:89">
      <c r="C26" t="s">
        <v>6</v>
      </c>
      <c r="D26" t="str">
        <f>_xlfn.TEXTJOIN(",",TRUE,Regions!$C$3,Regions!$D$3)</f>
        <v>IE,National</v>
      </c>
      <c r="E26" t="s">
        <v>53</v>
      </c>
      <c r="F26" s="28" t="s">
        <v>54</v>
      </c>
      <c r="G26" s="45">
        <f>VLOOKUP(E26,'BY-Demands'!$I$6:$J$42,2,FALSE)</f>
        <v>211.819885</v>
      </c>
      <c r="H26" s="46">
        <v>227.33367966704699</v>
      </c>
      <c r="I26" s="46">
        <v>234.01489904006499</v>
      </c>
      <c r="J26" s="46">
        <v>250.52243040236399</v>
      </c>
      <c r="K26" s="46">
        <v>265.47273899323898</v>
      </c>
      <c r="L26" s="46">
        <v>279.23643876610601</v>
      </c>
      <c r="M26" s="46">
        <v>291.97758934464099</v>
      </c>
      <c r="N26" s="46">
        <v>303.745747309416</v>
      </c>
      <c r="O26" s="46">
        <v>314.88867210903697</v>
      </c>
      <c r="P26" s="46">
        <v>325.448418136599</v>
      </c>
      <c r="Q26" s="46">
        <v>335.72138230120601</v>
      </c>
      <c r="R26" s="46">
        <v>345.60194314472</v>
      </c>
      <c r="S26" s="46">
        <v>355.09166996739799</v>
      </c>
      <c r="T26" s="46">
        <v>372.33998569365798</v>
      </c>
      <c r="U26" s="46">
        <v>385.16674421872602</v>
      </c>
      <c r="V26" s="46">
        <v>398.22461473825501</v>
      </c>
      <c r="W26" s="46">
        <v>411.45770972769901</v>
      </c>
      <c r="X26" s="46">
        <v>424.76161479887702</v>
      </c>
      <c r="Y26" s="46">
        <v>438.12862011422999</v>
      </c>
      <c r="Z26" s="46">
        <v>451.68804802308699</v>
      </c>
      <c r="AA26" s="46">
        <v>465.40875684082903</v>
      </c>
      <c r="AB26" s="46">
        <v>479.13103817121703</v>
      </c>
      <c r="AC26" s="46">
        <v>492.828423833106</v>
      </c>
      <c r="AD26" s="46">
        <v>496.36472594874499</v>
      </c>
      <c r="AE26" s="46">
        <v>514.52001380752995</v>
      </c>
      <c r="AF26" s="46">
        <v>530.17405404626902</v>
      </c>
      <c r="AG26" s="46">
        <v>544.19495314722303</v>
      </c>
      <c r="AH26" s="46">
        <v>558.26962802562196</v>
      </c>
      <c r="AI26" s="46">
        <v>572.38852326507094</v>
      </c>
      <c r="AJ26" s="46">
        <v>586.53294139438299</v>
      </c>
      <c r="AK26" s="46">
        <v>600.68795864299398</v>
      </c>
      <c r="AL26" s="46">
        <v>614.82387830734103</v>
      </c>
      <c r="AM26" s="46">
        <v>628.93152164032301</v>
      </c>
      <c r="AN26" s="46">
        <v>643.00410262211005</v>
      </c>
      <c r="AO26" s="46">
        <v>657.18423969818502</v>
      </c>
      <c r="AP26" s="46">
        <v>671.35750183642006</v>
      </c>
      <c r="AQ26" s="46">
        <v>685.53131059817395</v>
      </c>
      <c r="AR26" s="46">
        <v>699.71894911636105</v>
      </c>
      <c r="AS26" s="46">
        <v>713.92554497696096</v>
      </c>
      <c r="AT26" s="46">
        <v>728.15328995631603</v>
      </c>
      <c r="AU26" s="46">
        <v>742.41918629131999</v>
      </c>
      <c r="AV26" s="46">
        <v>756.73941793789504</v>
      </c>
      <c r="AW26" s="46">
        <v>771.13301065931898</v>
      </c>
      <c r="AX26" s="46">
        <v>785.61008636003203</v>
      </c>
      <c r="AY26" s="46">
        <v>800.18796720256296</v>
      </c>
      <c r="AZ26" s="46">
        <v>814.88079785717798</v>
      </c>
      <c r="BA26" s="46">
        <v>829.70553008510103</v>
      </c>
      <c r="BB26" s="46">
        <v>844.67783543635301</v>
      </c>
      <c r="BC26" s="46">
        <v>859.81446282352397</v>
      </c>
      <c r="BD26" s="46">
        <v>875.13056019295698</v>
      </c>
      <c r="BE26" s="46">
        <v>890.64572032533204</v>
      </c>
      <c r="BF26" s="46">
        <v>906.37959967599397</v>
      </c>
      <c r="BG26" s="46">
        <v>922.351501384161</v>
      </c>
      <c r="BH26" s="46">
        <v>938.57428710989598</v>
      </c>
      <c r="BI26" s="46">
        <v>955.06101749023901</v>
      </c>
      <c r="BJ26" s="46">
        <v>971.82648073088797</v>
      </c>
      <c r="BK26" s="46">
        <v>988.88492973635402</v>
      </c>
      <c r="BL26" s="46">
        <v>1006.25199511415</v>
      </c>
      <c r="BM26" s="46">
        <v>1023.9294437559601</v>
      </c>
      <c r="BN26" s="46">
        <v>1041.9234925855201</v>
      </c>
      <c r="BO26" s="46">
        <v>1060.2405883066299</v>
      </c>
      <c r="BP26" s="46">
        <v>1078.8818873924599</v>
      </c>
      <c r="BQ26" s="46">
        <v>1097.8442281866401</v>
      </c>
      <c r="BR26" s="46">
        <v>1117.1307879379599</v>
      </c>
      <c r="BS26" s="46">
        <v>1136.7305247628501</v>
      </c>
      <c r="BT26" s="46">
        <v>1156.6304804608301</v>
      </c>
      <c r="BU26" s="46">
        <v>1176.8105538985999</v>
      </c>
      <c r="BV26" s="46">
        <v>1197.24601175004</v>
      </c>
      <c r="BW26" s="46">
        <v>1217.9320975815699</v>
      </c>
      <c r="BX26" s="46">
        <v>1238.85956925292</v>
      </c>
      <c r="BY26" s="46">
        <v>1259.9992990129099</v>
      </c>
      <c r="BZ26" s="46">
        <v>1281.3121904680099</v>
      </c>
      <c r="CA26" s="46">
        <v>1302.7797433738299</v>
      </c>
      <c r="CB26" s="46">
        <v>1324.3797857046</v>
      </c>
      <c r="CC26" s="46">
        <v>1346.1127852668701</v>
      </c>
      <c r="CD26" s="46">
        <v>1367.9816115507199</v>
      </c>
      <c r="CE26" s="46">
        <v>1389.99234883894</v>
      </c>
      <c r="CF26" s="46">
        <v>1412.15514854653</v>
      </c>
      <c r="CG26" s="46">
        <v>1434.4735766251099</v>
      </c>
      <c r="CH26" s="46">
        <v>1456.9513426687799</v>
      </c>
      <c r="CI26" s="46">
        <v>1479.5893631530801</v>
      </c>
      <c r="CJ26" s="46">
        <v>1502.3841560784799</v>
      </c>
      <c r="CK26" s="46">
        <v>1525.3321304907599</v>
      </c>
    </row>
    <row r="27" spans="3:89">
      <c r="C27" t="s">
        <v>6</v>
      </c>
      <c r="D27" t="str">
        <f>_xlfn.TEXTJOIN(",",TRUE,Regions!$C$3,Regions!$D$3)</f>
        <v>IE,National</v>
      </c>
      <c r="E27" t="s">
        <v>55</v>
      </c>
      <c r="F27" s="28" t="s">
        <v>56</v>
      </c>
      <c r="G27" s="45">
        <f>VLOOKUP(E27,'BY-Demands'!$I$6:$J$42,2,FALSE)</f>
        <v>788.06472099999996</v>
      </c>
      <c r="H27" s="46">
        <v>805.70916346620595</v>
      </c>
      <c r="I27" s="46">
        <v>818.79213614191099</v>
      </c>
      <c r="J27" s="46">
        <v>828.23348265178799</v>
      </c>
      <c r="K27" s="46">
        <v>837.71211748108306</v>
      </c>
      <c r="L27" s="46">
        <v>847.44596259241098</v>
      </c>
      <c r="M27" s="46">
        <v>857.22660991181897</v>
      </c>
      <c r="N27" s="46">
        <v>866.69288183161598</v>
      </c>
      <c r="O27" s="46">
        <v>876.45317782380505</v>
      </c>
      <c r="P27" s="46">
        <v>886.30184769788696</v>
      </c>
      <c r="Q27" s="46">
        <v>896.78868422421601</v>
      </c>
      <c r="R27" s="46">
        <v>907.41397234982298</v>
      </c>
      <c r="S27" s="46">
        <v>918.02415110284801</v>
      </c>
      <c r="T27" s="46">
        <v>926.06233489012698</v>
      </c>
      <c r="U27" s="46">
        <v>935.42249419952896</v>
      </c>
      <c r="V27" s="46">
        <v>944.78624082315798</v>
      </c>
      <c r="W27" s="46">
        <v>954.01952778809903</v>
      </c>
      <c r="X27" s="46">
        <v>962.89022086688499</v>
      </c>
      <c r="Y27" s="46">
        <v>971.40101477560995</v>
      </c>
      <c r="Z27" s="46">
        <v>979.85184308314797</v>
      </c>
      <c r="AA27" s="46">
        <v>988.17666058914301</v>
      </c>
      <c r="AB27" s="46">
        <v>996.04767237168198</v>
      </c>
      <c r="AC27" s="46">
        <v>1003.43540212397</v>
      </c>
      <c r="AD27" s="46">
        <f>+AC27/2+AE27/2</f>
        <v>1006.3092483082901</v>
      </c>
      <c r="AE27" s="46">
        <v>1009.1830944926101</v>
      </c>
      <c r="AF27" s="46">
        <v>1016.05596064786</v>
      </c>
      <c r="AG27" s="46">
        <v>1022.6819321704</v>
      </c>
      <c r="AH27" s="46">
        <v>1029.0480878439801</v>
      </c>
      <c r="AI27" s="46">
        <v>1035.14898193112</v>
      </c>
      <c r="AJ27" s="46">
        <v>1040.9634765099099</v>
      </c>
      <c r="AK27" s="46">
        <v>1046.47869262623</v>
      </c>
      <c r="AL27" s="46">
        <v>1051.6575592105</v>
      </c>
      <c r="AM27" s="46">
        <v>1056.50027926231</v>
      </c>
      <c r="AN27" s="46">
        <v>1061.0111593090801</v>
      </c>
      <c r="AO27" s="46">
        <v>1065.4365901041699</v>
      </c>
      <c r="AP27" s="46">
        <v>1069.59656124649</v>
      </c>
      <c r="AQ27" s="46">
        <v>1073.5142082482701</v>
      </c>
      <c r="AR27" s="46">
        <v>1077.2202537226899</v>
      </c>
      <c r="AS27" s="46">
        <v>1080.73113493408</v>
      </c>
      <c r="AT27" s="46">
        <v>1084.05792806455</v>
      </c>
      <c r="AU27" s="46">
        <v>1087.23276101281</v>
      </c>
      <c r="AV27" s="46">
        <v>1090.2845851591101</v>
      </c>
      <c r="AW27" s="46">
        <v>1093.2445905786401</v>
      </c>
      <c r="AX27" s="46">
        <v>1096.1296154561301</v>
      </c>
      <c r="AY27" s="46">
        <v>1098.965361194</v>
      </c>
      <c r="AZ27" s="46">
        <v>1101.7716586537499</v>
      </c>
      <c r="BA27" s="46">
        <v>1104.57086428804</v>
      </c>
      <c r="BB27" s="46">
        <v>1107.3822922085999</v>
      </c>
      <c r="BC27" s="46">
        <v>1110.22546841332</v>
      </c>
      <c r="BD27" s="46">
        <v>1113.1166914575999</v>
      </c>
      <c r="BE27" s="46">
        <v>1116.07683041511</v>
      </c>
      <c r="BF27" s="46">
        <v>1119.12556567467</v>
      </c>
      <c r="BG27" s="46">
        <v>1122.2809497759499</v>
      </c>
      <c r="BH27" s="46">
        <v>1125.55220646883</v>
      </c>
      <c r="BI27" s="46">
        <v>1128.94819534782</v>
      </c>
      <c r="BJ27" s="46">
        <v>1132.47921024225</v>
      </c>
      <c r="BK27" s="46">
        <v>1136.1542700791199</v>
      </c>
      <c r="BL27" s="46">
        <v>1139.98336538635</v>
      </c>
      <c r="BM27" s="46">
        <v>1143.960354332</v>
      </c>
      <c r="BN27" s="46">
        <v>1148.0842402544699</v>
      </c>
      <c r="BO27" s="46">
        <v>1152.3542378964</v>
      </c>
      <c r="BP27" s="46">
        <v>1156.7638400583701</v>
      </c>
      <c r="BQ27" s="46">
        <v>1161.3022289970399</v>
      </c>
      <c r="BR27" s="46">
        <v>1165.9656901927401</v>
      </c>
      <c r="BS27" s="46">
        <v>1170.73597701472</v>
      </c>
      <c r="BT27" s="46">
        <v>1175.5937707523899</v>
      </c>
      <c r="BU27" s="46">
        <v>1180.51352058507</v>
      </c>
      <c r="BV27" s="46">
        <v>1185.4663470582</v>
      </c>
      <c r="BW27" s="46">
        <v>1190.4443287644699</v>
      </c>
      <c r="BX27" s="46">
        <v>1195.4355806927799</v>
      </c>
      <c r="BY27" s="46">
        <v>1200.40983960672</v>
      </c>
      <c r="BZ27" s="46">
        <v>1205.32895977314</v>
      </c>
      <c r="CA27" s="46">
        <v>1210.17582163213</v>
      </c>
      <c r="CB27" s="46">
        <v>1214.9307902206201</v>
      </c>
      <c r="CC27" s="46">
        <v>1219.59572253295</v>
      </c>
      <c r="CD27" s="46">
        <v>1224.17455115915</v>
      </c>
      <c r="CE27" s="46">
        <v>1228.67387508767</v>
      </c>
      <c r="CF27" s="46">
        <v>1233.10353931955</v>
      </c>
      <c r="CG27" s="46">
        <v>1237.46724452222</v>
      </c>
      <c r="CH27" s="46">
        <v>1241.76864386036</v>
      </c>
      <c r="CI27" s="46">
        <v>1246.0088700209601</v>
      </c>
      <c r="CJ27" s="46">
        <v>1250.1853462941101</v>
      </c>
      <c r="CK27" s="46">
        <v>1254.2955320809799</v>
      </c>
    </row>
    <row r="28" spans="3:89">
      <c r="C28" t="s">
        <v>6</v>
      </c>
      <c r="D28" t="str">
        <f>_xlfn.TEXTJOIN(",",TRUE,Regions!$C$3,Regions!$D$3)</f>
        <v>IE,National</v>
      </c>
      <c r="E28" t="s">
        <v>57</v>
      </c>
      <c r="F28" s="28" t="s">
        <v>58</v>
      </c>
      <c r="G28" s="45">
        <f>VLOOKUP(E28,'BY-Demands'!$I$6:$J$42,2,FALSE)</f>
        <v>735.40672900000004</v>
      </c>
      <c r="H28" s="46">
        <v>756.93265686674704</v>
      </c>
      <c r="I28" s="46">
        <v>768.29446481802404</v>
      </c>
      <c r="J28" s="46">
        <v>772.86208694584798</v>
      </c>
      <c r="K28" s="46">
        <v>777.95194352567796</v>
      </c>
      <c r="L28" s="46">
        <v>783.67269864148204</v>
      </c>
      <c r="M28" s="46">
        <v>789.75930268250397</v>
      </c>
      <c r="N28" s="46">
        <v>795.82537085896797</v>
      </c>
      <c r="O28" s="46">
        <v>802.38775006715798</v>
      </c>
      <c r="P28" s="46">
        <v>809.22213416551403</v>
      </c>
      <c r="Q28" s="46">
        <v>816.80113347457802</v>
      </c>
      <c r="R28" s="46">
        <v>824.64428658311704</v>
      </c>
      <c r="S28" s="46">
        <v>832.59337892975498</v>
      </c>
      <c r="T28" s="46">
        <v>835.494721776652</v>
      </c>
      <c r="U28" s="46">
        <v>841.12386901591697</v>
      </c>
      <c r="V28" s="46">
        <v>846.68490394820003</v>
      </c>
      <c r="W28" s="46">
        <v>852.05750789504805</v>
      </c>
      <c r="X28" s="46">
        <v>857.03569133233998</v>
      </c>
      <c r="Y28" s="46">
        <v>861.62461714738197</v>
      </c>
      <c r="Z28" s="46">
        <v>866.09217418652202</v>
      </c>
      <c r="AA28" s="46">
        <v>870.38020137632998</v>
      </c>
      <c r="AB28" s="46">
        <v>874.20163295403097</v>
      </c>
      <c r="AC28" s="46">
        <v>877.53441615506995</v>
      </c>
      <c r="AD28" s="46">
        <v>877.71565965240802</v>
      </c>
      <c r="AE28" s="46">
        <v>877.87112006521807</v>
      </c>
      <c r="AF28" s="46">
        <v>878.89535131181003</v>
      </c>
      <c r="AG28" s="46">
        <v>881.34522505719599</v>
      </c>
      <c r="AH28" s="46">
        <v>883.51153419697505</v>
      </c>
      <c r="AI28" s="46">
        <v>885.39165384489604</v>
      </c>
      <c r="AJ28" s="46">
        <v>886.96968161539996</v>
      </c>
      <c r="AK28" s="46">
        <v>888.23702563617996</v>
      </c>
      <c r="AL28" s="46">
        <v>889.16483547498206</v>
      </c>
      <c r="AM28" s="46">
        <v>889.75617108824804</v>
      </c>
      <c r="AN28" s="46">
        <v>890.01756387450996</v>
      </c>
      <c r="AO28" s="46">
        <v>890.15777792928498</v>
      </c>
      <c r="AP28" s="46">
        <v>890.027472236378</v>
      </c>
      <c r="AQ28" s="46">
        <v>889.64810387578098</v>
      </c>
      <c r="AR28" s="46">
        <v>889.04710174709999</v>
      </c>
      <c r="AS28" s="46">
        <v>888.23975575464704</v>
      </c>
      <c r="AT28" s="46">
        <v>887.23676143058299</v>
      </c>
      <c r="AU28" s="46">
        <v>886.06583568271606</v>
      </c>
      <c r="AV28" s="46">
        <v>884.75168699987705</v>
      </c>
      <c r="AW28" s="46">
        <v>883.32044041935796</v>
      </c>
      <c r="AX28" s="46">
        <v>881.786246107122</v>
      </c>
      <c r="AY28" s="46">
        <v>880.17012088321303</v>
      </c>
      <c r="AZ28" s="46">
        <v>878.48803900757105</v>
      </c>
      <c r="BA28" s="46">
        <v>876.75769674673495</v>
      </c>
      <c r="BB28" s="46">
        <v>874.99406326538895</v>
      </c>
      <c r="BC28" s="46">
        <v>873.21199066637803</v>
      </c>
      <c r="BD28" s="46">
        <v>871.42351347677197</v>
      </c>
      <c r="BE28" s="46">
        <v>869.64397981085403</v>
      </c>
      <c r="BF28" s="46">
        <v>867.88749709520505</v>
      </c>
      <c r="BG28" s="46">
        <v>866.16661054139695</v>
      </c>
      <c r="BH28" s="46">
        <v>864.48679834716302</v>
      </c>
      <c r="BI28" s="46">
        <v>862.85310286970901</v>
      </c>
      <c r="BJ28" s="46">
        <v>861.27150289560598</v>
      </c>
      <c r="BK28" s="46">
        <v>859.746834045779</v>
      </c>
      <c r="BL28" s="46">
        <v>858.28450188460499</v>
      </c>
      <c r="BM28" s="46">
        <v>856.87764919303902</v>
      </c>
      <c r="BN28" s="46">
        <v>855.523320953812</v>
      </c>
      <c r="BO28" s="46">
        <v>854.21870790128105</v>
      </c>
      <c r="BP28" s="46">
        <v>852.95676717650201</v>
      </c>
      <c r="BQ28" s="46">
        <v>851.72736999290703</v>
      </c>
      <c r="BR28" s="46">
        <v>850.52571410206997</v>
      </c>
      <c r="BS28" s="46">
        <v>849.33648851223904</v>
      </c>
      <c r="BT28" s="46">
        <v>848.14387641063399</v>
      </c>
      <c r="BU28" s="46">
        <v>846.92787895112599</v>
      </c>
      <c r="BV28" s="46">
        <v>845.66651745324396</v>
      </c>
      <c r="BW28" s="46">
        <v>844.35313340866605</v>
      </c>
      <c r="BX28" s="46">
        <v>842.97839078534503</v>
      </c>
      <c r="BY28" s="46">
        <v>841.52025477527695</v>
      </c>
      <c r="BZ28" s="46">
        <v>839.95169124344898</v>
      </c>
      <c r="CA28" s="46">
        <v>838.26086382238805</v>
      </c>
      <c r="CB28" s="46">
        <v>836.43449322558797</v>
      </c>
      <c r="CC28" s="46">
        <v>834.47434145720501</v>
      </c>
      <c r="CD28" s="46">
        <v>832.383556277568</v>
      </c>
      <c r="CE28" s="46">
        <v>830.16702542175301</v>
      </c>
      <c r="CF28" s="46">
        <v>827.83170713912295</v>
      </c>
      <c r="CG28" s="46">
        <v>825.38029461909196</v>
      </c>
      <c r="CH28" s="46">
        <v>822.81538763697301</v>
      </c>
      <c r="CI28" s="46">
        <v>820.13786487281402</v>
      </c>
      <c r="CJ28" s="46">
        <v>817.34616148165196</v>
      </c>
      <c r="CK28" s="46">
        <v>814.43878355607001</v>
      </c>
    </row>
    <row r="29" spans="3:89">
      <c r="C29" t="s">
        <v>6</v>
      </c>
      <c r="D29" t="str">
        <f>_xlfn.TEXTJOIN(",",TRUE,Regions!$C$3,Regions!$D$3)</f>
        <v>IE,National</v>
      </c>
      <c r="E29" t="s">
        <v>135</v>
      </c>
      <c r="F29" s="28" t="s">
        <v>136</v>
      </c>
      <c r="G29" s="45">
        <f>VLOOKUP(E29,'BY-Demands'!$I$6:$J$42,2,FALSE)</f>
        <v>28.901664567933999</v>
      </c>
      <c r="H29" s="46">
        <v>29.285472960899106</v>
      </c>
      <c r="I29" s="46">
        <v>29.618106901468909</v>
      </c>
      <c r="J29" s="46">
        <v>30.592051000616877</v>
      </c>
      <c r="K29" s="46">
        <v>31.598021694557701</v>
      </c>
      <c r="L29" s="46">
        <v>32.637072126664755</v>
      </c>
      <c r="M29" s="46">
        <v>33.710290071247677</v>
      </c>
      <c r="N29" s="46">
        <v>34.818799072335445</v>
      </c>
      <c r="O29" s="46">
        <v>35.963759619906362</v>
      </c>
      <c r="P29" s="46">
        <v>36.712499803959538</v>
      </c>
      <c r="Q29" s="46">
        <v>37.47682823209901</v>
      </c>
      <c r="R29" s="46">
        <v>38.25706944060434</v>
      </c>
      <c r="S29" s="46">
        <v>39.053554722372212</v>
      </c>
      <c r="T29" s="46">
        <v>39.866622267584432</v>
      </c>
      <c r="U29" s="46">
        <v>40.357314057686089</v>
      </c>
      <c r="V29" s="46">
        <v>40.854045447311805</v>
      </c>
      <c r="W29" s="46">
        <v>41.356890773883045</v>
      </c>
      <c r="X29" s="46">
        <v>41.865925289791257</v>
      </c>
      <c r="Y29" s="46">
        <v>42.381225173659615</v>
      </c>
      <c r="Z29" s="46">
        <v>42.776493751275368</v>
      </c>
      <c r="AA29" s="46">
        <v>43.175448802036009</v>
      </c>
      <c r="AB29" s="46">
        <v>43.578124707840381</v>
      </c>
      <c r="AC29" s="46">
        <v>43.984556171250162</v>
      </c>
      <c r="AD29" s="46">
        <v>44.394778218480539</v>
      </c>
      <c r="AE29" s="46">
        <v>44.717758131431516</v>
      </c>
      <c r="AF29" s="46">
        <v>45.043087780733387</v>
      </c>
      <c r="AG29" s="46">
        <v>45.370784261136308</v>
      </c>
      <c r="AH29" s="46">
        <v>45.700864791757795</v>
      </c>
      <c r="AI29" s="46">
        <v>46.033346716987502</v>
      </c>
      <c r="AJ29" s="46">
        <v>46.369255228359584</v>
      </c>
      <c r="AK29" s="46">
        <v>46.707614887346587</v>
      </c>
      <c r="AL29" s="46">
        <v>47.048443580142006</v>
      </c>
      <c r="AM29" s="46">
        <v>47.391759323456121</v>
      </c>
      <c r="AN29" s="46">
        <v>47.737580265468395</v>
      </c>
      <c r="AO29" s="46">
        <v>48.167218487857603</v>
      </c>
      <c r="AP29" s="46">
        <v>48.600723454248318</v>
      </c>
      <c r="AQ29" s="46">
        <v>49.038129965336545</v>
      </c>
      <c r="AR29" s="46">
        <v>49.47947313502457</v>
      </c>
      <c r="AS29" s="46">
        <v>49.924788393239787</v>
      </c>
      <c r="AT29" s="46">
        <v>50.374111488778937</v>
      </c>
      <c r="AU29" s="46">
        <v>50.827478492177939</v>
      </c>
      <c r="AV29" s="46">
        <v>51.284925798607532</v>
      </c>
      <c r="AW29" s="46">
        <v>51.746490130794996</v>
      </c>
      <c r="AX29" s="46">
        <v>52.212208541972146</v>
      </c>
      <c r="AY29" s="46">
        <v>52.682118418849889</v>
      </c>
      <c r="AZ29" s="46">
        <v>53.15625748461953</v>
      </c>
      <c r="BA29" s="46">
        <v>53.634663801981098</v>
      </c>
      <c r="BB29" s="46">
        <v>54.117375776198919</v>
      </c>
      <c r="BC29" s="46">
        <v>54.604432158184707</v>
      </c>
      <c r="BD29" s="46">
        <v>55.095872047608367</v>
      </c>
      <c r="BE29" s="46">
        <v>55.59173489603684</v>
      </c>
      <c r="BF29" s="46">
        <v>56.092060510101163</v>
      </c>
      <c r="BG29" s="46">
        <v>56.59688905469207</v>
      </c>
      <c r="BH29" s="46">
        <v>57.106261056184294</v>
      </c>
      <c r="BI29" s="46">
        <v>57.620217405689949</v>
      </c>
      <c r="BJ29" s="46">
        <v>58.138799362341153</v>
      </c>
      <c r="BK29" s="46">
        <v>58.662048556602215</v>
      </c>
      <c r="BL29" s="46">
        <v>59.190006993611632</v>
      </c>
      <c r="BM29" s="46">
        <v>59.722717056554131</v>
      </c>
      <c r="BN29" s="46">
        <v>60.260221510063111</v>
      </c>
      <c r="BO29" s="46">
        <v>60.802563503653673</v>
      </c>
      <c r="BP29" s="46">
        <v>61.349786575186549</v>
      </c>
      <c r="BQ29" s="46">
        <v>61.901934654363224</v>
      </c>
      <c r="BR29" s="46">
        <v>62.45905206625249</v>
      </c>
      <c r="BS29" s="46">
        <v>63.021183534848753</v>
      </c>
      <c r="BT29" s="46">
        <v>63.588374186662385</v>
      </c>
      <c r="BU29" s="46">
        <v>64.160669554342334</v>
      </c>
      <c r="BV29" s="46">
        <v>64.73811558033141</v>
      </c>
      <c r="BW29" s="46">
        <v>65.320758620554386</v>
      </c>
      <c r="BX29" s="46">
        <v>65.908645448139367</v>
      </c>
      <c r="BY29" s="46">
        <v>66.501823257172617</v>
      </c>
      <c r="BZ29" s="46">
        <v>67.100339666487159</v>
      </c>
      <c r="CA29" s="46">
        <v>67.704242723485535</v>
      </c>
      <c r="CB29" s="46">
        <v>68.313580907996894</v>
      </c>
      <c r="CC29" s="46">
        <v>68.928403136168853</v>
      </c>
      <c r="CD29" s="46">
        <v>69.548758764394364</v>
      </c>
      <c r="CE29" s="46">
        <v>70.174697593273905</v>
      </c>
      <c r="CF29" s="46">
        <v>70.806269871613367</v>
      </c>
      <c r="CG29" s="46">
        <v>71.443526300457876</v>
      </c>
      <c r="CH29" s="46">
        <v>72.086518037161994</v>
      </c>
      <c r="CI29" s="46">
        <v>72.735296699496445</v>
      </c>
      <c r="CJ29" s="46">
        <v>73.38991436979191</v>
      </c>
      <c r="CK29" s="46">
        <v>74.050423599120023</v>
      </c>
    </row>
    <row r="30" spans="3:89">
      <c r="C30" t="s">
        <v>6</v>
      </c>
      <c r="D30" t="str">
        <f>_xlfn.TEXTJOIN(",",TRUE,Regions!$C$3,Regions!$D$3)</f>
        <v>IE,National</v>
      </c>
      <c r="E30" t="s">
        <v>137</v>
      </c>
      <c r="F30" s="28" t="s">
        <v>138</v>
      </c>
      <c r="G30" s="45">
        <f>VLOOKUP(E30,'BY-Demands'!$I$6:$J$42,2,FALSE)</f>
        <v>58.151541961987597</v>
      </c>
      <c r="H30" s="46">
        <v>58.923782945423504</v>
      </c>
      <c r="I30" s="46">
        <v>59.593058464401295</v>
      </c>
      <c r="J30" s="46">
        <v>61.552680928952022</v>
      </c>
      <c r="K30" s="46">
        <v>63.576742445676302</v>
      </c>
      <c r="L30" s="46">
        <v>65.667361989795339</v>
      </c>
      <c r="M30" s="46">
        <v>67.826728215642902</v>
      </c>
      <c r="N30" s="46">
        <v>70.057101747952018</v>
      </c>
      <c r="O30" s="46">
        <v>72.360817548486267</v>
      </c>
      <c r="P30" s="46">
        <v>73.867318882665543</v>
      </c>
      <c r="Q30" s="46">
        <v>75.405184515187131</v>
      </c>
      <c r="R30" s="46">
        <v>76.975067428685819</v>
      </c>
      <c r="S30" s="46">
        <v>78.577634200435639</v>
      </c>
      <c r="T30" s="46">
        <v>80.21356528538071</v>
      </c>
      <c r="U30" s="46">
        <v>81.200860814862352</v>
      </c>
      <c r="V30" s="46">
        <v>82.200308309651447</v>
      </c>
      <c r="W30" s="46">
        <v>83.212057340222501</v>
      </c>
      <c r="X30" s="46">
        <v>84.236259318013722</v>
      </c>
      <c r="Y30" s="46">
        <v>85.273067518086194</v>
      </c>
      <c r="Z30" s="46">
        <v>86.068366945337161</v>
      </c>
      <c r="AA30" s="46">
        <v>86.871083734217009</v>
      </c>
      <c r="AB30" s="46">
        <v>87.681287062763161</v>
      </c>
      <c r="AC30" s="46">
        <v>88.499046754202112</v>
      </c>
      <c r="AD30" s="46">
        <v>89.324433282966837</v>
      </c>
      <c r="AE30" s="46">
        <v>89.974284433121213</v>
      </c>
      <c r="AF30" s="46">
        <v>90.628863366053892</v>
      </c>
      <c r="AG30" s="46">
        <v>91.288204477226031</v>
      </c>
      <c r="AH30" s="46">
        <v>91.952342412331916</v>
      </c>
      <c r="AI30" s="46">
        <v>92.621312069119398</v>
      </c>
      <c r="AJ30" s="46">
        <v>93.297176182362023</v>
      </c>
      <c r="AK30" s="46">
        <v>93.977972122733462</v>
      </c>
      <c r="AL30" s="46">
        <v>94.663735878117009</v>
      </c>
      <c r="AM30" s="46">
        <v>95.354503699002038</v>
      </c>
      <c r="AN30" s="46">
        <v>96.05031210040022</v>
      </c>
      <c r="AO30" s="46">
        <v>96.914764909303813</v>
      </c>
      <c r="AP30" s="46">
        <v>97.786997793487544</v>
      </c>
      <c r="AQ30" s="46">
        <v>98.667080773628925</v>
      </c>
      <c r="AR30" s="46">
        <v>99.555084500591576</v>
      </c>
      <c r="AS30" s="46">
        <v>100.45108026109689</v>
      </c>
      <c r="AT30" s="46">
        <v>101.35513998344675</v>
      </c>
      <c r="AU30" s="46">
        <v>102.26733624329776</v>
      </c>
      <c r="AV30" s="46">
        <v>103.18774226948743</v>
      </c>
      <c r="AW30" s="46">
        <v>104.11643194991281</v>
      </c>
      <c r="AX30" s="46">
        <v>105.05347983746201</v>
      </c>
      <c r="AY30" s="46">
        <v>105.99896115599915</v>
      </c>
      <c r="AZ30" s="46">
        <v>106.95295180640314</v>
      </c>
      <c r="BA30" s="46">
        <v>107.91552837266076</v>
      </c>
      <c r="BB30" s="46">
        <v>108.88676812801469</v>
      </c>
      <c r="BC30" s="46">
        <v>109.86674904116681</v>
      </c>
      <c r="BD30" s="46">
        <v>110.85554978253731</v>
      </c>
      <c r="BE30" s="46">
        <v>111.85324973058013</v>
      </c>
      <c r="BF30" s="46">
        <v>112.85992897815534</v>
      </c>
      <c r="BG30" s="46">
        <v>113.87566833895872</v>
      </c>
      <c r="BH30" s="46">
        <v>114.90054935400933</v>
      </c>
      <c r="BI30" s="46">
        <v>115.9346542981954</v>
      </c>
      <c r="BJ30" s="46">
        <v>116.97806618687915</v>
      </c>
      <c r="BK30" s="46">
        <v>118.03086878256104</v>
      </c>
      <c r="BL30" s="46">
        <v>119.09314660160408</v>
      </c>
      <c r="BM30" s="46">
        <v>120.1649849210185</v>
      </c>
      <c r="BN30" s="46">
        <v>121.24646978530765</v>
      </c>
      <c r="BO30" s="46">
        <v>122.33768801337541</v>
      </c>
      <c r="BP30" s="46">
        <v>123.43872720549578</v>
      </c>
      <c r="BQ30" s="46">
        <v>124.54967575034523</v>
      </c>
      <c r="BR30" s="46">
        <v>125.67062283209833</v>
      </c>
      <c r="BS30" s="46">
        <v>126.80165843758721</v>
      </c>
      <c r="BT30" s="46">
        <v>127.94287336352548</v>
      </c>
      <c r="BU30" s="46">
        <v>129.0943592237972</v>
      </c>
      <c r="BV30" s="46">
        <v>130.25620845681135</v>
      </c>
      <c r="BW30" s="46">
        <v>131.42851433292265</v>
      </c>
      <c r="BX30" s="46">
        <v>132.61137096191894</v>
      </c>
      <c r="BY30" s="46">
        <v>133.80487330057619</v>
      </c>
      <c r="BZ30" s="46">
        <v>135.00911716028136</v>
      </c>
      <c r="CA30" s="46">
        <v>136.22419921472388</v>
      </c>
      <c r="CB30" s="46">
        <v>137.45021700765639</v>
      </c>
      <c r="CC30" s="46">
        <v>138.68726896072528</v>
      </c>
      <c r="CD30" s="46">
        <v>139.93545438137178</v>
      </c>
      <c r="CE30" s="46">
        <v>141.19487347080411</v>
      </c>
      <c r="CF30" s="46">
        <v>142.46562733204132</v>
      </c>
      <c r="CG30" s="46">
        <v>143.74781797802967</v>
      </c>
      <c r="CH30" s="46">
        <v>145.04154833983193</v>
      </c>
      <c r="CI30" s="46">
        <v>146.3469222748904</v>
      </c>
      <c r="CJ30" s="46">
        <v>147.66404457536441</v>
      </c>
      <c r="CK30" s="46">
        <v>148.99302097654268</v>
      </c>
    </row>
    <row r="31" spans="3:89">
      <c r="C31" t="s">
        <v>6</v>
      </c>
      <c r="D31" t="str">
        <f>_xlfn.TEXTJOIN(",",TRUE,Regions!$C$3,Regions!$D$3)</f>
        <v>IE,National</v>
      </c>
      <c r="E31" t="s">
        <v>139</v>
      </c>
      <c r="F31" s="28" t="s">
        <v>140</v>
      </c>
      <c r="G31" s="45">
        <f>VLOOKUP(E31,'BY-Demands'!$I$6:$J$42,2,FALSE)</f>
        <v>5.6291760000000002</v>
      </c>
      <c r="H31" s="46"/>
      <c r="I31" s="46">
        <f>3.019*3.6</f>
        <v>10.868400000000001</v>
      </c>
      <c r="J31" s="46">
        <f>3.993*3.6</f>
        <v>14.3748</v>
      </c>
      <c r="K31" s="45">
        <f>'BY-Demands'!E68</f>
        <v>18.9072</v>
      </c>
      <c r="L31" s="46"/>
      <c r="M31" s="46"/>
      <c r="N31" s="46"/>
      <c r="O31" s="46"/>
      <c r="P31" s="46"/>
      <c r="Q31" s="46"/>
      <c r="R31" s="46"/>
      <c r="S31" s="45">
        <f>(T31-K31)/(T2-K2)*(S2-K2)+K31</f>
        <v>43.896512000000001</v>
      </c>
      <c r="T31" s="45">
        <f>1491*8760/10^6*3.6</f>
        <v>47.020175999999999</v>
      </c>
      <c r="U31" s="46"/>
      <c r="V31" s="46"/>
      <c r="W31" s="46"/>
      <c r="X31" s="46"/>
      <c r="Y31" s="46"/>
      <c r="Z31" s="46"/>
      <c r="AA31" s="46"/>
      <c r="AB31" s="46"/>
      <c r="AC31" s="46">
        <f>T31</f>
        <v>47.020175999999999</v>
      </c>
      <c r="AD31" s="46"/>
      <c r="AE31" s="46"/>
      <c r="AF31" s="46"/>
      <c r="AG31" s="46"/>
      <c r="AH31" s="46"/>
      <c r="AI31" s="46"/>
      <c r="AJ31" s="46"/>
      <c r="AK31" s="46"/>
      <c r="AL31" s="46"/>
      <c r="AM31" s="46">
        <f>AC31</f>
        <v>47.020175999999999</v>
      </c>
      <c r="AN31" s="46"/>
      <c r="AO31" s="46"/>
      <c r="AP31" s="46"/>
      <c r="AQ31" s="46"/>
      <c r="AR31" s="46"/>
      <c r="AS31" s="46"/>
      <c r="AT31" s="46"/>
      <c r="AU31" s="46"/>
      <c r="AV31" s="46"/>
      <c r="AW31" s="46">
        <f>AM31</f>
        <v>47.020175999999999</v>
      </c>
      <c r="AX31" s="46"/>
      <c r="AY31" s="46"/>
      <c r="AZ31" s="46"/>
      <c r="BA31" s="46"/>
      <c r="BB31" s="46"/>
      <c r="BC31" s="46"/>
      <c r="BD31" s="46"/>
      <c r="BE31" s="46"/>
      <c r="BF31" s="46"/>
      <c r="BG31" s="46">
        <f>AW31</f>
        <v>47.020175999999999</v>
      </c>
      <c r="BH31" s="46"/>
      <c r="BI31" s="46"/>
      <c r="BJ31" s="46"/>
      <c r="BK31" s="46"/>
      <c r="BL31" s="46"/>
      <c r="BM31" s="46"/>
      <c r="BN31" s="46"/>
      <c r="BO31" s="46"/>
      <c r="BP31" s="46"/>
      <c r="BQ31" s="46">
        <f>BG31</f>
        <v>47.020175999999999</v>
      </c>
      <c r="BR31" s="46"/>
      <c r="BS31" s="46"/>
      <c r="BT31" s="46"/>
      <c r="BU31" s="46"/>
      <c r="BV31" s="46"/>
      <c r="BW31" s="46"/>
      <c r="BX31" s="46"/>
      <c r="BY31" s="46"/>
      <c r="BZ31" s="46"/>
      <c r="CA31" s="46">
        <f>BQ31</f>
        <v>47.020175999999999</v>
      </c>
      <c r="CB31" s="46"/>
      <c r="CC31" s="46"/>
      <c r="CD31" s="46"/>
      <c r="CE31" s="46"/>
      <c r="CF31" s="46"/>
      <c r="CG31" s="46"/>
      <c r="CH31" s="46"/>
      <c r="CI31" s="46"/>
      <c r="CJ31" s="46"/>
      <c r="CK31" s="46">
        <f>CA31</f>
        <v>47.020175999999999</v>
      </c>
    </row>
    <row r="32" spans="3:89">
      <c r="C32" t="s">
        <v>6</v>
      </c>
      <c r="D32" t="str">
        <f>_xlfn.TEXTJOIN(",",TRUE,Regions!$C$3,Regions!$D$3)</f>
        <v>IE,National</v>
      </c>
      <c r="E32" t="s">
        <v>141</v>
      </c>
      <c r="F32" s="28" t="s">
        <v>142</v>
      </c>
      <c r="G32" s="45">
        <f>VLOOKUP(E32,'BY-Demands'!$I$6:$J$42,2,FALSE)</f>
        <v>0.48</v>
      </c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>
        <v>0.5</v>
      </c>
      <c r="T32" s="46"/>
      <c r="U32" s="46"/>
      <c r="V32" s="46"/>
      <c r="W32" s="46"/>
      <c r="X32" s="46"/>
      <c r="Y32" s="46"/>
      <c r="Z32" s="46"/>
      <c r="AA32" s="46"/>
      <c r="AB32" s="46"/>
      <c r="AC32" s="46">
        <v>0.54</v>
      </c>
      <c r="AD32" s="46"/>
      <c r="AE32" s="46"/>
      <c r="AF32" s="46"/>
      <c r="AG32" s="46"/>
      <c r="AH32" s="46"/>
      <c r="AI32" s="46"/>
      <c r="AJ32" s="46"/>
      <c r="AK32" s="46"/>
      <c r="AL32" s="46"/>
      <c r="AM32" s="46">
        <v>0.57499999999999996</v>
      </c>
      <c r="AN32" s="46">
        <v>0.57499999999999996</v>
      </c>
      <c r="AO32" s="46">
        <v>0.57499999999999996</v>
      </c>
      <c r="AP32" s="46">
        <v>0.57499999999999996</v>
      </c>
      <c r="AQ32" s="46">
        <v>0.57499999999999996</v>
      </c>
      <c r="AR32" s="46">
        <v>0.57499999999999996</v>
      </c>
      <c r="AS32" s="46">
        <v>0.57499999999999996</v>
      </c>
      <c r="AT32" s="46">
        <v>0.57499999999999996</v>
      </c>
      <c r="AU32" s="46">
        <v>0.57499999999999996</v>
      </c>
      <c r="AV32" s="46">
        <v>0.57499999999999996</v>
      </c>
      <c r="AW32" s="46">
        <v>0.57499999999999996</v>
      </c>
      <c r="AX32" s="46">
        <v>0.57499999999999996</v>
      </c>
      <c r="AY32" s="46">
        <v>0.57499999999999996</v>
      </c>
      <c r="AZ32" s="46">
        <v>0.57499999999999996</v>
      </c>
      <c r="BA32" s="46">
        <v>0.57499999999999996</v>
      </c>
      <c r="BB32" s="46">
        <v>0.57499999999999996</v>
      </c>
      <c r="BC32" s="46">
        <v>0.57499999999999996</v>
      </c>
      <c r="BD32" s="46">
        <v>0.57499999999999996</v>
      </c>
      <c r="BE32" s="46">
        <v>0.57499999999999996</v>
      </c>
      <c r="BF32" s="46">
        <v>0.57499999999999996</v>
      </c>
      <c r="BG32" s="46">
        <v>0.57499999999999996</v>
      </c>
      <c r="BH32" s="46">
        <v>0.57499999999999996</v>
      </c>
      <c r="BI32" s="46">
        <v>0.57499999999999996</v>
      </c>
      <c r="BJ32" s="46">
        <v>0.57499999999999996</v>
      </c>
      <c r="BK32" s="46">
        <v>0.57499999999999996</v>
      </c>
      <c r="BL32" s="46">
        <v>0.57499999999999996</v>
      </c>
      <c r="BM32" s="46">
        <v>0.57499999999999996</v>
      </c>
      <c r="BN32" s="46">
        <v>0.57499999999999996</v>
      </c>
      <c r="BO32" s="46">
        <v>0.57499999999999996</v>
      </c>
      <c r="BP32" s="46">
        <v>0.57499999999999996</v>
      </c>
      <c r="BQ32" s="46">
        <v>0.57499999999999996</v>
      </c>
      <c r="BR32" s="46">
        <v>0.57499999999999996</v>
      </c>
      <c r="BS32" s="46">
        <v>0.57499999999999996</v>
      </c>
      <c r="BT32" s="46">
        <v>0.57499999999999996</v>
      </c>
      <c r="BU32" s="46">
        <v>0.57499999999999996</v>
      </c>
      <c r="BV32" s="46">
        <v>0.57499999999999996</v>
      </c>
      <c r="BW32" s="46">
        <v>0.57499999999999996</v>
      </c>
      <c r="BX32" s="46">
        <v>0.57499999999999996</v>
      </c>
      <c r="BY32" s="46">
        <v>0.57499999999999996</v>
      </c>
      <c r="BZ32" s="46">
        <v>0.57499999999999996</v>
      </c>
      <c r="CA32" s="46">
        <v>0.57499999999999996</v>
      </c>
      <c r="CB32" s="46">
        <v>0.57499999999999996</v>
      </c>
      <c r="CC32" s="46">
        <v>0.57499999999999996</v>
      </c>
      <c r="CD32" s="46">
        <v>0.57499999999999996</v>
      </c>
      <c r="CE32" s="46">
        <v>0.57499999999999996</v>
      </c>
      <c r="CF32" s="46">
        <v>0.57499999999999996</v>
      </c>
      <c r="CG32" s="46">
        <v>0.57499999999999996</v>
      </c>
      <c r="CH32" s="46">
        <v>0.57499999999999996</v>
      </c>
      <c r="CI32" s="46">
        <v>0.57499999999999996</v>
      </c>
      <c r="CJ32" s="46">
        <v>0.57499999999999996</v>
      </c>
      <c r="CK32" s="46">
        <v>0.57499999999999996</v>
      </c>
    </row>
    <row r="33" spans="3:89">
      <c r="C33" t="s">
        <v>6</v>
      </c>
      <c r="D33" t="s">
        <v>161</v>
      </c>
      <c r="E33" t="s">
        <v>128</v>
      </c>
      <c r="F33" t="s">
        <v>162</v>
      </c>
      <c r="G33" s="45">
        <f>VLOOKUP(E33,'BY-Demands'!$I$6:$J$42,2,FALSE)</f>
        <v>1.1544546193487999</v>
      </c>
      <c r="H33" s="46">
        <f t="shared" ref="H33:H39" si="48">$G33*SUM(H$26:H$28)/SUM($G$26:$G$28)</f>
        <v>1.1908349006400001</v>
      </c>
      <c r="I33" s="46">
        <f t="shared" ref="I33:BT34" si="49">$G33*SUM(I$26:I$28)/SUM($G$26:$G$28)</f>
        <v>1.2115424059200002</v>
      </c>
      <c r="J33" s="46">
        <f t="shared" si="49"/>
        <v>1.2318444230400001</v>
      </c>
      <c r="K33" s="46">
        <f t="shared" si="49"/>
        <v>1.2514826903039997</v>
      </c>
      <c r="L33" s="46">
        <f t="shared" si="49"/>
        <v>1.2709210409279992</v>
      </c>
      <c r="M33" s="46">
        <f t="shared" si="49"/>
        <v>1.2899536385699539</v>
      </c>
      <c r="N33" s="46">
        <f t="shared" si="49"/>
        <v>1.3081161139199997</v>
      </c>
      <c r="O33" s="46">
        <f t="shared" si="49"/>
        <v>1.3263884282880001</v>
      </c>
      <c r="P33" s="46">
        <f t="shared" si="49"/>
        <v>1.3445125182720001</v>
      </c>
      <c r="Q33" s="46">
        <f t="shared" si="49"/>
        <v>1.3633657551360001</v>
      </c>
      <c r="R33" s="46">
        <f t="shared" si="49"/>
        <v>1.3822257792382255</v>
      </c>
      <c r="S33" s="46">
        <f t="shared" si="49"/>
        <v>1.4008862165760005</v>
      </c>
      <c r="T33" s="46">
        <f t="shared" si="49"/>
        <v>1.4196390243415515</v>
      </c>
      <c r="U33" s="46">
        <f t="shared" si="49"/>
        <v>1.4381444961138059</v>
      </c>
      <c r="V33" s="46">
        <f t="shared" si="49"/>
        <v>1.4567607948865551</v>
      </c>
      <c r="W33" s="46">
        <f t="shared" si="49"/>
        <v>1.4752815154269274</v>
      </c>
      <c r="X33" s="46">
        <f t="shared" si="49"/>
        <v>1.4933457179612972</v>
      </c>
      <c r="Y33" s="46">
        <f t="shared" si="49"/>
        <v>1.5109535007953232</v>
      </c>
      <c r="Z33" s="46">
        <f t="shared" si="49"/>
        <v>1.5285686603979654</v>
      </c>
      <c r="AA33" s="46">
        <f t="shared" si="49"/>
        <v>1.5460878468794566</v>
      </c>
      <c r="AB33" s="46">
        <f t="shared" si="49"/>
        <v>1.5629957549216376</v>
      </c>
      <c r="AC33" s="46">
        <f t="shared" si="49"/>
        <v>1.5792404945123684</v>
      </c>
      <c r="AD33" s="46">
        <f t="shared" si="49"/>
        <v>1.5836256156472743</v>
      </c>
      <c r="AE33" s="46">
        <f t="shared" si="49"/>
        <v>1.5977193026469054</v>
      </c>
      <c r="AF33" s="46">
        <f t="shared" si="49"/>
        <v>1.6133874034964311</v>
      </c>
      <c r="AG33" s="46">
        <f t="shared" si="49"/>
        <v>1.6287532055901592</v>
      </c>
      <c r="AH33" s="46">
        <f t="shared" si="49"/>
        <v>1.6437932834842923</v>
      </c>
      <c r="AI33" s="46">
        <f t="shared" si="49"/>
        <v>1.6584959109268544</v>
      </c>
      <c r="AJ33" s="46">
        <f t="shared" si="49"/>
        <v>1.672824006688461</v>
      </c>
      <c r="AK33" s="46">
        <f t="shared" si="49"/>
        <v>1.6867533581716272</v>
      </c>
      <c r="AL33" s="46">
        <f t="shared" si="49"/>
        <v>1.7002203524966655</v>
      </c>
      <c r="AM33" s="46">
        <f t="shared" si="49"/>
        <v>1.7132210540060933</v>
      </c>
      <c r="AN33" s="46">
        <f t="shared" si="49"/>
        <v>1.7257581583520163</v>
      </c>
      <c r="AO33" s="46">
        <f t="shared" si="49"/>
        <v>1.7382293521517052</v>
      </c>
      <c r="AP33" s="46">
        <f t="shared" si="49"/>
        <v>1.750339395817216</v>
      </c>
      <c r="AQ33" s="46">
        <f t="shared" si="49"/>
        <v>1.7621228933246418</v>
      </c>
      <c r="AR33" s="46">
        <f t="shared" si="49"/>
        <v>1.7736273687150745</v>
      </c>
      <c r="AS33" s="46">
        <f t="shared" si="49"/>
        <v>1.7848773407196687</v>
      </c>
      <c r="AT33" s="46">
        <f t="shared" si="49"/>
        <v>1.7958887517694602</v>
      </c>
      <c r="AU33" s="46">
        <f t="shared" si="49"/>
        <v>1.8067127266654888</v>
      </c>
      <c r="AV33" s="46">
        <f t="shared" si="49"/>
        <v>1.8173957311076536</v>
      </c>
      <c r="AW33" s="46">
        <f t="shared" si="49"/>
        <v>1.8279885531537796</v>
      </c>
      <c r="AX33" s="46">
        <f t="shared" si="49"/>
        <v>1.8385185426344024</v>
      </c>
      <c r="AY33" s="46">
        <f t="shared" si="49"/>
        <v>1.8490283043368494</v>
      </c>
      <c r="AZ33" s="46">
        <f t="shared" si="49"/>
        <v>1.859551068858547</v>
      </c>
      <c r="BA33" s="46">
        <f t="shared" si="49"/>
        <v>1.8701247601402311</v>
      </c>
      <c r="BB33" s="46">
        <f t="shared" si="49"/>
        <v>1.880782612128832</v>
      </c>
      <c r="BC33" s="46">
        <f t="shared" si="49"/>
        <v>1.8915586386037755</v>
      </c>
      <c r="BD33" s="46">
        <f t="shared" si="49"/>
        <v>1.9024817666239091</v>
      </c>
      <c r="BE33" s="46">
        <f t="shared" si="49"/>
        <v>1.913589125445166</v>
      </c>
      <c r="BF33" s="46">
        <f t="shared" si="49"/>
        <v>1.9249162704719878</v>
      </c>
      <c r="BG33" s="46">
        <f t="shared" si="49"/>
        <v>1.9364963997687792</v>
      </c>
      <c r="BH33" s="46">
        <f t="shared" si="49"/>
        <v>1.9483478508524552</v>
      </c>
      <c r="BI33" s="46">
        <f t="shared" si="49"/>
        <v>1.9604885613940639</v>
      </c>
      <c r="BJ33" s="46">
        <f t="shared" si="49"/>
        <v>1.9729391955369979</v>
      </c>
      <c r="BK33" s="46">
        <f t="shared" si="49"/>
        <v>1.985718452607214</v>
      </c>
      <c r="BL33" s="46">
        <f t="shared" si="49"/>
        <v>1.9988469740475627</v>
      </c>
      <c r="BM33" s="46">
        <f t="shared" si="49"/>
        <v>2.0123172873271029</v>
      </c>
      <c r="BN33" s="46">
        <f t="shared" si="49"/>
        <v>2.0261308994679408</v>
      </c>
      <c r="BO33" s="46">
        <f t="shared" si="49"/>
        <v>2.040289707968916</v>
      </c>
      <c r="BP33" s="46">
        <f t="shared" si="49"/>
        <v>2.0547854676256718</v>
      </c>
      <c r="BQ33" s="46">
        <f t="shared" si="49"/>
        <v>2.0696021397440396</v>
      </c>
      <c r="BR33" s="46">
        <f t="shared" si="49"/>
        <v>2.0847361720486175</v>
      </c>
      <c r="BS33" s="46">
        <f t="shared" si="49"/>
        <v>2.100157893380004</v>
      </c>
      <c r="BT33" s="46">
        <f t="shared" si="49"/>
        <v>2.1158353079455976</v>
      </c>
      <c r="BU33" s="46">
        <f t="shared" ref="BU33:CK37" si="50">$G33*SUM(BU$26:BU$28)/SUM($G$26:$G$28)</f>
        <v>2.131724739581101</v>
      </c>
      <c r="BV33" s="46">
        <f t="shared" si="50"/>
        <v>2.1477758987992401</v>
      </c>
      <c r="BW33" s="46">
        <f t="shared" si="50"/>
        <v>2.1639759215136105</v>
      </c>
      <c r="BX33" s="46">
        <f t="shared" si="50"/>
        <v>2.1803045411775495</v>
      </c>
      <c r="BY33" s="46">
        <f t="shared" si="50"/>
        <v>2.1967075868377632</v>
      </c>
      <c r="BZ33" s="46">
        <f t="shared" si="50"/>
        <v>2.2131156855828742</v>
      </c>
      <c r="CA33" s="46">
        <f t="shared" si="50"/>
        <v>2.2294972657709233</v>
      </c>
      <c r="CB33" s="46">
        <f t="shared" si="50"/>
        <v>2.2458156796046498</v>
      </c>
      <c r="CC33" s="46">
        <f t="shared" si="50"/>
        <v>2.2620736459537136</v>
      </c>
      <c r="CD33" s="46">
        <f t="shared" si="50"/>
        <v>2.2782777842479627</v>
      </c>
      <c r="CE33" s="46">
        <f t="shared" si="50"/>
        <v>2.2944397841264785</v>
      </c>
      <c r="CF33" s="46">
        <f t="shared" si="50"/>
        <v>2.3105775779890614</v>
      </c>
      <c r="CG33" s="46">
        <f t="shared" si="50"/>
        <v>2.326697791897085</v>
      </c>
      <c r="CH33" s="46">
        <f t="shared" si="50"/>
        <v>2.3428070537252315</v>
      </c>
      <c r="CI33" s="46">
        <f t="shared" si="50"/>
        <v>2.3589073113086112</v>
      </c>
      <c r="CJ33" s="46">
        <f t="shared" si="50"/>
        <v>2.3749934928489504</v>
      </c>
      <c r="CK33" s="46">
        <f t="shared" si="50"/>
        <v>2.3910605252799098</v>
      </c>
    </row>
    <row r="34" spans="3:89">
      <c r="C34" t="s">
        <v>6</v>
      </c>
      <c r="D34" t="s">
        <v>161</v>
      </c>
      <c r="E34" t="s">
        <v>129</v>
      </c>
      <c r="F34" t="s">
        <v>163</v>
      </c>
      <c r="G34" s="45">
        <f>VLOOKUP(E34,'BY-Demands'!$I$6:$J$42,2,FALSE)</f>
        <v>2.0006897535500099</v>
      </c>
      <c r="H34" s="46">
        <f t="shared" si="48"/>
        <v>2.0637374080794082</v>
      </c>
      <c r="I34" s="46">
        <f t="shared" ref="I34:W34" si="51">$G34*SUM(I$26:I$28)/SUM($G$26:$G$28)</f>
        <v>2.099623871644904</v>
      </c>
      <c r="J34" s="46">
        <f t="shared" si="51"/>
        <v>2.1348076172401118</v>
      </c>
      <c r="K34" s="80">
        <f>$G34*SUM(K$26:K$28)/SUM($G$26:$G$28)</f>
        <v>2.1688410728944572</v>
      </c>
      <c r="L34" s="46">
        <f t="shared" si="51"/>
        <v>2.2025280695659109</v>
      </c>
      <c r="M34" s="46">
        <f t="shared" si="51"/>
        <v>2.2355118893259096</v>
      </c>
      <c r="N34" s="46">
        <f t="shared" si="51"/>
        <v>2.2669877721565737</v>
      </c>
      <c r="O34" s="46">
        <f t="shared" si="51"/>
        <v>2.2986540078985414</v>
      </c>
      <c r="P34" s="46">
        <f t="shared" si="51"/>
        <v>2.3300633682282363</v>
      </c>
      <c r="Q34" s="46">
        <f t="shared" si="51"/>
        <v>2.3627363526685712</v>
      </c>
      <c r="R34" s="46">
        <f t="shared" si="51"/>
        <v>2.3954210995097363</v>
      </c>
      <c r="S34" s="46">
        <f t="shared" si="51"/>
        <v>2.4277599590480241</v>
      </c>
      <c r="T34" s="46">
        <f t="shared" si="51"/>
        <v>2.4602588981297471</v>
      </c>
      <c r="U34" s="46">
        <f t="shared" si="51"/>
        <v>2.4923291996719961</v>
      </c>
      <c r="V34" s="46">
        <f t="shared" si="51"/>
        <v>2.5245915663163205</v>
      </c>
      <c r="W34" s="46">
        <f t="shared" si="51"/>
        <v>2.5566882942365465</v>
      </c>
      <c r="X34" s="46">
        <f t="shared" si="49"/>
        <v>2.5879938685838102</v>
      </c>
      <c r="Y34" s="46">
        <f t="shared" si="49"/>
        <v>2.6185084597235124</v>
      </c>
      <c r="Z34" s="46">
        <f t="shared" si="49"/>
        <v>2.6490358349303733</v>
      </c>
      <c r="AA34" s="46">
        <f t="shared" si="49"/>
        <v>2.6793968870640827</v>
      </c>
      <c r="AB34" s="46">
        <f t="shared" si="49"/>
        <v>2.708698583126453</v>
      </c>
      <c r="AC34" s="46">
        <f t="shared" si="49"/>
        <v>2.7368509968320662</v>
      </c>
      <c r="AD34" s="46">
        <f t="shared" si="49"/>
        <v>2.744450487340953</v>
      </c>
      <c r="AE34" s="46">
        <f t="shared" si="49"/>
        <v>2.768875089830575</v>
      </c>
      <c r="AF34" s="46">
        <f t="shared" si="49"/>
        <v>2.7960281786587151</v>
      </c>
      <c r="AG34" s="46">
        <f t="shared" si="49"/>
        <v>2.8226573785326261</v>
      </c>
      <c r="AH34" s="46">
        <f t="shared" si="49"/>
        <v>2.8487220927544459</v>
      </c>
      <c r="AI34" s="46">
        <f t="shared" si="49"/>
        <v>2.8742019995273855</v>
      </c>
      <c r="AJ34" s="46">
        <f t="shared" si="49"/>
        <v>2.8990328364417892</v>
      </c>
      <c r="AK34" s="46">
        <f t="shared" si="49"/>
        <v>2.9231726426488853</v>
      </c>
      <c r="AL34" s="46">
        <f t="shared" si="49"/>
        <v>2.9465111759317431</v>
      </c>
      <c r="AM34" s="46">
        <f t="shared" si="49"/>
        <v>2.9690416157281088</v>
      </c>
      <c r="AN34" s="46">
        <f t="shared" si="49"/>
        <v>2.9907686336495432</v>
      </c>
      <c r="AO34" s="46">
        <f t="shared" si="49"/>
        <v>3.0123814274583194</v>
      </c>
      <c r="AP34" s="46">
        <f t="shared" si="49"/>
        <v>3.0333683418597679</v>
      </c>
      <c r="AQ34" s="46">
        <f t="shared" si="49"/>
        <v>3.0537893461408956</v>
      </c>
      <c r="AR34" s="46">
        <f t="shared" si="49"/>
        <v>3.0737268002840392</v>
      </c>
      <c r="AS34" s="46">
        <f t="shared" si="49"/>
        <v>3.0932231956728953</v>
      </c>
      <c r="AT34" s="46">
        <f t="shared" si="49"/>
        <v>3.1123061608152343</v>
      </c>
      <c r="AU34" s="46">
        <f t="shared" si="49"/>
        <v>3.1310642958724464</v>
      </c>
      <c r="AV34" s="46">
        <f t="shared" si="49"/>
        <v>3.1495781267033407</v>
      </c>
      <c r="AW34" s="46">
        <f t="shared" si="49"/>
        <v>3.1679356698875134</v>
      </c>
      <c r="AX34" s="46">
        <f t="shared" si="49"/>
        <v>3.1861843231526845</v>
      </c>
      <c r="AY34" s="46">
        <f t="shared" si="49"/>
        <v>3.2043979213296301</v>
      </c>
      <c r="AZ34" s="46">
        <f t="shared" si="49"/>
        <v>3.2226340536164542</v>
      </c>
      <c r="BA34" s="46">
        <f t="shared" si="49"/>
        <v>3.2409584428561105</v>
      </c>
      <c r="BB34" s="46">
        <f t="shared" si="49"/>
        <v>3.2594286840514504</v>
      </c>
      <c r="BC34" s="46">
        <f t="shared" si="49"/>
        <v>3.2781037236684809</v>
      </c>
      <c r="BD34" s="46">
        <f t="shared" si="49"/>
        <v>3.2970336927987733</v>
      </c>
      <c r="BE34" s="46">
        <f t="shared" si="49"/>
        <v>3.3162829370828208</v>
      </c>
      <c r="BF34" s="46">
        <f t="shared" si="49"/>
        <v>3.3359130746493544</v>
      </c>
      <c r="BG34" s="46">
        <f t="shared" si="49"/>
        <v>3.3559816383161909</v>
      </c>
      <c r="BH34" s="46">
        <f t="shared" si="49"/>
        <v>3.3765204073162098</v>
      </c>
      <c r="BI34" s="46">
        <f t="shared" si="49"/>
        <v>3.3975604679425122</v>
      </c>
      <c r="BJ34" s="46">
        <f t="shared" si="49"/>
        <v>3.4191376315117643</v>
      </c>
      <c r="BK34" s="46">
        <f t="shared" si="49"/>
        <v>3.4412843042781529</v>
      </c>
      <c r="BL34" s="46">
        <f t="shared" si="49"/>
        <v>3.4640362582179125</v>
      </c>
      <c r="BM34" s="46">
        <f t="shared" si="49"/>
        <v>3.4873805433061271</v>
      </c>
      <c r="BN34" s="46">
        <f t="shared" si="49"/>
        <v>3.5113197712380813</v>
      </c>
      <c r="BO34" s="46">
        <f t="shared" si="49"/>
        <v>3.5358572304119691</v>
      </c>
      <c r="BP34" s="46">
        <f t="shared" si="49"/>
        <v>3.5609786317465271</v>
      </c>
      <c r="BQ34" s="46">
        <f t="shared" si="49"/>
        <v>3.5866561799083159</v>
      </c>
      <c r="BR34" s="46">
        <f t="shared" si="49"/>
        <v>3.6128837187428378</v>
      </c>
      <c r="BS34" s="46">
        <f t="shared" si="49"/>
        <v>3.6396098276194371</v>
      </c>
      <c r="BT34" s="46">
        <f t="shared" si="49"/>
        <v>3.6667790572780534</v>
      </c>
      <c r="BU34" s="46">
        <f t="shared" si="50"/>
        <v>3.6943157161731577</v>
      </c>
      <c r="BV34" s="46">
        <f t="shared" si="50"/>
        <v>3.7221326517565112</v>
      </c>
      <c r="BW34" s="46">
        <f t="shared" si="50"/>
        <v>3.7502075703446507</v>
      </c>
      <c r="BX34" s="46">
        <f t="shared" si="50"/>
        <v>3.7785053496628929</v>
      </c>
      <c r="BY34" s="46">
        <f t="shared" si="50"/>
        <v>3.8069321105154885</v>
      </c>
      <c r="BZ34" s="46">
        <f t="shared" si="50"/>
        <v>3.8353676284513063</v>
      </c>
      <c r="CA34" s="46">
        <f t="shared" si="50"/>
        <v>3.8637571892706606</v>
      </c>
      <c r="CB34" s="46">
        <f t="shared" si="50"/>
        <v>3.8920372817092366</v>
      </c>
      <c r="CC34" s="46">
        <f t="shared" si="50"/>
        <v>3.9202126176150176</v>
      </c>
      <c r="CD34" s="46">
        <f t="shared" si="50"/>
        <v>3.9482946685740226</v>
      </c>
      <c r="CE34" s="46">
        <f t="shared" si="50"/>
        <v>3.9763036929322624</v>
      </c>
      <c r="CF34" s="46">
        <f t="shared" si="50"/>
        <v>4.0042707678476743</v>
      </c>
      <c r="CG34" s="46">
        <f t="shared" si="50"/>
        <v>4.0322073763988273</v>
      </c>
      <c r="CH34" s="46">
        <f t="shared" si="50"/>
        <v>4.0601250048067827</v>
      </c>
      <c r="CI34" s="46">
        <f t="shared" si="50"/>
        <v>4.0880270287033591</v>
      </c>
      <c r="CJ34" s="46">
        <f t="shared" si="50"/>
        <v>4.1159046585747312</v>
      </c>
      <c r="CK34" s="46">
        <f t="shared" si="50"/>
        <v>4.143749102709493</v>
      </c>
    </row>
    <row r="35" spans="3:89">
      <c r="C35" t="s">
        <v>6</v>
      </c>
      <c r="D35" t="s">
        <v>161</v>
      </c>
      <c r="E35" t="s">
        <v>130</v>
      </c>
      <c r="F35" t="s">
        <v>164</v>
      </c>
      <c r="G35" s="45">
        <f>VLOOKUP(E35,'BY-Demands'!$I$6:$J$42,2,FALSE)</f>
        <v>0.78876799986757495</v>
      </c>
      <c r="H35" s="46">
        <f t="shared" si="48"/>
        <v>0.81362441364750004</v>
      </c>
      <c r="I35" s="46">
        <f t="shared" ref="I35:BT38" si="52">$G35*SUM(I$26:I$28)/SUM($G$26:$G$28)</f>
        <v>0.82777258131750009</v>
      </c>
      <c r="J35" s="46">
        <f t="shared" si="52"/>
        <v>0.84164370380999998</v>
      </c>
      <c r="K35" s="46">
        <f t="shared" si="52"/>
        <v>0.855061326756</v>
      </c>
      <c r="L35" s="46">
        <f t="shared" si="52"/>
        <v>0.86834235892949951</v>
      </c>
      <c r="M35" s="46">
        <f t="shared" si="52"/>
        <v>0.88134616498884644</v>
      </c>
      <c r="N35" s="46">
        <f t="shared" si="52"/>
        <v>0.89375546987999988</v>
      </c>
      <c r="O35" s="46">
        <f t="shared" si="52"/>
        <v>0.90623982103200007</v>
      </c>
      <c r="P35" s="46">
        <f t="shared" si="52"/>
        <v>0.91862289955800014</v>
      </c>
      <c r="Q35" s="46">
        <f t="shared" si="52"/>
        <v>0.93150415940400011</v>
      </c>
      <c r="R35" s="46">
        <f t="shared" si="52"/>
        <v>0.94439005655338992</v>
      </c>
      <c r="S35" s="46">
        <f t="shared" si="52"/>
        <v>0.95713958831400048</v>
      </c>
      <c r="T35" s="46">
        <f t="shared" si="52"/>
        <v>0.96995223111972484</v>
      </c>
      <c r="U35" s="46">
        <f t="shared" si="52"/>
        <v>0.98259588441866563</v>
      </c>
      <c r="V35" s="46">
        <f t="shared" si="52"/>
        <v>0.99531525900629703</v>
      </c>
      <c r="W35" s="46">
        <f t="shared" si="52"/>
        <v>1.0079693308527731</v>
      </c>
      <c r="X35" s="46">
        <f t="shared" si="52"/>
        <v>1.0203114919593521</v>
      </c>
      <c r="Y35" s="46">
        <f t="shared" si="52"/>
        <v>1.0323418094922592</v>
      </c>
      <c r="Z35" s="46">
        <f t="shared" si="52"/>
        <v>1.0443771671184963</v>
      </c>
      <c r="AA35" s="46">
        <f t="shared" si="52"/>
        <v>1.0563469522003104</v>
      </c>
      <c r="AB35" s="46">
        <f t="shared" si="52"/>
        <v>1.0678990882348121</v>
      </c>
      <c r="AC35" s="46">
        <f t="shared" si="52"/>
        <v>1.0789981219608653</v>
      </c>
      <c r="AD35" s="46">
        <f t="shared" si="52"/>
        <v>1.0819942061453678</v>
      </c>
      <c r="AE35" s="46">
        <f t="shared" si="52"/>
        <v>1.0916235576323317</v>
      </c>
      <c r="AF35" s="46">
        <f t="shared" si="52"/>
        <v>1.1023286094911695</v>
      </c>
      <c r="AG35" s="46">
        <f t="shared" si="52"/>
        <v>1.1128271191603221</v>
      </c>
      <c r="AH35" s="46">
        <f t="shared" si="52"/>
        <v>1.1231030814715124</v>
      </c>
      <c r="AI35" s="46">
        <f t="shared" si="52"/>
        <v>1.1331484845963309</v>
      </c>
      <c r="AJ35" s="46">
        <f t="shared" si="52"/>
        <v>1.1429379932061787</v>
      </c>
      <c r="AK35" s="46">
        <f t="shared" si="52"/>
        <v>1.1524550643189668</v>
      </c>
      <c r="AL35" s="46">
        <f t="shared" si="52"/>
        <v>1.161656235157523</v>
      </c>
      <c r="AM35" s="46">
        <f t="shared" si="52"/>
        <v>1.1705388167285951</v>
      </c>
      <c r="AN35" s="46">
        <f t="shared" si="52"/>
        <v>1.179104650805852</v>
      </c>
      <c r="AO35" s="46">
        <f t="shared" si="52"/>
        <v>1.1876254522513783</v>
      </c>
      <c r="AP35" s="46">
        <f t="shared" si="52"/>
        <v>1.1958995019717058</v>
      </c>
      <c r="AQ35" s="46">
        <f t="shared" si="52"/>
        <v>1.2039504427402739</v>
      </c>
      <c r="AR35" s="46">
        <f t="shared" si="52"/>
        <v>1.2118107448181121</v>
      </c>
      <c r="AS35" s="46">
        <f t="shared" si="52"/>
        <v>1.21949716034966</v>
      </c>
      <c r="AT35" s="46">
        <f t="shared" si="52"/>
        <v>1.227020581819759</v>
      </c>
      <c r="AU35" s="46">
        <f t="shared" si="52"/>
        <v>1.2344159396677559</v>
      </c>
      <c r="AV35" s="46">
        <f t="shared" si="52"/>
        <v>1.2417149810550872</v>
      </c>
      <c r="AW35" s="46">
        <f t="shared" si="52"/>
        <v>1.2489524063451252</v>
      </c>
      <c r="AX35" s="46">
        <f t="shared" si="52"/>
        <v>1.2561469019987892</v>
      </c>
      <c r="AY35" s="46">
        <f t="shared" si="52"/>
        <v>1.2633275772528758</v>
      </c>
      <c r="AZ35" s="46">
        <f t="shared" si="52"/>
        <v>1.2705171365354562</v>
      </c>
      <c r="BA35" s="46">
        <f t="shared" si="52"/>
        <v>1.277741490948084</v>
      </c>
      <c r="BB35" s="46">
        <f t="shared" si="52"/>
        <v>1.2850233472073413</v>
      </c>
      <c r="BC35" s="46">
        <f t="shared" si="52"/>
        <v>1.2923859448415</v>
      </c>
      <c r="BD35" s="46">
        <f t="shared" si="52"/>
        <v>1.2998490479348015</v>
      </c>
      <c r="BE35" s="46">
        <f t="shared" si="52"/>
        <v>1.3074380246294388</v>
      </c>
      <c r="BF35" s="46">
        <f t="shared" si="52"/>
        <v>1.3151771677514574</v>
      </c>
      <c r="BG35" s="46">
        <f t="shared" si="52"/>
        <v>1.3230891595011118</v>
      </c>
      <c r="BH35" s="46">
        <f t="shared" si="52"/>
        <v>1.3311865287784532</v>
      </c>
      <c r="BI35" s="46">
        <f t="shared" si="52"/>
        <v>1.3394815312933874</v>
      </c>
      <c r="BJ35" s="46">
        <f t="shared" si="52"/>
        <v>1.3479882855870682</v>
      </c>
      <c r="BK35" s="46">
        <f t="shared" si="52"/>
        <v>1.3567195677614632</v>
      </c>
      <c r="BL35" s="46">
        <f t="shared" si="52"/>
        <v>1.3656894808478377</v>
      </c>
      <c r="BM35" s="46">
        <f t="shared" si="52"/>
        <v>1.3748929193243418</v>
      </c>
      <c r="BN35" s="46">
        <f t="shared" si="52"/>
        <v>1.3843309128467038</v>
      </c>
      <c r="BO35" s="46">
        <f t="shared" si="52"/>
        <v>1.3940047578594441</v>
      </c>
      <c r="BP35" s="46">
        <f t="shared" si="52"/>
        <v>1.4039088209203807</v>
      </c>
      <c r="BQ35" s="46">
        <f t="shared" si="52"/>
        <v>1.4140321437739818</v>
      </c>
      <c r="BR35" s="46">
        <f t="shared" si="52"/>
        <v>1.4243722993684447</v>
      </c>
      <c r="BS35" s="46">
        <f t="shared" si="52"/>
        <v>1.4349090152212813</v>
      </c>
      <c r="BT35" s="46">
        <f t="shared" si="52"/>
        <v>1.4456204305707847</v>
      </c>
      <c r="BU35" s="46">
        <f t="shared" si="50"/>
        <v>1.4564767041740192</v>
      </c>
      <c r="BV35" s="46">
        <f t="shared" si="50"/>
        <v>1.4674434763102764</v>
      </c>
      <c r="BW35" s="46">
        <f t="shared" si="50"/>
        <v>1.4785119577387027</v>
      </c>
      <c r="BX35" s="46">
        <f t="shared" si="50"/>
        <v>1.4896683015715926</v>
      </c>
      <c r="BY35" s="46">
        <f t="shared" si="50"/>
        <v>1.5008754961206878</v>
      </c>
      <c r="BZ35" s="46">
        <f t="shared" si="50"/>
        <v>1.5120861431326174</v>
      </c>
      <c r="CA35" s="46">
        <f t="shared" si="50"/>
        <v>1.5232786716417817</v>
      </c>
      <c r="CB35" s="46">
        <f t="shared" si="50"/>
        <v>1.5344280424571544</v>
      </c>
      <c r="CC35" s="46">
        <f t="shared" si="50"/>
        <v>1.5455361132155343</v>
      </c>
      <c r="CD35" s="46">
        <f t="shared" si="50"/>
        <v>1.5566074065671451</v>
      </c>
      <c r="CE35" s="46">
        <f t="shared" si="50"/>
        <v>1.5676499093250513</v>
      </c>
      <c r="CF35" s="46">
        <f t="shared" si="50"/>
        <v>1.5786758735976398</v>
      </c>
      <c r="CG35" s="46">
        <f t="shared" si="50"/>
        <v>1.5896898265660482</v>
      </c>
      <c r="CH35" s="46">
        <f t="shared" si="50"/>
        <v>1.6006962966503357</v>
      </c>
      <c r="CI35" s="46">
        <f t="shared" si="50"/>
        <v>1.6116966146867076</v>
      </c>
      <c r="CJ35" s="46">
        <f t="shared" si="50"/>
        <v>1.6226873154266264</v>
      </c>
      <c r="CK35" s="46">
        <f t="shared" si="50"/>
        <v>1.6336649327551653</v>
      </c>
    </row>
    <row r="36" spans="3:89">
      <c r="C36" t="s">
        <v>6</v>
      </c>
      <c r="D36" t="s">
        <v>161</v>
      </c>
      <c r="E36" t="s">
        <v>131</v>
      </c>
      <c r="F36" t="s">
        <v>165</v>
      </c>
      <c r="G36" s="45">
        <f>VLOOKUP(E36,'BY-Demands'!$I$6:$J$42,2,FALSE)</f>
        <v>1.05169316530962</v>
      </c>
      <c r="H36" s="46">
        <f t="shared" si="48"/>
        <v>1.0848351290947176</v>
      </c>
      <c r="I36" s="46">
        <f t="shared" si="52"/>
        <v>1.1036993974761575</v>
      </c>
      <c r="J36" s="46">
        <f t="shared" si="52"/>
        <v>1.1221942714099173</v>
      </c>
      <c r="K36" s="46">
        <f t="shared" si="52"/>
        <v>1.1400844778449895</v>
      </c>
      <c r="L36" s="46">
        <f t="shared" si="52"/>
        <v>1.1577925628173409</v>
      </c>
      <c r="M36" s="46">
        <f t="shared" si="52"/>
        <v>1.1751310120925686</v>
      </c>
      <c r="N36" s="46">
        <f t="shared" si="52"/>
        <v>1.1916767912601571</v>
      </c>
      <c r="O36" s="46">
        <f t="shared" si="52"/>
        <v>1.2083226323466214</v>
      </c>
      <c r="P36" s="46">
        <f t="shared" si="52"/>
        <v>1.2248334429442533</v>
      </c>
      <c r="Q36" s="46">
        <f t="shared" si="52"/>
        <v>1.2420084968801255</v>
      </c>
      <c r="R36" s="46">
        <f t="shared" si="52"/>
        <v>1.2591897339018747</v>
      </c>
      <c r="S36" s="46">
        <f t="shared" si="52"/>
        <v>1.2761891499732458</v>
      </c>
      <c r="T36" s="46">
        <f t="shared" si="52"/>
        <v>1.2932727143047045</v>
      </c>
      <c r="U36" s="46">
        <f t="shared" si="52"/>
        <v>1.310130958758426</v>
      </c>
      <c r="V36" s="46">
        <f t="shared" si="52"/>
        <v>1.3270901651702867</v>
      </c>
      <c r="W36" s="46">
        <f t="shared" si="52"/>
        <v>1.3439623010537276</v>
      </c>
      <c r="X36" s="46">
        <f t="shared" si="52"/>
        <v>1.3604185549625056</v>
      </c>
      <c r="Y36" s="46">
        <f t="shared" si="52"/>
        <v>1.3764590164517989</v>
      </c>
      <c r="Z36" s="46">
        <f t="shared" si="52"/>
        <v>1.3925061980814994</v>
      </c>
      <c r="AA36" s="46">
        <f t="shared" si="52"/>
        <v>1.4084659494442351</v>
      </c>
      <c r="AB36" s="46">
        <f t="shared" si="52"/>
        <v>1.4238688340874408</v>
      </c>
      <c r="AC36" s="46">
        <f t="shared" si="52"/>
        <v>1.4386675808839529</v>
      </c>
      <c r="AD36" s="46">
        <f t="shared" si="52"/>
        <v>1.4426623692882268</v>
      </c>
      <c r="AE36" s="46">
        <f t="shared" si="52"/>
        <v>1.4555015351099945</v>
      </c>
      <c r="AF36" s="46">
        <f t="shared" si="52"/>
        <v>1.4697749715020831</v>
      </c>
      <c r="AG36" s="46">
        <f t="shared" si="52"/>
        <v>1.4837730176535984</v>
      </c>
      <c r="AH36" s="46">
        <f t="shared" si="52"/>
        <v>1.4974743332894664</v>
      </c>
      <c r="AI36" s="46">
        <f t="shared" si="52"/>
        <v>1.5108682359464269</v>
      </c>
      <c r="AJ36" s="46">
        <f t="shared" si="52"/>
        <v>1.5239209451060849</v>
      </c>
      <c r="AK36" s="46">
        <f t="shared" si="52"/>
        <v>1.5366104034065804</v>
      </c>
      <c r="AL36" s="46">
        <f t="shared" si="52"/>
        <v>1.5488786603406601</v>
      </c>
      <c r="AM36" s="46">
        <f t="shared" si="52"/>
        <v>1.5607221305754697</v>
      </c>
      <c r="AN36" s="46">
        <f t="shared" si="52"/>
        <v>1.5721432698150684</v>
      </c>
      <c r="AO36" s="46">
        <f t="shared" si="52"/>
        <v>1.5835043654030292</v>
      </c>
      <c r="AP36" s="46">
        <f t="shared" si="52"/>
        <v>1.5945364579090151</v>
      </c>
      <c r="AQ36" s="46">
        <f t="shared" si="52"/>
        <v>1.6052710711058449</v>
      </c>
      <c r="AR36" s="46">
        <f t="shared" si="52"/>
        <v>1.6157514987777579</v>
      </c>
      <c r="AS36" s="46">
        <f t="shared" si="52"/>
        <v>1.6260000771704106</v>
      </c>
      <c r="AT36" s="46">
        <f t="shared" si="52"/>
        <v>1.6360313296314319</v>
      </c>
      <c r="AU36" s="46">
        <f t="shared" si="52"/>
        <v>1.6458918301906118</v>
      </c>
      <c r="AV36" s="46">
        <f t="shared" si="52"/>
        <v>1.6556239084971063</v>
      </c>
      <c r="AW36" s="46">
        <f t="shared" si="52"/>
        <v>1.6652738318120097</v>
      </c>
      <c r="AX36" s="46">
        <f t="shared" si="52"/>
        <v>1.6748665154757469</v>
      </c>
      <c r="AY36" s="46">
        <f t="shared" si="52"/>
        <v>1.6844407718962642</v>
      </c>
      <c r="AZ36" s="46">
        <f t="shared" si="52"/>
        <v>1.6940268737162512</v>
      </c>
      <c r="BA36" s="46">
        <f t="shared" si="52"/>
        <v>1.7036593691531994</v>
      </c>
      <c r="BB36" s="46">
        <f t="shared" si="52"/>
        <v>1.7133685339011526</v>
      </c>
      <c r="BC36" s="46">
        <f t="shared" si="52"/>
        <v>1.7231853540714304</v>
      </c>
      <c r="BD36" s="46">
        <f t="shared" si="52"/>
        <v>1.7331361818389668</v>
      </c>
      <c r="BE36" s="46">
        <f t="shared" si="52"/>
        <v>1.7432548414737186</v>
      </c>
      <c r="BF36" s="46">
        <f t="shared" si="52"/>
        <v>1.7535737234873734</v>
      </c>
      <c r="BG36" s="46">
        <f t="shared" si="52"/>
        <v>1.7641230708854607</v>
      </c>
      <c r="BH36" s="46">
        <f t="shared" si="52"/>
        <v>1.7749195889077407</v>
      </c>
      <c r="BI36" s="46">
        <f t="shared" si="52"/>
        <v>1.7859796185395806</v>
      </c>
      <c r="BJ36" s="46">
        <f t="shared" si="52"/>
        <v>1.7973219845472461</v>
      </c>
      <c r="BK36" s="46">
        <f t="shared" si="52"/>
        <v>1.8089637217738355</v>
      </c>
      <c r="BL36" s="46">
        <f t="shared" si="52"/>
        <v>1.8209236343057147</v>
      </c>
      <c r="BM36" s="46">
        <f t="shared" si="52"/>
        <v>1.8331949147642421</v>
      </c>
      <c r="BN36" s="46">
        <f t="shared" si="52"/>
        <v>1.8457789360269852</v>
      </c>
      <c r="BO36" s="46">
        <f t="shared" si="52"/>
        <v>1.8586774266907435</v>
      </c>
      <c r="BP36" s="46">
        <f t="shared" si="52"/>
        <v>1.8718828754814292</v>
      </c>
      <c r="BQ36" s="46">
        <f t="shared" si="52"/>
        <v>1.8853806713569492</v>
      </c>
      <c r="BR36" s="46">
        <f t="shared" si="52"/>
        <v>1.8991675782405455</v>
      </c>
      <c r="BS36" s="46">
        <f t="shared" si="52"/>
        <v>1.9132165660913436</v>
      </c>
      <c r="BT36" s="46">
        <f t="shared" si="52"/>
        <v>1.9274984871578125</v>
      </c>
      <c r="BU36" s="46">
        <f t="shared" si="50"/>
        <v>1.941973553021501</v>
      </c>
      <c r="BV36" s="46">
        <f t="shared" si="50"/>
        <v>1.9565959506126125</v>
      </c>
      <c r="BW36" s="46">
        <f t="shared" si="50"/>
        <v>1.9713539609154986</v>
      </c>
      <c r="BX36" s="46">
        <f t="shared" si="50"/>
        <v>1.986229121369351</v>
      </c>
      <c r="BY36" s="46">
        <f t="shared" si="50"/>
        <v>2.001172082939239</v>
      </c>
      <c r="BZ36" s="46">
        <f t="shared" si="50"/>
        <v>2.0161196478038437</v>
      </c>
      <c r="CA36" s="46">
        <f t="shared" si="50"/>
        <v>2.0310430546073617</v>
      </c>
      <c r="CB36" s="46">
        <f t="shared" si="50"/>
        <v>2.0459089176824339</v>
      </c>
      <c r="CC36" s="46">
        <f t="shared" si="50"/>
        <v>2.0607197138840108</v>
      </c>
      <c r="CD36" s="46">
        <f t="shared" si="50"/>
        <v>2.0754814734267173</v>
      </c>
      <c r="CE36" s="46">
        <f t="shared" si="50"/>
        <v>2.0902048454199429</v>
      </c>
      <c r="CF36" s="46">
        <f t="shared" si="50"/>
        <v>2.1049061660470176</v>
      </c>
      <c r="CG36" s="46">
        <f t="shared" si="50"/>
        <v>2.1195914715637998</v>
      </c>
      <c r="CH36" s="46">
        <f t="shared" si="50"/>
        <v>2.1342667998780485</v>
      </c>
      <c r="CI36" s="46">
        <f t="shared" si="50"/>
        <v>2.1489339254422526</v>
      </c>
      <c r="CJ36" s="46">
        <f t="shared" si="50"/>
        <v>2.1635882279140533</v>
      </c>
      <c r="CK36" s="46">
        <f t="shared" si="50"/>
        <v>2.1782250857958982</v>
      </c>
    </row>
    <row r="37" spans="3:89">
      <c r="C37" t="s">
        <v>6</v>
      </c>
      <c r="D37" t="s">
        <v>161</v>
      </c>
      <c r="E37" t="s">
        <v>132</v>
      </c>
      <c r="F37" t="s">
        <v>166</v>
      </c>
      <c r="G37" s="45">
        <f>VLOOKUP(E37,'BY-Demands'!$I$6:$J$42,2,FALSE)</f>
        <v>0.84878652127122001</v>
      </c>
      <c r="H37" s="46">
        <f t="shared" si="48"/>
        <v>0.8755342962660001</v>
      </c>
      <c r="I37" s="46">
        <f t="shared" si="52"/>
        <v>0.89075901889800024</v>
      </c>
      <c r="J37" s="46">
        <f t="shared" si="52"/>
        <v>0.90568561557600002</v>
      </c>
      <c r="K37" s="46">
        <f t="shared" si="52"/>
        <v>0.92012420525760008</v>
      </c>
      <c r="L37" s="46">
        <f t="shared" si="52"/>
        <v>0.93441581077319957</v>
      </c>
      <c r="M37" s="46">
        <f t="shared" si="52"/>
        <v>0.94840909563040932</v>
      </c>
      <c r="N37" s="46">
        <f t="shared" si="52"/>
        <v>0.96176264284799995</v>
      </c>
      <c r="O37" s="46">
        <f t="shared" si="52"/>
        <v>0.97519694670720014</v>
      </c>
      <c r="P37" s="46">
        <f t="shared" si="52"/>
        <v>0.9885222719568002</v>
      </c>
      <c r="Q37" s="46">
        <f t="shared" si="52"/>
        <v>1.0023836858784001</v>
      </c>
      <c r="R37" s="46">
        <f t="shared" si="52"/>
        <v>1.0162500899626501</v>
      </c>
      <c r="S37" s="46">
        <f t="shared" si="52"/>
        <v>1.0299697524144007</v>
      </c>
      <c r="T37" s="46">
        <f t="shared" si="52"/>
        <v>1.0437573281238453</v>
      </c>
      <c r="U37" s="46">
        <f t="shared" si="52"/>
        <v>1.0573630556654914</v>
      </c>
      <c r="V37" s="46">
        <f t="shared" si="52"/>
        <v>1.071050266240456</v>
      </c>
      <c r="W37" s="46">
        <f t="shared" si="52"/>
        <v>1.0846672050922981</v>
      </c>
      <c r="X37" s="46">
        <f t="shared" si="52"/>
        <v>1.0979484994556357</v>
      </c>
      <c r="Y37" s="46">
        <f t="shared" si="52"/>
        <v>1.1108942216074706</v>
      </c>
      <c r="Z37" s="46">
        <f t="shared" si="52"/>
        <v>1.1238453673607769</v>
      </c>
      <c r="AA37" s="46">
        <f t="shared" si="52"/>
        <v>1.1367259510579641</v>
      </c>
      <c r="AB37" s="46">
        <f t="shared" si="52"/>
        <v>1.1491571061753405</v>
      </c>
      <c r="AC37" s="46">
        <f t="shared" si="52"/>
        <v>1.1611006817607983</v>
      </c>
      <c r="AD37" s="46">
        <f t="shared" si="52"/>
        <v>1.1643247424133938</v>
      </c>
      <c r="AE37" s="46">
        <f t="shared" si="52"/>
        <v>1.1746868054688044</v>
      </c>
      <c r="AF37" s="46">
        <f t="shared" si="52"/>
        <v>1.1862064205252172</v>
      </c>
      <c r="AG37" s="46">
        <f t="shared" si="52"/>
        <v>1.197503777291856</v>
      </c>
      <c r="AH37" s="46">
        <f t="shared" si="52"/>
        <v>1.208561652743565</v>
      </c>
      <c r="AI37" s="46">
        <f t="shared" si="52"/>
        <v>1.2193714254200851</v>
      </c>
      <c r="AJ37" s="46">
        <f t="shared" si="52"/>
        <v>1.2299058321902663</v>
      </c>
      <c r="AK37" s="46">
        <f t="shared" si="52"/>
        <v>1.2401470712920941</v>
      </c>
      <c r="AL37" s="46">
        <f t="shared" si="52"/>
        <v>1.2500483728015257</v>
      </c>
      <c r="AM37" s="46">
        <f t="shared" si="52"/>
        <v>1.2596068431158438</v>
      </c>
      <c r="AN37" s="46">
        <f t="shared" si="52"/>
        <v>1.2688244641519939</v>
      </c>
      <c r="AO37" s="46">
        <f t="shared" si="52"/>
        <v>1.2779936259569924</v>
      </c>
      <c r="AP37" s="46">
        <f t="shared" si="52"/>
        <v>1.286897260333794</v>
      </c>
      <c r="AQ37" s="46">
        <f t="shared" si="52"/>
        <v>1.2955608090693673</v>
      </c>
      <c r="AR37" s="46">
        <f t="shared" si="52"/>
        <v>1.3040192131348334</v>
      </c>
      <c r="AS37" s="46">
        <f t="shared" si="52"/>
        <v>1.3122904993700293</v>
      </c>
      <c r="AT37" s="46">
        <f t="shared" si="52"/>
        <v>1.3203863890850462</v>
      </c>
      <c r="AU37" s="46">
        <f t="shared" si="52"/>
        <v>1.3283444706279219</v>
      </c>
      <c r="AV37" s="46">
        <f t="shared" si="52"/>
        <v>1.3361989068484683</v>
      </c>
      <c r="AW37" s="46">
        <f t="shared" si="52"/>
        <v>1.3439870385119268</v>
      </c>
      <c r="AX37" s="46">
        <f t="shared" si="52"/>
        <v>1.3517289739596117</v>
      </c>
      <c r="AY37" s="46">
        <f t="shared" si="52"/>
        <v>1.3594560373931155</v>
      </c>
      <c r="AZ37" s="46">
        <f t="shared" si="52"/>
        <v>1.3671926608539544</v>
      </c>
      <c r="BA37" s="46">
        <f t="shared" si="52"/>
        <v>1.3749667270576473</v>
      </c>
      <c r="BB37" s="46">
        <f t="shared" si="52"/>
        <v>1.3828026705083574</v>
      </c>
      <c r="BC37" s="46">
        <f t="shared" si="52"/>
        <v>1.3907254990643669</v>
      </c>
      <c r="BD37" s="46">
        <f t="shared" si="52"/>
        <v>1.3987564806882604</v>
      </c>
      <c r="BE37" s="46">
        <f t="shared" si="52"/>
        <v>1.4069229138216166</v>
      </c>
      <c r="BF37" s="46">
        <f t="shared" si="52"/>
        <v>1.4152509397674728</v>
      </c>
      <c r="BG37" s="46">
        <f t="shared" si="52"/>
        <v>1.4237649666481822</v>
      </c>
      <c r="BH37" s="46">
        <f t="shared" si="52"/>
        <v>1.4324784767062939</v>
      </c>
      <c r="BI37" s="46">
        <f t="shared" si="52"/>
        <v>1.4414046582067723</v>
      </c>
      <c r="BJ37" s="46">
        <f t="shared" si="52"/>
        <v>1.4505587039914065</v>
      </c>
      <c r="BK37" s="46">
        <f t="shared" si="52"/>
        <v>1.4599543623146223</v>
      </c>
      <c r="BL37" s="46">
        <f t="shared" si="52"/>
        <v>1.4696068093281514</v>
      </c>
      <c r="BM37" s="46">
        <f t="shared" si="52"/>
        <v>1.4795105510234499</v>
      </c>
      <c r="BN37" s="46">
        <f t="shared" si="52"/>
        <v>1.4896666954042701</v>
      </c>
      <c r="BO37" s="46">
        <f t="shared" si="52"/>
        <v>1.5000766375635097</v>
      </c>
      <c r="BP37" s="46">
        <f t="shared" si="52"/>
        <v>1.5107343154020565</v>
      </c>
      <c r="BQ37" s="46">
        <f t="shared" si="52"/>
        <v>1.5216279368345385</v>
      </c>
      <c r="BR37" s="46">
        <f t="shared" si="52"/>
        <v>1.5327548901311996</v>
      </c>
      <c r="BS37" s="46">
        <f t="shared" si="52"/>
        <v>1.5440933602464351</v>
      </c>
      <c r="BT37" s="46">
        <f t="shared" si="52"/>
        <v>1.5556198230009111</v>
      </c>
      <c r="BU37" s="46">
        <f t="shared" si="50"/>
        <v>1.5673021664874685</v>
      </c>
      <c r="BV37" s="46">
        <f t="shared" si="50"/>
        <v>1.5791034165035323</v>
      </c>
      <c r="BW37" s="46">
        <f t="shared" si="50"/>
        <v>1.591014115021939</v>
      </c>
      <c r="BX37" s="46">
        <f t="shared" si="50"/>
        <v>1.6030193615248576</v>
      </c>
      <c r="BY37" s="46">
        <f t="shared" si="50"/>
        <v>1.6150793280500377</v>
      </c>
      <c r="BZ37" s="46">
        <f t="shared" si="50"/>
        <v>1.6271430097410451</v>
      </c>
      <c r="CA37" s="46">
        <f t="shared" si="50"/>
        <v>1.6391871942656679</v>
      </c>
      <c r="CB37" s="46">
        <f t="shared" si="50"/>
        <v>1.6511849371638734</v>
      </c>
      <c r="CC37" s="46">
        <f t="shared" si="50"/>
        <v>1.6631382374227872</v>
      </c>
      <c r="CD37" s="46">
        <f t="shared" si="50"/>
        <v>1.6750519618277635</v>
      </c>
      <c r="CE37" s="46">
        <f t="shared" si="50"/>
        <v>1.6869347049202634</v>
      </c>
      <c r="CF37" s="46">
        <f t="shared" si="50"/>
        <v>1.698799651089685</v>
      </c>
      <c r="CG37" s="46">
        <f t="shared" si="50"/>
        <v>1.7106516719970615</v>
      </c>
      <c r="CH37" s="46">
        <f t="shared" si="50"/>
        <v>1.7224956406366192</v>
      </c>
      <c r="CI37" s="46">
        <f t="shared" si="50"/>
        <v>1.734332989109854</v>
      </c>
      <c r="CJ37" s="46">
        <f t="shared" si="50"/>
        <v>1.7461599884923533</v>
      </c>
      <c r="CK37" s="46">
        <f t="shared" si="50"/>
        <v>1.7579729089273881</v>
      </c>
    </row>
    <row r="38" spans="3:89">
      <c r="C38" t="s">
        <v>6</v>
      </c>
      <c r="D38" t="s">
        <v>161</v>
      </c>
      <c r="E38" t="s">
        <v>133</v>
      </c>
      <c r="F38" t="s">
        <v>167</v>
      </c>
      <c r="G38" s="45">
        <f>VLOOKUP(E38,'BY-Demands'!$I$6:$J$42,2,FALSE)</f>
        <v>9.2169270601308995</v>
      </c>
      <c r="H38" s="46">
        <f t="shared" si="48"/>
        <v>9.5073797063138894</v>
      </c>
      <c r="I38" s="46">
        <f t="shared" si="52"/>
        <v>9.6727041483181129</v>
      </c>
      <c r="J38" s="46">
        <f t="shared" si="52"/>
        <v>9.8347912566655307</v>
      </c>
      <c r="K38" s="46">
        <f t="shared" si="52"/>
        <v>9.9915791233568569</v>
      </c>
      <c r="L38" s="46">
        <f t="shared" si="52"/>
        <v>10.146770896916316</v>
      </c>
      <c r="M38" s="46">
        <f t="shared" si="52"/>
        <v>10.298723222534509</v>
      </c>
      <c r="N38" s="46">
        <f t="shared" si="52"/>
        <v>10.443728671624598</v>
      </c>
      <c r="O38" s="46">
        <f t="shared" si="52"/>
        <v>10.589611052730783</v>
      </c>
      <c r="P38" s="46">
        <f t="shared" si="52"/>
        <v>10.734310040992449</v>
      </c>
      <c r="Q38" s="46">
        <f t="shared" si="52"/>
        <v>10.884830387232544</v>
      </c>
      <c r="R38" s="46">
        <f t="shared" si="52"/>
        <v>11.03540492137974</v>
      </c>
      <c r="S38" s="46">
        <f t="shared" si="52"/>
        <v>11.18438599605328</v>
      </c>
      <c r="T38" s="46">
        <f t="shared" si="52"/>
        <v>11.334104537129614</v>
      </c>
      <c r="U38" s="46">
        <f t="shared" si="52"/>
        <v>11.481848398758745</v>
      </c>
      <c r="V38" s="46">
        <f t="shared" si="52"/>
        <v>11.630477080252367</v>
      </c>
      <c r="W38" s="46">
        <f t="shared" si="52"/>
        <v>11.7783426848943</v>
      </c>
      <c r="X38" s="46">
        <f t="shared" si="52"/>
        <v>11.922563544136592</v>
      </c>
      <c r="Y38" s="46">
        <f t="shared" si="52"/>
        <v>12.063140442831305</v>
      </c>
      <c r="Z38" s="46">
        <f t="shared" si="52"/>
        <v>12.203776236121907</v>
      </c>
      <c r="AA38" s="46">
        <f t="shared" si="52"/>
        <v>12.343645799850465</v>
      </c>
      <c r="AB38" s="46">
        <f t="shared" si="52"/>
        <v>12.478635042868166</v>
      </c>
      <c r="AC38" s="46">
        <f t="shared" si="52"/>
        <v>12.608329686043525</v>
      </c>
      <c r="AD38" s="46">
        <f t="shared" si="52"/>
        <v>12.643339586799144</v>
      </c>
      <c r="AE38" s="46">
        <f t="shared" si="52"/>
        <v>12.755860670700379</v>
      </c>
      <c r="AF38" s="46">
        <f t="shared" si="52"/>
        <v>12.880951549354677</v>
      </c>
      <c r="AG38" s="46">
        <f t="shared" si="52"/>
        <v>13.003628937226525</v>
      </c>
      <c r="AH38" s="46">
        <f t="shared" si="52"/>
        <v>13.123705810414579</v>
      </c>
      <c r="AI38" s="46">
        <f t="shared" si="52"/>
        <v>13.241088548946834</v>
      </c>
      <c r="AJ38" s="46">
        <f t="shared" si="52"/>
        <v>13.35548110395241</v>
      </c>
      <c r="AK38" s="46">
        <f t="shared" si="52"/>
        <v>13.466690167057626</v>
      </c>
      <c r="AL38" s="46">
        <f t="shared" si="52"/>
        <v>13.574207866179563</v>
      </c>
      <c r="AM38" s="46">
        <f t="shared" si="52"/>
        <v>13.678002779842364</v>
      </c>
      <c r="AN38" s="46">
        <f t="shared" si="52"/>
        <v>13.778096429575259</v>
      </c>
      <c r="AO38" s="46">
        <f t="shared" si="52"/>
        <v>13.877663863130445</v>
      </c>
      <c r="AP38" s="46">
        <f t="shared" si="52"/>
        <v>13.974347948662516</v>
      </c>
      <c r="AQ38" s="46">
        <f t="shared" si="52"/>
        <v>14.068424957164106</v>
      </c>
      <c r="AR38" s="46">
        <f t="shared" si="52"/>
        <v>14.160274310756282</v>
      </c>
      <c r="AS38" s="46">
        <f t="shared" si="52"/>
        <v>14.250091761920668</v>
      </c>
      <c r="AT38" s="46">
        <f t="shared" si="52"/>
        <v>14.338004591731417</v>
      </c>
      <c r="AU38" s="46">
        <f t="shared" si="52"/>
        <v>14.424420970032767</v>
      </c>
      <c r="AV38" s="46">
        <f t="shared" si="52"/>
        <v>14.509711869368445</v>
      </c>
      <c r="AW38" s="46">
        <f t="shared" si="52"/>
        <v>14.594282771094459</v>
      </c>
      <c r="AX38" s="46">
        <f t="shared" si="52"/>
        <v>14.678352030604714</v>
      </c>
      <c r="AY38" s="46">
        <f t="shared" si="52"/>
        <v>14.762259795715005</v>
      </c>
      <c r="AZ38" s="46">
        <f t="shared" si="52"/>
        <v>14.846271372646569</v>
      </c>
      <c r="BA38" s="46">
        <f t="shared" si="52"/>
        <v>14.930689538303522</v>
      </c>
      <c r="BB38" s="46">
        <f t="shared" si="52"/>
        <v>15.015779625648852</v>
      </c>
      <c r="BC38" s="46">
        <f t="shared" si="52"/>
        <v>15.101813193666985</v>
      </c>
      <c r="BD38" s="46">
        <f t="shared" si="52"/>
        <v>15.189021190016668</v>
      </c>
      <c r="BE38" s="46">
        <f t="shared" si="52"/>
        <v>15.277700047002813</v>
      </c>
      <c r="BF38" s="46">
        <f t="shared" si="52"/>
        <v>15.368133631625334</v>
      </c>
      <c r="BG38" s="46">
        <f t="shared" si="52"/>
        <v>15.460586990368544</v>
      </c>
      <c r="BH38" s="46">
        <f t="shared" si="52"/>
        <v>15.55520652617721</v>
      </c>
      <c r="BI38" s="46">
        <f t="shared" si="52"/>
        <v>15.652135449709334</v>
      </c>
      <c r="BJ38" s="46">
        <f t="shared" si="52"/>
        <v>15.751538739214581</v>
      </c>
      <c r="BK38" s="46">
        <f t="shared" si="52"/>
        <v>15.85356568624632</v>
      </c>
      <c r="BL38" s="46">
        <f t="shared" si="52"/>
        <v>15.958381087817767</v>
      </c>
      <c r="BM38" s="46">
        <f t="shared" si="52"/>
        <v>16.065925284786434</v>
      </c>
      <c r="BN38" s="46">
        <f t="shared" si="52"/>
        <v>16.176210308905318</v>
      </c>
      <c r="BO38" s="46">
        <f t="shared" si="52"/>
        <v>16.289251309412954</v>
      </c>
      <c r="BP38" s="46">
        <f t="shared" si="52"/>
        <v>16.404982458302001</v>
      </c>
      <c r="BQ38" s="46">
        <f t="shared" si="52"/>
        <v>16.523275705953353</v>
      </c>
      <c r="BR38" s="46">
        <f t="shared" si="52"/>
        <v>16.644102691734432</v>
      </c>
      <c r="BS38" s="46">
        <f t="shared" si="52"/>
        <v>16.767226527241483</v>
      </c>
      <c r="BT38" s="46">
        <f t="shared" ref="BT38:CK39" si="53">$G38*SUM(BT$26:BT$28)/SUM($G$26:$G$28)</f>
        <v>16.892391764679758</v>
      </c>
      <c r="BU38" s="46">
        <f t="shared" si="53"/>
        <v>17.019249702581192</v>
      </c>
      <c r="BV38" s="46">
        <f t="shared" si="53"/>
        <v>17.147398840073997</v>
      </c>
      <c r="BW38" s="46">
        <f t="shared" si="53"/>
        <v>17.276736472951281</v>
      </c>
      <c r="BX38" s="46">
        <f t="shared" si="53"/>
        <v>17.407100797293484</v>
      </c>
      <c r="BY38" s="46">
        <f t="shared" si="53"/>
        <v>17.538059323406419</v>
      </c>
      <c r="BZ38" s="46">
        <f t="shared" si="53"/>
        <v>17.669058192304721</v>
      </c>
      <c r="CA38" s="46">
        <f t="shared" si="53"/>
        <v>17.799845342524716</v>
      </c>
      <c r="CB38" s="46">
        <f t="shared" si="53"/>
        <v>17.930128185628003</v>
      </c>
      <c r="CC38" s="46">
        <f t="shared" si="53"/>
        <v>18.059928428507977</v>
      </c>
      <c r="CD38" s="46">
        <f t="shared" si="53"/>
        <v>18.189298919324337</v>
      </c>
      <c r="CE38" s="46">
        <f t="shared" si="53"/>
        <v>18.31833298573931</v>
      </c>
      <c r="CF38" s="46">
        <f t="shared" si="53"/>
        <v>18.44717379632635</v>
      </c>
      <c r="CG38" s="46">
        <f t="shared" si="53"/>
        <v>18.575874252189895</v>
      </c>
      <c r="CH38" s="46">
        <f t="shared" si="53"/>
        <v>18.704487268911443</v>
      </c>
      <c r="CI38" s="46">
        <f t="shared" si="53"/>
        <v>18.833028397603911</v>
      </c>
      <c r="CJ38" s="46">
        <f t="shared" si="53"/>
        <v>18.9614571460782</v>
      </c>
      <c r="CK38" s="46">
        <f t="shared" si="53"/>
        <v>19.089733012021238</v>
      </c>
    </row>
    <row r="39" spans="3:89">
      <c r="C39" t="s">
        <v>6</v>
      </c>
      <c r="D39" t="s">
        <v>161</v>
      </c>
      <c r="E39" t="s">
        <v>134</v>
      </c>
      <c r="F39" t="s">
        <v>168</v>
      </c>
      <c r="G39" s="26">
        <f>VLOOKUP(E39,'BY-Demands'!$I$6:$J$42,2,FALSE)</f>
        <v>0</v>
      </c>
      <c r="H39">
        <f t="shared" si="48"/>
        <v>0</v>
      </c>
      <c r="I39">
        <f t="shared" ref="I39:BT39" si="54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3:89">
      <c r="F43" t="s">
        <v>201</v>
      </c>
      <c r="G43" s="54">
        <v>44562</v>
      </c>
      <c r="H43" s="54">
        <v>44593</v>
      </c>
      <c r="I43" s="54">
        <v>44621</v>
      </c>
      <c r="J43" s="54">
        <v>44652</v>
      </c>
      <c r="K43" s="54">
        <v>44682</v>
      </c>
      <c r="L43" s="54">
        <v>44713</v>
      </c>
      <c r="M43" s="54">
        <v>44743</v>
      </c>
      <c r="N43" s="54">
        <v>44774</v>
      </c>
      <c r="O43" s="54">
        <v>44805</v>
      </c>
      <c r="P43" s="54">
        <v>44835</v>
      </c>
      <c r="Q43" s="54">
        <v>44866</v>
      </c>
      <c r="R43" s="54">
        <v>44896</v>
      </c>
      <c r="S43" t="s">
        <v>202</v>
      </c>
      <c r="T43" s="66" t="s">
        <v>198</v>
      </c>
    </row>
    <row r="44" spans="3:89">
      <c r="F44" t="s">
        <v>199</v>
      </c>
      <c r="G44" s="67">
        <v>2980</v>
      </c>
      <c r="H44" s="67">
        <v>2761</v>
      </c>
      <c r="I44" s="67">
        <v>2739</v>
      </c>
      <c r="J44" s="67">
        <v>2493</v>
      </c>
      <c r="K44" s="67">
        <v>2501</v>
      </c>
      <c r="L44" s="67">
        <v>2404</v>
      </c>
      <c r="M44" s="67">
        <v>2484</v>
      </c>
      <c r="N44" s="67">
        <v>2556</v>
      </c>
      <c r="O44" s="67">
        <v>2472</v>
      </c>
      <c r="P44" s="67">
        <v>2676</v>
      </c>
      <c r="Q44" s="67">
        <v>2847</v>
      </c>
      <c r="R44" s="67">
        <v>2964</v>
      </c>
      <c r="S44">
        <f>SUM(G44:R44)</f>
        <v>31877</v>
      </c>
      <c r="T44" s="53">
        <f>S44*3.6/1000</f>
        <v>114.7572</v>
      </c>
    </row>
    <row r="45" spans="3:89">
      <c r="F45" t="s">
        <v>200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3">
        <f>S45*3.6/1000</f>
        <v>0.90720000000000001</v>
      </c>
    </row>
    <row r="46" spans="3:89">
      <c r="F46" t="s">
        <v>205</v>
      </c>
    </row>
    <row r="47" spans="3:89">
      <c r="F47" t="s">
        <v>203</v>
      </c>
      <c r="G47">
        <v>129.69999999999999</v>
      </c>
    </row>
    <row r="48" spans="3:89">
      <c r="F48" t="s">
        <v>204</v>
      </c>
      <c r="G48" s="76">
        <f>1-(G47/T44)</f>
        <v>-0.13021230911873061</v>
      </c>
    </row>
    <row r="53" spans="6:11">
      <c r="G53" t="s">
        <v>206</v>
      </c>
    </row>
    <row r="54" spans="6:11" ht="15" thickBot="1">
      <c r="F54" s="47" t="s">
        <v>59</v>
      </c>
      <c r="G54" s="47">
        <v>2022</v>
      </c>
      <c r="J54" s="82" t="s">
        <v>208</v>
      </c>
      <c r="K54" s="82" t="s">
        <v>61</v>
      </c>
    </row>
    <row r="55" spans="6:11">
      <c r="F55" s="28" t="s">
        <v>8</v>
      </c>
      <c r="G55" s="46">
        <v>1.7028384806625201</v>
      </c>
      <c r="J55" t="s">
        <v>211</v>
      </c>
      <c r="K55" s="46">
        <v>10.4</v>
      </c>
    </row>
    <row r="56" spans="6:11">
      <c r="F56" s="28" t="s">
        <v>10</v>
      </c>
      <c r="G56" s="46">
        <v>23.738094411807602</v>
      </c>
      <c r="J56" t="s">
        <v>17</v>
      </c>
      <c r="K56" s="46">
        <v>5.7</v>
      </c>
    </row>
    <row r="57" spans="6:11">
      <c r="F57" s="28" t="s">
        <v>12</v>
      </c>
      <c r="G57" s="46">
        <v>1.5478463345837199</v>
      </c>
      <c r="J57" t="s">
        <v>212</v>
      </c>
      <c r="K57" s="46">
        <v>13.4</v>
      </c>
    </row>
    <row r="58" spans="6:11">
      <c r="F58" s="28" t="s">
        <v>14</v>
      </c>
      <c r="G58" s="46">
        <v>5.8166390635502099</v>
      </c>
      <c r="J58" t="s">
        <v>213</v>
      </c>
      <c r="K58" s="46">
        <v>1.3</v>
      </c>
    </row>
    <row r="59" spans="6:11">
      <c r="F59" s="28" t="s">
        <v>16</v>
      </c>
      <c r="G59" s="46">
        <v>1.19927927754182</v>
      </c>
      <c r="J59" t="s">
        <v>23</v>
      </c>
      <c r="K59" s="46">
        <v>16.5</v>
      </c>
    </row>
    <row r="60" spans="6:11">
      <c r="F60" s="28" t="s">
        <v>18</v>
      </c>
      <c r="G60" s="46">
        <v>10.6043548094603</v>
      </c>
      <c r="J60" t="s">
        <v>31</v>
      </c>
      <c r="K60" s="46">
        <v>3.8</v>
      </c>
    </row>
    <row r="61" spans="6:11">
      <c r="F61" s="28" t="s">
        <v>20</v>
      </c>
      <c r="G61" s="46">
        <v>1.0410295169864401</v>
      </c>
      <c r="J61" t="s">
        <v>21</v>
      </c>
      <c r="K61" s="46">
        <v>2.4</v>
      </c>
    </row>
    <row r="62" spans="6:11">
      <c r="F62" s="28" t="s">
        <v>22</v>
      </c>
      <c r="G62" s="46">
        <v>18.752348682008719</v>
      </c>
      <c r="J62" t="s">
        <v>13</v>
      </c>
      <c r="K62" s="46">
        <v>5</v>
      </c>
    </row>
    <row r="63" spans="6:11">
      <c r="F63" s="28" t="s">
        <v>24</v>
      </c>
      <c r="G63" s="46">
        <v>18.095637208589601</v>
      </c>
      <c r="J63" s="83" t="s">
        <v>209</v>
      </c>
      <c r="K63" s="46">
        <v>23.439361110035826</v>
      </c>
    </row>
    <row r="64" spans="6:11">
      <c r="F64" s="28" t="s">
        <v>26</v>
      </c>
      <c r="G64" s="46">
        <v>2.2584342466232901</v>
      </c>
      <c r="J64" s="83" t="s">
        <v>210</v>
      </c>
      <c r="K64" s="46">
        <v>0</v>
      </c>
    </row>
    <row r="65" spans="6:46">
      <c r="F65" s="28" t="s">
        <v>28</v>
      </c>
      <c r="G65" s="46">
        <v>6.2862087424890802</v>
      </c>
    </row>
    <row r="66" spans="6:46">
      <c r="F66" s="28" t="s">
        <v>30</v>
      </c>
      <c r="G66" s="46">
        <v>0.187409320968947</v>
      </c>
    </row>
    <row r="67" spans="6:46" ht="15" thickBot="1">
      <c r="F67" s="28" t="s">
        <v>32</v>
      </c>
      <c r="G67" s="46">
        <v>4.6924479738735299</v>
      </c>
      <c r="J67" s="47" t="s">
        <v>3</v>
      </c>
      <c r="K67" s="47" t="s">
        <v>4</v>
      </c>
      <c r="L67" s="47" t="s">
        <v>5</v>
      </c>
      <c r="M67" s="47" t="s">
        <v>59</v>
      </c>
      <c r="N67" s="47">
        <v>2018</v>
      </c>
      <c r="O67" s="47">
        <v>2019</v>
      </c>
      <c r="P67" s="47">
        <v>2020</v>
      </c>
      <c r="Q67" s="47">
        <v>2021</v>
      </c>
      <c r="R67" s="47">
        <v>2022</v>
      </c>
      <c r="S67" s="47">
        <v>2023</v>
      </c>
      <c r="T67" s="47">
        <v>2024</v>
      </c>
      <c r="U67" s="47">
        <v>2025</v>
      </c>
      <c r="V67" s="47">
        <v>2026</v>
      </c>
      <c r="W67" s="47">
        <v>2027</v>
      </c>
      <c r="X67" s="47">
        <v>2028</v>
      </c>
      <c r="Y67" s="47">
        <v>2029</v>
      </c>
      <c r="Z67" s="47">
        <v>2030</v>
      </c>
      <c r="AA67" s="47">
        <v>2031</v>
      </c>
      <c r="AB67" s="47">
        <v>2032</v>
      </c>
      <c r="AC67" s="47">
        <v>2033</v>
      </c>
      <c r="AD67" s="47">
        <v>2034</v>
      </c>
      <c r="AE67" s="47">
        <v>2035</v>
      </c>
      <c r="AF67" s="47">
        <v>2036</v>
      </c>
      <c r="AG67" s="47">
        <v>2037</v>
      </c>
      <c r="AH67" s="47">
        <v>2038</v>
      </c>
      <c r="AI67" s="47">
        <v>2039</v>
      </c>
      <c r="AJ67" s="47">
        <v>2040</v>
      </c>
      <c r="AK67" s="47">
        <v>2041</v>
      </c>
      <c r="AL67" s="47">
        <v>2042</v>
      </c>
      <c r="AM67" s="47">
        <v>2043</v>
      </c>
      <c r="AN67" s="47">
        <v>2044</v>
      </c>
      <c r="AO67" s="47">
        <v>2045</v>
      </c>
      <c r="AP67" s="47">
        <v>2046</v>
      </c>
      <c r="AQ67" s="47">
        <v>2047</v>
      </c>
      <c r="AR67" s="47">
        <v>2048</v>
      </c>
      <c r="AS67" s="47">
        <v>2049</v>
      </c>
      <c r="AT67" s="47">
        <v>2050</v>
      </c>
    </row>
    <row r="68" spans="6:46">
      <c r="F68" s="28" t="s">
        <v>34</v>
      </c>
      <c r="G68" s="46">
        <v>3.6347440465271599</v>
      </c>
      <c r="J68" t="s">
        <v>6</v>
      </c>
      <c r="K68" t="s">
        <v>161</v>
      </c>
      <c r="L68" t="s">
        <v>7</v>
      </c>
      <c r="M68" s="28" t="s">
        <v>8</v>
      </c>
      <c r="N68" s="45">
        <v>1.8983540603270901</v>
      </c>
      <c r="O68" s="46">
        <v>2.9169885814082672</v>
      </c>
      <c r="P68" s="46">
        <v>2.9233084199020065</v>
      </c>
      <c r="Q68" s="46">
        <v>2.9160581250770159</v>
      </c>
      <c r="R68" s="46">
        <v>1.7028384806625201</v>
      </c>
      <c r="S68" s="46">
        <v>1.6135753111997699</v>
      </c>
      <c r="T68" s="46">
        <v>1.5288879865599401</v>
      </c>
      <c r="U68" s="46">
        <v>1.4483402829919301</v>
      </c>
      <c r="V68" s="46">
        <v>1.37144186569114</v>
      </c>
      <c r="W68" s="46">
        <v>1.2980237760162101</v>
      </c>
      <c r="X68" s="46">
        <v>1.2273645374545299</v>
      </c>
      <c r="Y68" s="46">
        <v>1.1587398333279899</v>
      </c>
      <c r="Z68" s="46">
        <v>1.0921851641664599</v>
      </c>
      <c r="AA68" s="46">
        <v>1.0275875212951799</v>
      </c>
      <c r="AB68" s="46">
        <v>0.96469052754222095</v>
      </c>
      <c r="AC68" s="46">
        <v>0.90322534608371097</v>
      </c>
      <c r="AD68" s="46">
        <v>0.843039934608244</v>
      </c>
      <c r="AE68" s="46">
        <v>0.78430044562909396</v>
      </c>
      <c r="AF68" s="46">
        <v>0.72705781851404505</v>
      </c>
      <c r="AG68" s="46">
        <v>0.67137201355071097</v>
      </c>
      <c r="AH68" s="46">
        <v>0.617255006862235</v>
      </c>
      <c r="AI68" s="46">
        <v>0.56487434871240405</v>
      </c>
      <c r="AJ68" s="46">
        <v>0.51429446227126696</v>
      </c>
      <c r="AK68" s="46">
        <v>0.46550862914181301</v>
      </c>
      <c r="AL68" s="46">
        <v>0.41860592138873198</v>
      </c>
      <c r="AM68" s="46">
        <v>0.37371559292088302</v>
      </c>
      <c r="AN68" s="46">
        <v>0.33115411651416998</v>
      </c>
      <c r="AO68" s="46">
        <v>0.29094856023906202</v>
      </c>
      <c r="AP68" s="46">
        <v>0.253074162053473</v>
      </c>
      <c r="AQ68" s="46">
        <v>0.21761723332759</v>
      </c>
      <c r="AR68" s="46">
        <v>0.18460518744999099</v>
      </c>
      <c r="AS68" s="46">
        <v>0.15423321177072899</v>
      </c>
      <c r="AT68" s="46">
        <v>0.126438626203419</v>
      </c>
    </row>
    <row r="69" spans="6:46">
      <c r="F69" s="28" t="s">
        <v>36</v>
      </c>
      <c r="G69" s="45">
        <v>14.05673907080137</v>
      </c>
      <c r="J69" t="s">
        <v>6</v>
      </c>
      <c r="K69" t="s">
        <v>161</v>
      </c>
      <c r="L69" t="s">
        <v>9</v>
      </c>
      <c r="M69" s="28" t="s">
        <v>10</v>
      </c>
      <c r="N69" s="45">
        <v>20.1128233846323</v>
      </c>
      <c r="O69" s="46">
        <v>20.829707214475608</v>
      </c>
      <c r="P69" s="46">
        <v>21.483394248547164</v>
      </c>
      <c r="Q69" s="46">
        <v>20.570384916097975</v>
      </c>
      <c r="R69" s="45">
        <v>22.551189691217221</v>
      </c>
      <c r="S69" s="46">
        <v>24.2477718451144</v>
      </c>
      <c r="T69" s="46">
        <v>24.737798032768101</v>
      </c>
      <c r="U69" s="46">
        <v>25.2100090945452</v>
      </c>
      <c r="V69" s="46">
        <v>25.666470943862102</v>
      </c>
      <c r="W69" s="46">
        <v>26.1078999635439</v>
      </c>
      <c r="X69" s="46">
        <v>26.537329523433002</v>
      </c>
      <c r="Y69" s="46">
        <v>26.957806654528799</v>
      </c>
      <c r="Z69" s="46">
        <v>27.3691900664729</v>
      </c>
      <c r="AA69" s="46">
        <v>27.7731438249603</v>
      </c>
      <c r="AB69" s="46">
        <v>28.169463481332301</v>
      </c>
      <c r="AC69" s="46">
        <v>28.559286276079199</v>
      </c>
      <c r="AD69" s="46">
        <v>28.943262981163599</v>
      </c>
      <c r="AE69" s="46">
        <v>29.320698163891301</v>
      </c>
      <c r="AF69" s="46">
        <v>29.691391884672999</v>
      </c>
      <c r="AG69" s="46">
        <v>30.0551037457994</v>
      </c>
      <c r="AH69" s="46">
        <v>30.411784324386399</v>
      </c>
      <c r="AI69" s="46">
        <v>30.760741657246101</v>
      </c>
      <c r="AJ69" s="46">
        <v>31.101717485548001</v>
      </c>
      <c r="AK69" s="46">
        <v>31.434745464031</v>
      </c>
      <c r="AL69" s="46">
        <v>31.759461829300999</v>
      </c>
      <c r="AM69" s="46">
        <v>32.075337728167199</v>
      </c>
      <c r="AN69" s="46">
        <v>32.381048517803499</v>
      </c>
      <c r="AO69" s="46">
        <v>32.676490730910302</v>
      </c>
      <c r="AP69" s="46">
        <v>32.96178372955</v>
      </c>
      <c r="AQ69" s="46">
        <v>33.236573405433496</v>
      </c>
      <c r="AR69" s="46">
        <v>33.500754681233502</v>
      </c>
      <c r="AS69" s="46">
        <v>33.753517042278197</v>
      </c>
      <c r="AT69" s="46">
        <v>33.995140912459298</v>
      </c>
    </row>
    <row r="70" spans="6:46">
      <c r="F70" s="28" t="s">
        <v>38</v>
      </c>
      <c r="G70" s="45">
        <v>30.202204674413409</v>
      </c>
      <c r="J70" t="s">
        <v>6</v>
      </c>
      <c r="K70" t="s">
        <v>161</v>
      </c>
      <c r="L70" t="s">
        <v>11</v>
      </c>
      <c r="M70" s="28" t="s">
        <v>12</v>
      </c>
      <c r="N70" s="45">
        <v>0.42769784899188301</v>
      </c>
      <c r="O70" s="46">
        <v>0.74181807651109255</v>
      </c>
      <c r="P70" s="46">
        <v>0.7440570217426532</v>
      </c>
      <c r="Q70" s="46">
        <v>0.73064036372909791</v>
      </c>
      <c r="R70" s="46">
        <v>1.5478463345837199</v>
      </c>
      <c r="S70" s="46">
        <v>1.6648203937614301</v>
      </c>
      <c r="T70" s="46">
        <v>1.7809335626957301</v>
      </c>
      <c r="U70" s="46">
        <v>1.89639959071686</v>
      </c>
      <c r="V70" s="46">
        <v>2.0114820383474701</v>
      </c>
      <c r="W70" s="46">
        <v>2.1262543506531602</v>
      </c>
      <c r="X70" s="46">
        <v>2.2411440385340899</v>
      </c>
      <c r="Y70" s="46">
        <v>2.35659966296154</v>
      </c>
      <c r="Z70" s="46">
        <v>2.4726017482570901</v>
      </c>
      <c r="AA70" s="46">
        <v>2.5893767113569299</v>
      </c>
      <c r="AB70" s="46">
        <v>2.70693447698793</v>
      </c>
      <c r="AC70" s="46">
        <v>2.8254641527981499</v>
      </c>
      <c r="AD70" s="46">
        <v>2.9450841852782901</v>
      </c>
      <c r="AE70" s="46">
        <v>3.0657026736779498</v>
      </c>
      <c r="AF70" s="46">
        <v>3.1873040401010502</v>
      </c>
      <c r="AG70" s="46">
        <v>3.3098663768416698</v>
      </c>
      <c r="AH70" s="46">
        <v>3.4333973105618001</v>
      </c>
      <c r="AI70" s="46">
        <v>3.5578003130612501</v>
      </c>
      <c r="AJ70" s="46">
        <v>3.6830492322219301</v>
      </c>
      <c r="AK70" s="46">
        <v>3.8091633839816499</v>
      </c>
      <c r="AL70" s="46">
        <v>3.9361003581391798</v>
      </c>
      <c r="AM70" s="46">
        <v>4.0637848223187998</v>
      </c>
      <c r="AN70" s="46">
        <v>4.1920058269306999</v>
      </c>
      <c r="AO70" s="46">
        <v>4.3207594675386503</v>
      </c>
      <c r="AP70" s="46">
        <v>4.4500790205684</v>
      </c>
      <c r="AQ70" s="46">
        <v>4.5799183003671899</v>
      </c>
      <c r="AR70" s="46">
        <v>4.7102769387463397</v>
      </c>
      <c r="AS70" s="46">
        <v>4.8410287526926199</v>
      </c>
      <c r="AT70" s="46">
        <v>4.9722422779080198</v>
      </c>
    </row>
    <row r="71" spans="6:46">
      <c r="F71" s="28" t="s">
        <v>40</v>
      </c>
      <c r="G71" s="45">
        <v>26.199972897443971</v>
      </c>
      <c r="J71" t="s">
        <v>6</v>
      </c>
      <c r="K71" t="s">
        <v>161</v>
      </c>
      <c r="L71" t="s">
        <v>13</v>
      </c>
      <c r="M71" s="28" t="s">
        <v>14</v>
      </c>
      <c r="N71" s="45">
        <v>6.9295287156334302</v>
      </c>
      <c r="O71" s="46">
        <v>6.5639975672352229</v>
      </c>
      <c r="P71" s="46">
        <v>5.780638065059601</v>
      </c>
      <c r="Q71" s="46">
        <v>6.5949264310858817</v>
      </c>
      <c r="R71" s="46">
        <v>5.8166390635502099</v>
      </c>
      <c r="S71" s="46">
        <v>5.86289720148286</v>
      </c>
      <c r="T71" s="46">
        <v>5.9102964369672799</v>
      </c>
      <c r="U71" s="46">
        <v>5.9588634696265501</v>
      </c>
      <c r="V71" s="46">
        <v>6.0086282326853899</v>
      </c>
      <c r="W71" s="46">
        <v>6.0596206906641799</v>
      </c>
      <c r="X71" s="46">
        <v>6.11187232558445</v>
      </c>
      <c r="Y71" s="46">
        <v>6.1654122980366699</v>
      </c>
      <c r="Z71" s="46">
        <v>6.2202749583689796</v>
      </c>
      <c r="AA71" s="46">
        <v>6.2764914893167498</v>
      </c>
      <c r="AB71" s="46">
        <v>6.3340965980484798</v>
      </c>
      <c r="AC71" s="46">
        <v>6.3931254408430798</v>
      </c>
      <c r="AD71" s="46">
        <v>6.4536142967308301</v>
      </c>
      <c r="AE71" s="46">
        <v>6.5155983460895799</v>
      </c>
      <c r="AF71" s="46">
        <v>6.5791152322932502</v>
      </c>
      <c r="AG71" s="46">
        <v>6.6442042290564496</v>
      </c>
      <c r="AH71" s="46">
        <v>6.7109040474029102</v>
      </c>
      <c r="AI71" s="46">
        <v>6.7792549035251897</v>
      </c>
      <c r="AJ71" s="46">
        <v>6.8492984254727203</v>
      </c>
      <c r="AK71" s="46">
        <v>6.9210768802457201</v>
      </c>
      <c r="AL71" s="46">
        <v>6.9946337892663699</v>
      </c>
      <c r="AM71" s="46">
        <v>7.07001384207258</v>
      </c>
      <c r="AN71" s="46">
        <v>7.1472628123994602</v>
      </c>
      <c r="AO71" s="46">
        <v>7.2264268158768896</v>
      </c>
      <c r="AP71" s="46">
        <v>7.3075548788843099</v>
      </c>
      <c r="AQ71" s="46">
        <v>7.3906955316739102</v>
      </c>
      <c r="AR71" s="46">
        <v>7.4759006566754698</v>
      </c>
      <c r="AS71" s="46">
        <v>7.5632208334368096</v>
      </c>
      <c r="AT71" s="46">
        <v>7.6527104252134697</v>
      </c>
    </row>
    <row r="72" spans="6:46">
      <c r="F72" s="28" t="s">
        <v>42</v>
      </c>
      <c r="G72" s="45">
        <v>12.797868826509406</v>
      </c>
      <c r="J72" t="s">
        <v>6</v>
      </c>
      <c r="K72" t="s">
        <v>161</v>
      </c>
      <c r="L72" t="s">
        <v>15</v>
      </c>
      <c r="M72" s="28" t="s">
        <v>16</v>
      </c>
      <c r="N72" s="45">
        <v>1.09140526535876</v>
      </c>
      <c r="O72" s="46">
        <v>0.5707726774555677</v>
      </c>
      <c r="P72" s="46">
        <v>0.56119057639608538</v>
      </c>
      <c r="Q72" s="46">
        <v>0.55161044480654198</v>
      </c>
      <c r="R72" s="46">
        <v>1.19927927754182</v>
      </c>
      <c r="S72" s="46">
        <v>1.22725991510956</v>
      </c>
      <c r="T72" s="46">
        <v>1.2559337577197001</v>
      </c>
      <c r="U72" s="46">
        <v>1.2853176351257101</v>
      </c>
      <c r="V72" s="46">
        <v>1.3154284460035299</v>
      </c>
      <c r="W72" s="46">
        <v>1.34628589537239</v>
      </c>
      <c r="X72" s="46">
        <v>1.3779069025349999</v>
      </c>
      <c r="Y72" s="46">
        <v>1.41031202122664</v>
      </c>
      <c r="Z72" s="46">
        <v>1.44351990088433</v>
      </c>
      <c r="AA72" s="46">
        <v>1.4775615762333201</v>
      </c>
      <c r="AB72" s="46">
        <v>1.5124455456633801</v>
      </c>
      <c r="AC72" s="46">
        <v>1.54819453277112</v>
      </c>
      <c r="AD72" s="46">
        <v>1.5848284110095301</v>
      </c>
      <c r="AE72" s="46">
        <v>1.62237119004269</v>
      </c>
      <c r="AF72" s="46">
        <v>1.6608431415137901</v>
      </c>
      <c r="AG72" s="46">
        <v>1.70026940648485</v>
      </c>
      <c r="AH72" s="46">
        <v>1.74067305443197</v>
      </c>
      <c r="AI72" s="46">
        <v>1.7820793168514899</v>
      </c>
      <c r="AJ72" s="46">
        <v>1.8245113417944701</v>
      </c>
      <c r="AK72" s="46">
        <v>1.8679968256578099</v>
      </c>
      <c r="AL72" s="46">
        <v>1.9125604788494299</v>
      </c>
      <c r="AM72" s="46">
        <v>1.9582305876750901</v>
      </c>
      <c r="AN72" s="46">
        <v>2.0050340390722701</v>
      </c>
      <c r="AO72" s="46">
        <v>2.0530003298918298</v>
      </c>
      <c r="AP72" s="46">
        <v>2.1021574936170699</v>
      </c>
      <c r="AQ72" s="46">
        <v>2.1525360482102101</v>
      </c>
      <c r="AR72" s="46">
        <v>2.2041657659317799</v>
      </c>
      <c r="AS72" s="46">
        <v>2.25707952983301</v>
      </c>
      <c r="AT72" s="46">
        <v>2.3113093619058902</v>
      </c>
    </row>
    <row r="73" spans="6:46">
      <c r="F73" t="s">
        <v>44</v>
      </c>
      <c r="G73" s="46">
        <v>7.6814227047944605</v>
      </c>
      <c r="J73" t="s">
        <v>6</v>
      </c>
      <c r="K73" t="s">
        <v>161</v>
      </c>
      <c r="L73" t="s">
        <v>17</v>
      </c>
      <c r="M73" s="28" t="s">
        <v>18</v>
      </c>
      <c r="N73" s="45">
        <v>9.5100483128062994</v>
      </c>
      <c r="O73" s="46">
        <v>9.7037603897089575</v>
      </c>
      <c r="P73" s="46">
        <v>9.435975307949354</v>
      </c>
      <c r="Q73" s="46">
        <v>9.2516395819175106</v>
      </c>
      <c r="R73" s="46">
        <v>10.6043548094603</v>
      </c>
      <c r="S73" s="46">
        <v>10.6673995636065</v>
      </c>
      <c r="T73" s="46">
        <v>10.732001173252501</v>
      </c>
      <c r="U73" s="46">
        <v>10.798198110701801</v>
      </c>
      <c r="V73" s="46">
        <v>10.8660297948596</v>
      </c>
      <c r="W73" s="46">
        <v>10.935536616854399</v>
      </c>
      <c r="X73" s="46">
        <v>11.006759962605001</v>
      </c>
      <c r="Y73" s="46">
        <v>11.079742239256101</v>
      </c>
      <c r="Z73" s="46">
        <v>11.154526902334201</v>
      </c>
      <c r="AA73" s="46">
        <v>11.2311257904034</v>
      </c>
      <c r="AB73" s="46">
        <v>11.309621200733799</v>
      </c>
      <c r="AC73" s="46">
        <v>11.3900603561419</v>
      </c>
      <c r="AD73" s="46">
        <v>11.472491675352201</v>
      </c>
      <c r="AE73" s="46">
        <v>11.5569648000664</v>
      </c>
      <c r="AF73" s="46">
        <v>11.6435306331609</v>
      </c>
      <c r="AG73" s="46">
        <v>11.732241372561599</v>
      </c>
      <c r="AH73" s="46">
        <v>11.8231505467745</v>
      </c>
      <c r="AI73" s="46">
        <v>11.9163130504629</v>
      </c>
      <c r="AJ73" s="46">
        <v>12.011785185920299</v>
      </c>
      <c r="AK73" s="46">
        <v>12.1096247025261</v>
      </c>
      <c r="AL73" s="46">
        <v>12.2098908348107</v>
      </c>
      <c r="AM73" s="46">
        <v>12.3126443505064</v>
      </c>
      <c r="AN73" s="46">
        <v>12.417947591597301</v>
      </c>
      <c r="AO73" s="46">
        <v>12.5258645217293</v>
      </c>
      <c r="AP73" s="46">
        <v>12.636460775247</v>
      </c>
      <c r="AQ73" s="46">
        <v>12.749803703504501</v>
      </c>
      <c r="AR73" s="46">
        <v>12.8659624331831</v>
      </c>
      <c r="AS73" s="46">
        <v>12.985007915282401</v>
      </c>
      <c r="AT73" s="46">
        <v>13.107012983790201</v>
      </c>
    </row>
    <row r="74" spans="6:46">
      <c r="F74" t="s">
        <v>46</v>
      </c>
      <c r="G74" s="46">
        <v>4.6611834502685596</v>
      </c>
      <c r="J74" t="s">
        <v>6</v>
      </c>
      <c r="K74" t="s">
        <v>161</v>
      </c>
      <c r="L74" t="s">
        <v>19</v>
      </c>
      <c r="M74" s="28" t="s">
        <v>20</v>
      </c>
      <c r="N74" s="45">
        <v>1.9556249526505201</v>
      </c>
      <c r="O74" s="46">
        <v>1.5498072549825794</v>
      </c>
      <c r="P74" s="46">
        <v>1.5053268122598555</v>
      </c>
      <c r="Q74" s="46">
        <v>1.4894503267095116</v>
      </c>
      <c r="R74" s="46">
        <v>1.0410295169864401</v>
      </c>
      <c r="S74" s="46">
        <v>1.0268975005260801</v>
      </c>
      <c r="T74" s="46">
        <v>1.0136280587395301</v>
      </c>
      <c r="U74" s="46">
        <v>1.0011741174269699</v>
      </c>
      <c r="V74" s="46">
        <v>0.98946802719486804</v>
      </c>
      <c r="W74" s="46">
        <v>0.97851389260134602</v>
      </c>
      <c r="X74" s="46">
        <v>0.96817292950682998</v>
      </c>
      <c r="Y74" s="46">
        <v>0.95829301017512603</v>
      </c>
      <c r="Z74" s="46">
        <v>0.94891013502188304</v>
      </c>
      <c r="AA74" s="46">
        <v>0.93995901525115499</v>
      </c>
      <c r="AB74" s="46">
        <v>0.93146307008219298</v>
      </c>
      <c r="AC74" s="46">
        <v>0.92337177940257198</v>
      </c>
      <c r="AD74" s="46">
        <v>0.91566292726805898</v>
      </c>
      <c r="AE74" s="46">
        <v>0.90840413726139602</v>
      </c>
      <c r="AF74" s="46">
        <v>0.90163209297057001</v>
      </c>
      <c r="AG74" s="46">
        <v>0.89538795586229403</v>
      </c>
      <c r="AH74" s="46">
        <v>0.88970072339962902</v>
      </c>
      <c r="AI74" s="46">
        <v>0.88464782396222197</v>
      </c>
      <c r="AJ74" s="46">
        <v>0.88027755628668003</v>
      </c>
      <c r="AK74" s="46">
        <v>0.87661714743544505</v>
      </c>
      <c r="AL74" s="46">
        <v>0.87372587651921196</v>
      </c>
      <c r="AM74" s="46">
        <v>0.871678474453906</v>
      </c>
      <c r="AN74" s="46">
        <v>0.87061329234646201</v>
      </c>
      <c r="AO74" s="46">
        <v>0.87057814456459504</v>
      </c>
      <c r="AP74" s="46">
        <v>0.87160473874632205</v>
      </c>
      <c r="AQ74" s="46">
        <v>0.87376144176959103</v>
      </c>
      <c r="AR74" s="46">
        <v>0.87709870967996795</v>
      </c>
      <c r="AS74" s="46">
        <v>0.88172610377615801</v>
      </c>
      <c r="AT74" s="46">
        <v>0.88766424801056598</v>
      </c>
    </row>
    <row r="75" spans="6:46">
      <c r="F75" t="s">
        <v>48</v>
      </c>
      <c r="G75" s="46">
        <v>13.161374650000001</v>
      </c>
      <c r="J75" t="s">
        <v>6</v>
      </c>
      <c r="K75" t="s">
        <v>161</v>
      </c>
      <c r="L75" t="s">
        <v>21</v>
      </c>
      <c r="M75" s="28" t="s">
        <v>22</v>
      </c>
      <c r="N75" s="45">
        <v>19.482476804508799</v>
      </c>
      <c r="O75" s="46">
        <v>17.613308735917627</v>
      </c>
      <c r="P75" s="46">
        <v>17.067480468046199</v>
      </c>
      <c r="Q75" s="46">
        <v>18.473544022536192</v>
      </c>
      <c r="R75" s="45">
        <v>17.814731247908266</v>
      </c>
      <c r="S75" s="46">
        <v>19.494109366820016</v>
      </c>
      <c r="T75" s="46">
        <v>20.265210851701845</v>
      </c>
      <c r="U75" s="46">
        <v>21.066813730045585</v>
      </c>
      <c r="V75" s="46">
        <v>21.900124503227982</v>
      </c>
      <c r="W75" s="46">
        <v>21.903403629125965</v>
      </c>
      <c r="X75" s="46">
        <v>21.906683246010498</v>
      </c>
      <c r="Y75" s="46">
        <v>21.909963353955103</v>
      </c>
      <c r="Z75" s="46">
        <v>21.913243953033305</v>
      </c>
      <c r="AA75" s="46">
        <v>21.916525043318639</v>
      </c>
      <c r="AB75" s="46">
        <v>22.110531640458859</v>
      </c>
      <c r="AC75" s="46">
        <v>22.306255597429594</v>
      </c>
      <c r="AD75" s="46">
        <v>22.503712116418974</v>
      </c>
      <c r="AE75" s="46">
        <v>22.702916534185945</v>
      </c>
      <c r="AF75" s="46">
        <v>22.903884323251511</v>
      </c>
      <c r="AG75" s="46">
        <v>23.057513384534978</v>
      </c>
      <c r="AH75" s="46">
        <v>23.212172921179643</v>
      </c>
      <c r="AI75" s="46">
        <v>23.367869845155557</v>
      </c>
      <c r="AJ75" s="46">
        <v>23.524611114795182</v>
      </c>
      <c r="AK75" s="46">
        <v>23.68240373510438</v>
      </c>
      <c r="AL75" s="46">
        <v>23.806316159658131</v>
      </c>
      <c r="AM75" s="46">
        <v>23.930876925872237</v>
      </c>
      <c r="AN75" s="46">
        <v>24.056089426036937</v>
      </c>
      <c r="AO75" s="46">
        <v>24.18195707019181</v>
      </c>
      <c r="AP75" s="46">
        <v>24.308483286218632</v>
      </c>
      <c r="AQ75" s="46">
        <v>24.436054231032401</v>
      </c>
      <c r="AR75" s="46">
        <v>24.564294668293275</v>
      </c>
      <c r="AS75" s="46">
        <v>24.69320811149829</v>
      </c>
      <c r="AT75" s="46">
        <v>24.822798092583323</v>
      </c>
    </row>
    <row r="76" spans="6:46">
      <c r="F76" t="s">
        <v>50</v>
      </c>
      <c r="G76" s="46">
        <v>0.23</v>
      </c>
      <c r="J76" t="s">
        <v>6</v>
      </c>
      <c r="K76" t="s">
        <v>161</v>
      </c>
      <c r="L76" t="s">
        <v>23</v>
      </c>
      <c r="M76" s="28" t="s">
        <v>24</v>
      </c>
      <c r="N76" s="45">
        <v>20.3153817696899</v>
      </c>
      <c r="O76" s="46">
        <v>20.746846228178715</v>
      </c>
      <c r="P76" s="46">
        <v>18.66727780331064</v>
      </c>
      <c r="Q76" s="46">
        <v>19.411458005544933</v>
      </c>
      <c r="R76" s="45">
        <v>17.19085534816012</v>
      </c>
      <c r="S76" s="46">
        <v>18.186023945506999</v>
      </c>
      <c r="T76" s="46">
        <v>18.278689472237598</v>
      </c>
      <c r="U76" s="46">
        <v>18.373693111883199</v>
      </c>
      <c r="V76" s="46">
        <v>18.471095819568198</v>
      </c>
      <c r="W76" s="46">
        <v>18.570960267466798</v>
      </c>
      <c r="X76" s="46">
        <v>18.673350891417002</v>
      </c>
      <c r="Y76" s="46">
        <v>18.778333987021998</v>
      </c>
      <c r="Z76" s="46">
        <v>18.885977786093299</v>
      </c>
      <c r="AA76" s="46">
        <v>18.9974247611427</v>
      </c>
      <c r="AB76" s="46">
        <v>19.111640916040798</v>
      </c>
      <c r="AC76" s="46">
        <v>19.228697712637999</v>
      </c>
      <c r="AD76" s="46">
        <v>19.3486686950076</v>
      </c>
      <c r="AE76" s="46">
        <v>19.471629567058098</v>
      </c>
      <c r="AF76" s="46">
        <v>19.597658281637901</v>
      </c>
      <c r="AG76" s="46">
        <v>19.726835155271502</v>
      </c>
      <c r="AH76" s="46">
        <v>19.859242953619699</v>
      </c>
      <c r="AI76" s="46">
        <v>19.994967022548</v>
      </c>
      <c r="AJ76" s="46">
        <v>20.134095389223202</v>
      </c>
      <c r="AK76" s="46">
        <v>20.276718915650601</v>
      </c>
      <c r="AL76" s="46">
        <v>20.422931438425099</v>
      </c>
      <c r="AM76" s="46">
        <v>20.572829906585099</v>
      </c>
      <c r="AN76" s="46">
        <v>20.726514576720799</v>
      </c>
      <c r="AO76" s="46">
        <v>20.884089183472401</v>
      </c>
      <c r="AP76" s="46">
        <v>21.045661133700101</v>
      </c>
      <c r="AQ76" s="46">
        <v>21.211341747524401</v>
      </c>
      <c r="AR76" s="46">
        <v>21.3812464803915</v>
      </c>
      <c r="AS76" s="46">
        <v>21.555495197365399</v>
      </c>
      <c r="AT76" s="46">
        <v>21.7342124559874</v>
      </c>
    </row>
    <row r="77" spans="6:46">
      <c r="F77" t="s">
        <v>52</v>
      </c>
      <c r="G77" s="46">
        <v>48.192396850000002</v>
      </c>
      <c r="J77" t="s">
        <v>6</v>
      </c>
      <c r="K77" t="s">
        <v>161</v>
      </c>
      <c r="L77" t="s">
        <v>25</v>
      </c>
      <c r="M77" s="28" t="s">
        <v>26</v>
      </c>
      <c r="N77" s="45">
        <v>1.4729468330623701</v>
      </c>
      <c r="O77" s="46">
        <v>1.4943226387301358</v>
      </c>
      <c r="P77" s="46">
        <v>1.4634791461847667</v>
      </c>
      <c r="Q77" s="46">
        <v>1.4446377495642824</v>
      </c>
      <c r="R77" s="46">
        <v>2.2584342466232901</v>
      </c>
      <c r="S77" s="46">
        <v>2.2440383485186102</v>
      </c>
      <c r="T77" s="46">
        <v>2.2292869402784299</v>
      </c>
      <c r="U77" s="46">
        <v>2.2141712863233001</v>
      </c>
      <c r="V77" s="46">
        <v>2.1986822220428399</v>
      </c>
      <c r="W77" s="46">
        <v>2.18281056279984</v>
      </c>
      <c r="X77" s="46">
        <v>2.1665466359489498</v>
      </c>
      <c r="Y77" s="46">
        <v>2.1498806864914299</v>
      </c>
      <c r="Z77" s="46">
        <v>2.1328027010175301</v>
      </c>
      <c r="AA77" s="46">
        <v>2.1153100593115699</v>
      </c>
      <c r="AB77" s="46">
        <v>2.0973839785641601</v>
      </c>
      <c r="AC77" s="46">
        <v>2.0790137032465301</v>
      </c>
      <c r="AD77" s="46">
        <v>2.0601879302496702</v>
      </c>
      <c r="AE77" s="46">
        <v>2.0408952907455502</v>
      </c>
      <c r="AF77" s="46">
        <v>2.0211240941678401</v>
      </c>
      <c r="AG77" s="46">
        <v>2.0008621733278402</v>
      </c>
      <c r="AH77" s="46">
        <v>1.98009726556077</v>
      </c>
      <c r="AI77" s="46">
        <v>1.9588167649709201</v>
      </c>
      <c r="AJ77" s="46">
        <v>1.9370068802203699</v>
      </c>
      <c r="AK77" s="46">
        <v>1.9146550132369899</v>
      </c>
      <c r="AL77" s="46">
        <v>1.8917470801090901</v>
      </c>
      <c r="AM77" s="46">
        <v>1.86826969597866</v>
      </c>
      <c r="AN77" s="46">
        <v>1.84420680235752</v>
      </c>
      <c r="AO77" s="46">
        <v>1.81954394783379</v>
      </c>
      <c r="AP77" s="46">
        <v>1.7942674117666799</v>
      </c>
      <c r="AQ77" s="46">
        <v>1.7683592712790901</v>
      </c>
      <c r="AR77" s="46">
        <v>1.74180408351433</v>
      </c>
      <c r="AS77" s="46">
        <v>1.71458476976422</v>
      </c>
      <c r="AT77" s="46">
        <v>1.6866850940022</v>
      </c>
    </row>
    <row r="78" spans="6:46">
      <c r="F78" s="28" t="s">
        <v>54</v>
      </c>
      <c r="G78" s="46">
        <v>265.47273899323898</v>
      </c>
      <c r="J78" t="s">
        <v>6</v>
      </c>
      <c r="K78" t="s">
        <v>161</v>
      </c>
      <c r="L78" t="s">
        <v>27</v>
      </c>
      <c r="M78" s="28" t="s">
        <v>28</v>
      </c>
      <c r="N78" s="45">
        <v>4.65085642477431</v>
      </c>
      <c r="O78" s="46">
        <v>5.007589393109674</v>
      </c>
      <c r="P78" s="46">
        <v>4.7554316434518897</v>
      </c>
      <c r="Q78" s="46">
        <v>4.7269471440454405</v>
      </c>
      <c r="R78" s="46">
        <v>6.2862087424890802</v>
      </c>
      <c r="S78" s="46">
        <v>6.5400995969117703</v>
      </c>
      <c r="T78" s="46">
        <v>6.80026034650888</v>
      </c>
      <c r="U78" s="46">
        <v>7.06684505486934</v>
      </c>
      <c r="V78" s="46">
        <v>7.3400153521151399</v>
      </c>
      <c r="W78" s="46">
        <v>7.6199332215672202</v>
      </c>
      <c r="X78" s="46">
        <v>7.9067692532211096</v>
      </c>
      <c r="Y78" s="46">
        <v>8.20069548948406</v>
      </c>
      <c r="Z78" s="46">
        <v>8.5018885301861395</v>
      </c>
      <c r="AA78" s="46">
        <v>8.8103945863239996</v>
      </c>
      <c r="AB78" s="46">
        <v>9.1265449177806008</v>
      </c>
      <c r="AC78" s="46">
        <v>9.4505292126441294</v>
      </c>
      <c r="AD78" s="46">
        <v>9.7825468163104592</v>
      </c>
      <c r="AE78" s="46">
        <v>10.122798233217701</v>
      </c>
      <c r="AF78" s="46">
        <v>10.4714896420878</v>
      </c>
      <c r="AG78" s="46">
        <v>10.8288356275142</v>
      </c>
      <c r="AH78" s="46">
        <v>11.1950524579371</v>
      </c>
      <c r="AI78" s="46">
        <v>11.5703624551331</v>
      </c>
      <c r="AJ78" s="46">
        <v>11.9550088477313</v>
      </c>
      <c r="AK78" s="46">
        <v>12.349213819528501</v>
      </c>
      <c r="AL78" s="46">
        <v>12.753225759083101</v>
      </c>
      <c r="AM78" s="46">
        <v>13.1672807262091</v>
      </c>
      <c r="AN78" s="46">
        <v>13.5916619337538</v>
      </c>
      <c r="AO78" s="46">
        <v>14.0266242516308</v>
      </c>
      <c r="AP78" s="46">
        <v>14.4724096616316</v>
      </c>
      <c r="AQ78" s="46">
        <v>14.9293342575869</v>
      </c>
      <c r="AR78" s="46">
        <v>15.397670394861899</v>
      </c>
      <c r="AS78" s="46">
        <v>15.8777192792428</v>
      </c>
      <c r="AT78" s="46">
        <v>16.369767254702801</v>
      </c>
    </row>
    <row r="79" spans="6:46">
      <c r="F79" s="28" t="s">
        <v>56</v>
      </c>
      <c r="G79" s="46">
        <v>837.71211748108306</v>
      </c>
      <c r="J79" t="s">
        <v>6</v>
      </c>
      <c r="K79" t="s">
        <v>161</v>
      </c>
      <c r="L79" t="s">
        <v>29</v>
      </c>
      <c r="M79" s="28" t="s">
        <v>30</v>
      </c>
      <c r="N79" s="45">
        <v>0.1947788154134</v>
      </c>
      <c r="O79" s="46">
        <v>0.26558264395501924</v>
      </c>
      <c r="P79" s="46">
        <v>0.2542796677646712</v>
      </c>
      <c r="Q79" s="46">
        <v>0.25565928356184919</v>
      </c>
      <c r="R79" s="46">
        <v>0.187409320968947</v>
      </c>
      <c r="S79" s="46">
        <v>0.183760340162684</v>
      </c>
      <c r="T79" s="46">
        <v>0.180020695810443</v>
      </c>
      <c r="U79" s="46">
        <v>0.176188162290734</v>
      </c>
      <c r="V79" s="46">
        <v>0.172260396740049</v>
      </c>
      <c r="W79" s="46">
        <v>0.16823499128140601</v>
      </c>
      <c r="X79" s="46">
        <v>0.16410947762331099</v>
      </c>
      <c r="Y79" s="46">
        <v>0.159881376453122</v>
      </c>
      <c r="Z79" s="46">
        <v>0.155548066302856</v>
      </c>
      <c r="AA79" s="46">
        <v>0.151102458553911</v>
      </c>
      <c r="AB79" s="46">
        <v>0.14654642303453499</v>
      </c>
      <c r="AC79" s="46">
        <v>0.141877166116048</v>
      </c>
      <c r="AD79" s="46">
        <v>0.137091861523011</v>
      </c>
      <c r="AE79" s="46">
        <v>0.132187568383999</v>
      </c>
      <c r="AF79" s="46">
        <v>0.12716128070673</v>
      </c>
      <c r="AG79" s="46">
        <v>0.122009932493332</v>
      </c>
      <c r="AH79" s="46">
        <v>0.116730402710794</v>
      </c>
      <c r="AI79" s="46">
        <v>0.111319395674383</v>
      </c>
      <c r="AJ79" s="46">
        <v>0.10577357413291499</v>
      </c>
      <c r="AK79" s="46">
        <v>0.10008956374365301</v>
      </c>
      <c r="AL79" s="46">
        <v>9.4263835909375995E-2</v>
      </c>
      <c r="AM79" s="46">
        <v>8.8292756993632301E-2</v>
      </c>
      <c r="AN79" s="46">
        <v>8.2172675242513593E-2</v>
      </c>
      <c r="AO79" s="46">
        <v>7.5899726894954E-2</v>
      </c>
      <c r="AP79" s="46">
        <v>6.9470043902089093E-2</v>
      </c>
      <c r="AQ79" s="46">
        <v>6.2879562802237499E-2</v>
      </c>
      <c r="AR79" s="46">
        <v>5.6124190249462698E-2</v>
      </c>
      <c r="AS79" s="46">
        <v>4.9199654456357898E-2</v>
      </c>
      <c r="AT79" s="46">
        <v>4.2101591794206403E-2</v>
      </c>
    </row>
    <row r="80" spans="6:46">
      <c r="F80" s="28" t="s">
        <v>58</v>
      </c>
      <c r="G80" s="46">
        <v>777.95194352567796</v>
      </c>
      <c r="J80" t="s">
        <v>6</v>
      </c>
      <c r="K80" t="s">
        <v>161</v>
      </c>
      <c r="L80" t="s">
        <v>31</v>
      </c>
      <c r="M80" s="28" t="s">
        <v>32</v>
      </c>
      <c r="N80" s="45">
        <v>4.6984287524850101</v>
      </c>
      <c r="O80" s="46">
        <v>4.3090308460490396</v>
      </c>
      <c r="P80" s="46">
        <v>4.2602225832464828</v>
      </c>
      <c r="Q80" s="46">
        <v>4.1432118323518896</v>
      </c>
      <c r="R80" s="46">
        <v>4.6924479738735299</v>
      </c>
      <c r="S80" s="46">
        <v>4.7901185272083104</v>
      </c>
      <c r="T80" s="46">
        <v>4.8829228192853602</v>
      </c>
      <c r="U80" s="46">
        <v>4.9711499271716901</v>
      </c>
      <c r="V80" s="46">
        <v>5.0552149707402201</v>
      </c>
      <c r="W80" s="46">
        <v>5.1350981335844903</v>
      </c>
      <c r="X80" s="46">
        <v>5.2116410128509898</v>
      </c>
      <c r="Y80" s="46">
        <v>5.28576383279011</v>
      </c>
      <c r="Z80" s="46">
        <v>5.3572580748783203</v>
      </c>
      <c r="AA80" s="46">
        <v>5.4265836170263899</v>
      </c>
      <c r="AB80" s="46">
        <v>5.4935445318690403</v>
      </c>
      <c r="AC80" s="46">
        <v>5.5584520588616799</v>
      </c>
      <c r="AD80" s="46">
        <v>5.6214471437282398</v>
      </c>
      <c r="AE80" s="46">
        <v>5.6821326145758499</v>
      </c>
      <c r="AF80" s="46">
        <v>5.7402950823595598</v>
      </c>
      <c r="AG80" s="46">
        <v>5.7956952167198796</v>
      </c>
      <c r="AH80" s="46">
        <v>5.8481657572732599</v>
      </c>
      <c r="AI80" s="46">
        <v>5.8972542057881201</v>
      </c>
      <c r="AJ80" s="46">
        <v>5.9426773610342796</v>
      </c>
      <c r="AK80" s="46">
        <v>5.9842736265587799</v>
      </c>
      <c r="AL80" s="46">
        <v>6.0216974894712001</v>
      </c>
      <c r="AM80" s="46">
        <v>6.0545109941189699</v>
      </c>
      <c r="AN80" s="46">
        <v>6.0818857495341696</v>
      </c>
      <c r="AO80" s="46">
        <v>6.1035439649586296</v>
      </c>
      <c r="AP80" s="46">
        <v>6.1193038824130799</v>
      </c>
      <c r="AQ80" s="46">
        <v>6.1287591141733397</v>
      </c>
      <c r="AR80" s="46">
        <v>6.1316061110561701</v>
      </c>
      <c r="AS80" s="46">
        <v>6.1271988867674398</v>
      </c>
      <c r="AT80" s="46">
        <v>6.1154162083419301</v>
      </c>
    </row>
    <row r="81" spans="6:46">
      <c r="F81" s="28" t="s">
        <v>136</v>
      </c>
      <c r="G81" s="46">
        <v>31.598021694557708</v>
      </c>
      <c r="J81" t="s">
        <v>6</v>
      </c>
      <c r="K81" t="s">
        <v>161</v>
      </c>
      <c r="L81" t="s">
        <v>33</v>
      </c>
      <c r="M81" s="28" t="s">
        <v>34</v>
      </c>
      <c r="N81" s="45">
        <v>1.9571195447376</v>
      </c>
      <c r="O81" s="46">
        <v>2.1699504611733866</v>
      </c>
      <c r="P81" s="46">
        <v>1.9706387130131231</v>
      </c>
      <c r="Q81" s="46">
        <v>1.9076981609625141</v>
      </c>
      <c r="R81" s="46">
        <v>3.6347440465271599</v>
      </c>
      <c r="S81" s="46">
        <v>3.6916038137219598</v>
      </c>
      <c r="T81" s="46">
        <v>3.7498762646317298</v>
      </c>
      <c r="U81" s="46">
        <v>3.8095966725724399</v>
      </c>
      <c r="V81" s="46">
        <v>3.87080120517194</v>
      </c>
      <c r="W81" s="46">
        <v>3.9335269498690502</v>
      </c>
      <c r="X81" s="46">
        <v>3.99781193956562</v>
      </c>
      <c r="Y81" s="46">
        <v>4.0636951786608897</v>
      </c>
      <c r="Z81" s="46">
        <v>4.1312166725908099</v>
      </c>
      <c r="AA81" s="46">
        <v>4.2004619284425901</v>
      </c>
      <c r="AB81" s="46">
        <v>4.2714281477145999</v>
      </c>
      <c r="AC81" s="46">
        <v>4.34415864415723</v>
      </c>
      <c r="AD81" s="46">
        <v>4.4186978527861198</v>
      </c>
      <c r="AE81" s="46">
        <v>4.4950913648886699</v>
      </c>
      <c r="AF81" s="46">
        <v>4.5733859614187704</v>
      </c>
      <c r="AG81" s="46">
        <v>4.6536296502986696</v>
      </c>
      <c r="AH81" s="46">
        <v>4.7358717002425896</v>
      </c>
      <c r="AI81" s="46">
        <v>4.8201626793407</v>
      </c>
      <c r="AJ81" s="46">
        <v>4.9065544953786002</v>
      </c>
      <c r="AK81" s="46">
        <v>4.9951004377148998</v>
      </c>
      <c r="AL81" s="46">
        <v>5.0858552152583103</v>
      </c>
      <c r="AM81" s="46">
        <v>5.1788750090331401</v>
      </c>
      <c r="AN81" s="46">
        <v>5.2742175124200301</v>
      </c>
      <c r="AO81" s="46">
        <v>5.3719419803036397</v>
      </c>
      <c r="AP81" s="46">
        <v>5.47210928142293</v>
      </c>
      <c r="AQ81" s="46">
        <v>5.5747819561854302</v>
      </c>
      <c r="AR81" s="46">
        <v>5.68002426189347</v>
      </c>
      <c r="AS81" s="46">
        <v>5.7879022434721996</v>
      </c>
      <c r="AT81" s="46">
        <v>5.8984837835342203</v>
      </c>
    </row>
    <row r="82" spans="6:46">
      <c r="F82" s="28" t="s">
        <v>138</v>
      </c>
      <c r="G82" s="46">
        <v>63.576742445676345</v>
      </c>
    </row>
    <row r="83" spans="6:46">
      <c r="F83" s="28" t="s">
        <v>140</v>
      </c>
      <c r="G83" s="45">
        <v>18.9072</v>
      </c>
    </row>
    <row r="84" spans="6:46">
      <c r="F84" s="28" t="s">
        <v>142</v>
      </c>
      <c r="G84" s="46"/>
    </row>
    <row r="85" spans="6:46">
      <c r="F85" t="s">
        <v>162</v>
      </c>
      <c r="G85" s="46">
        <v>1.2514826903039997</v>
      </c>
    </row>
    <row r="86" spans="6:46">
      <c r="F86" t="s">
        <v>163</v>
      </c>
      <c r="G86" s="46">
        <v>2.1688410728944572</v>
      </c>
    </row>
    <row r="87" spans="6:46">
      <c r="F87" t="s">
        <v>164</v>
      </c>
      <c r="G87" s="46">
        <v>0.855061326756</v>
      </c>
    </row>
    <row r="88" spans="6:46">
      <c r="F88" t="s">
        <v>165</v>
      </c>
      <c r="G88" s="46">
        <v>1.1400844778449895</v>
      </c>
    </row>
    <row r="89" spans="6:46">
      <c r="F89" t="s">
        <v>166</v>
      </c>
      <c r="G89" s="46">
        <v>0.92012420525760008</v>
      </c>
    </row>
    <row r="90" spans="6:46">
      <c r="F90" t="s">
        <v>167</v>
      </c>
      <c r="G90" s="46">
        <v>9.9915791233568569</v>
      </c>
    </row>
    <row r="91" spans="6:46">
      <c r="F91" t="s">
        <v>168</v>
      </c>
      <c r="G91"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topLeftCell="A4" workbookViewId="0">
      <selection activeCell="G31" sqref="G31"/>
    </sheetView>
  </sheetViews>
  <sheetFormatPr defaultColWidth="9.1796875" defaultRowHeight="14.5"/>
  <cols>
    <col min="1" max="1" width="12.1796875" customWidth="1"/>
    <col min="2" max="2" width="11.5429687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54296875" bestFit="1" customWidth="1"/>
    <col min="8" max="8" width="5.81640625" bestFit="1" customWidth="1"/>
    <col min="9" max="9" width="5.453125" bestFit="1" customWidth="1"/>
    <col min="10" max="11" width="5.54296875" bestFit="1" customWidth="1"/>
    <col min="12" max="12" width="6.54296875" bestFit="1" customWidth="1"/>
    <col min="13" max="13" width="6.1796875" bestFit="1" customWidth="1"/>
    <col min="14" max="15" width="6.54296875" bestFit="1" customWidth="1"/>
    <col min="16" max="16" width="7.453125" bestFit="1" customWidth="1"/>
    <col min="17" max="17" width="5.54296875" bestFit="1" customWidth="1"/>
    <col min="18" max="18" width="6.1796875" bestFit="1" customWidth="1"/>
    <col min="19" max="20" width="5.54296875" bestFit="1" customWidth="1"/>
    <col min="21" max="21" width="5.81640625" bestFit="1" customWidth="1"/>
    <col min="22" max="22" width="6.54296875" bestFit="1" customWidth="1"/>
    <col min="23" max="23" width="4.81640625" bestFit="1" customWidth="1"/>
    <col min="24" max="24" width="7.54296875" customWidth="1"/>
    <col min="25" max="25" width="6.54296875" bestFit="1" customWidth="1"/>
    <col min="26" max="26" width="6.1796875" bestFit="1" customWidth="1"/>
    <col min="27" max="28" width="6" bestFit="1" customWidth="1"/>
    <col min="29" max="29" width="5.54296875" bestFit="1" customWidth="1"/>
    <col min="30" max="30" width="6.54296875" bestFit="1" customWidth="1"/>
  </cols>
  <sheetData>
    <row r="3" spans="1:30">
      <c r="C3" s="4" t="str" cm="1">
        <f t="array" ref="C3">INDEX(C5:C7,$A$4)</f>
        <v>IE</v>
      </c>
      <c r="D3" s="4" t="str" cm="1">
        <f t="array" ref="D3">INDEX(D5:D7,$A$4)</f>
        <v>National</v>
      </c>
      <c r="E3" s="4" t="str" cm="1">
        <f t="array" ref="E3">INDEX(E5:E7,$A$4)</f>
        <v>IE-CW</v>
      </c>
      <c r="F3" s="4" t="str" cm="1">
        <f t="array" ref="F3">INDEX(F5:F7,$A$4)</f>
        <v>IE-D</v>
      </c>
      <c r="G3" s="4" t="str" cm="1">
        <f t="array" ref="G3">INDEX(G5:G7,$A$4)</f>
        <v>IE-KE</v>
      </c>
      <c r="H3" s="4" t="str" cm="1">
        <f t="array" ref="H3">INDEX(H5:H7,$A$4)</f>
        <v>IE-KK</v>
      </c>
      <c r="I3" s="4" t="str" cm="1">
        <f t="array" ref="I3">INDEX(I5:I7,$A$4)</f>
        <v>IE-LS</v>
      </c>
      <c r="J3" s="4" t="str" cm="1">
        <f t="array" ref="J3">INDEX(J5:J7,$A$4)</f>
        <v>IE-LD</v>
      </c>
      <c r="K3" s="4" t="str" cm="1">
        <f t="array" ref="K3">INDEX(K5:K7,$A$4)</f>
        <v>IE-LH</v>
      </c>
      <c r="L3" s="4" t="str" cm="1">
        <f t="array" ref="L3">INDEX(L5:L7,$A$4)</f>
        <v>IE-MH</v>
      </c>
      <c r="M3" s="4" t="str" cm="1">
        <f t="array" ref="M3">INDEX(M5:M7,$A$4)</f>
        <v>IE-OY</v>
      </c>
      <c r="N3" s="4" t="str" cm="1">
        <f t="array" ref="N3">INDEX(N5:N7,$A$4)</f>
        <v>IE-WH</v>
      </c>
      <c r="O3" s="4" t="str" cm="1">
        <f t="array" ref="O3">INDEX(O5:O7,$A$4)</f>
        <v>IE-WX</v>
      </c>
      <c r="P3" s="4" t="str" cm="1">
        <f t="array" ref="P3">INDEX(P5:P7,$A$4)</f>
        <v>IE-WW</v>
      </c>
      <c r="Q3" s="4" t="str" cm="1">
        <f t="array" ref="Q3">INDEX(Q5:Q7,$A$4)</f>
        <v>IE-CE</v>
      </c>
      <c r="R3" s="4" t="str" cm="1">
        <f t="array" ref="R3">INDEX(R5:R7,$A$4)</f>
        <v>IE-CO</v>
      </c>
      <c r="S3" s="4" t="str" cm="1">
        <f t="array" ref="S3">INDEX(S5:S7,$A$4)</f>
        <v>IE-KY</v>
      </c>
      <c r="T3" s="4" t="str" cm="1">
        <f t="array" ref="T3">INDEX(T5:T7,$A$4)</f>
        <v>IE-LK</v>
      </c>
      <c r="U3" s="4" t="str" cm="1">
        <f t="array" ref="U3">INDEX(U5:U7,$A$4)</f>
        <v>IE-TA</v>
      </c>
      <c r="V3" s="4" t="str" cm="1">
        <f t="array" ref="V3">INDEX(V5:V7,$A$4)</f>
        <v>IE-WD</v>
      </c>
      <c r="W3" s="4" t="str" cm="1">
        <f t="array" ref="W3">INDEX(W5:W7,$A$4)</f>
        <v>IE-G</v>
      </c>
      <c r="X3" s="4" t="str" cm="1">
        <f t="array" ref="X3">INDEX(X5:X7,$A$4)</f>
        <v>IE-LM</v>
      </c>
      <c r="Y3" s="4" t="str" cm="1">
        <f t="array" ref="Y3">INDEX(Y5:Y7,$A$4)</f>
        <v>IE-MO</v>
      </c>
      <c r="Z3" s="4" t="str" cm="1">
        <f t="array" ref="Z3">INDEX(Z5:Z7,$A$4)</f>
        <v>IE-RN</v>
      </c>
      <c r="AA3" s="4" t="str" cm="1">
        <f t="array" ref="AA3">INDEX(AA5:AA7,$A$4)</f>
        <v>IE-SO</v>
      </c>
      <c r="AB3" s="4" t="str" cm="1">
        <f t="array" ref="AB3">INDEX(AB5:AB7,$A$4)</f>
        <v>IE-CN</v>
      </c>
      <c r="AC3" s="4" t="str" cm="1">
        <f t="array" ref="AC3">INDEX(AC5:AC7,$A$4)</f>
        <v>IE-DL</v>
      </c>
      <c r="AD3" s="4" t="str" cm="1">
        <f t="array" ref="AD3">INDEX(AD5:AD7,$A$4)</f>
        <v>IE-MN</v>
      </c>
    </row>
    <row r="4" spans="1:30">
      <c r="A4">
        <v>1</v>
      </c>
    </row>
    <row r="5" spans="1:30">
      <c r="A5" t="s">
        <v>60</v>
      </c>
      <c r="C5" s="5" t="s">
        <v>61</v>
      </c>
      <c r="D5" s="5" t="s">
        <v>62</v>
      </c>
      <c r="E5" s="4" t="str">
        <f>Regions!A11</f>
        <v>IE-CW</v>
      </c>
      <c r="F5" s="4" t="str">
        <f>Regions!A16</f>
        <v>IE-D</v>
      </c>
      <c r="G5" s="4" t="str">
        <f>Regions!A19</f>
        <v>IE-KE</v>
      </c>
      <c r="H5" s="4" t="str">
        <f>Regions!A20</f>
        <v>IE-KK</v>
      </c>
      <c r="I5" s="4" t="str">
        <f>Regions!A21</f>
        <v>IE-LS</v>
      </c>
      <c r="J5" s="4" t="str">
        <f>Regions!A24</f>
        <v>IE-LD</v>
      </c>
      <c r="K5" s="4" t="str">
        <f>Regions!A25</f>
        <v>IE-LH</v>
      </c>
      <c r="L5" s="4" t="str">
        <f>Regions!A27</f>
        <v>IE-MH</v>
      </c>
      <c r="M5" s="4" t="str">
        <f>Regions!A29</f>
        <v>IE-OY</v>
      </c>
      <c r="N5" s="4" t="str">
        <f>Regions!A34</f>
        <v>IE-WH</v>
      </c>
      <c r="O5" s="4" t="str">
        <f>Regions!A35</f>
        <v>IE-WX</v>
      </c>
      <c r="P5" s="4" t="str">
        <f>Regions!A36</f>
        <v>IE-WW</v>
      </c>
      <c r="Q5" s="4" t="str">
        <f>Regions!A13</f>
        <v>IE-CE</v>
      </c>
      <c r="R5" s="4" t="str">
        <f>Regions!A14</f>
        <v>IE-CO</v>
      </c>
      <c r="S5" s="4" t="str">
        <f>Regions!A18</f>
        <v>IE-KY</v>
      </c>
      <c r="T5" s="4" t="str">
        <f>Regions!A23</f>
        <v>IE-LK</v>
      </c>
      <c r="U5" s="4" t="str">
        <f>Regions!A32</f>
        <v>IE-TA</v>
      </c>
      <c r="V5" s="4" t="str">
        <f>Regions!A33</f>
        <v>IE-WD</v>
      </c>
      <c r="W5" s="4" t="str">
        <f>Regions!A17</f>
        <v>IE-G</v>
      </c>
      <c r="X5" s="4" t="str">
        <f>Regions!A22</f>
        <v>IE-LM</v>
      </c>
      <c r="Y5" s="4" t="str">
        <f>Regions!A26</f>
        <v>IE-MO</v>
      </c>
      <c r="Z5" s="4" t="str">
        <f>Regions!A30</f>
        <v>IE-RN</v>
      </c>
      <c r="AA5" s="4" t="str">
        <f>Regions!A31</f>
        <v>IE-SO</v>
      </c>
      <c r="AB5" s="4" t="str">
        <f>Regions!A12</f>
        <v>IE-CN</v>
      </c>
      <c r="AC5" s="4" t="str">
        <f>Regions!A15</f>
        <v>IE-DL</v>
      </c>
      <c r="AD5" s="4" t="str">
        <f>Regions!A28</f>
        <v>IE-MN</v>
      </c>
    </row>
    <row r="6" spans="1:30">
      <c r="A6" t="s">
        <v>63</v>
      </c>
      <c r="C6" s="4" t="str">
        <f>C5</f>
        <v>IE</v>
      </c>
      <c r="D6" s="4" t="str">
        <f>"*"&amp;D5</f>
        <v>*National</v>
      </c>
      <c r="E6" s="4" t="str">
        <f t="shared" ref="E6:AD6" si="0">"*"&amp;E5</f>
        <v>*IE-CW</v>
      </c>
      <c r="F6" s="4" t="str">
        <f t="shared" si="0"/>
        <v>*IE-D</v>
      </c>
      <c r="G6" s="4" t="str">
        <f t="shared" si="0"/>
        <v>*IE-KE</v>
      </c>
      <c r="H6" s="4" t="str">
        <f t="shared" si="0"/>
        <v>*IE-KK</v>
      </c>
      <c r="I6" s="4" t="str">
        <f t="shared" si="0"/>
        <v>*IE-LS</v>
      </c>
      <c r="J6" s="4" t="str">
        <f t="shared" si="0"/>
        <v>*IE-LD</v>
      </c>
      <c r="K6" s="4" t="str">
        <f t="shared" si="0"/>
        <v>*IE-LH</v>
      </c>
      <c r="L6" s="4" t="str">
        <f t="shared" si="0"/>
        <v>*IE-MH</v>
      </c>
      <c r="M6" s="4" t="str">
        <f t="shared" si="0"/>
        <v>*IE-OY</v>
      </c>
      <c r="N6" s="4" t="str">
        <f t="shared" si="0"/>
        <v>*IE-WH</v>
      </c>
      <c r="O6" s="4" t="str">
        <f t="shared" si="0"/>
        <v>*IE-WX</v>
      </c>
      <c r="P6" s="4" t="str">
        <f t="shared" si="0"/>
        <v>*IE-WW</v>
      </c>
      <c r="Q6" s="4" t="str">
        <f t="shared" si="0"/>
        <v>*IE-CE</v>
      </c>
      <c r="R6" s="4" t="str">
        <f t="shared" si="0"/>
        <v>*IE-CO</v>
      </c>
      <c r="S6" s="4" t="str">
        <f t="shared" si="0"/>
        <v>*IE-KY</v>
      </c>
      <c r="T6" s="4" t="str">
        <f t="shared" si="0"/>
        <v>*IE-LK</v>
      </c>
      <c r="U6" s="4" t="str">
        <f t="shared" si="0"/>
        <v>*IE-TA</v>
      </c>
      <c r="V6" s="4" t="str">
        <f t="shared" si="0"/>
        <v>*IE-WD</v>
      </c>
      <c r="W6" s="4" t="str">
        <f t="shared" si="0"/>
        <v>*IE-G</v>
      </c>
      <c r="X6" s="4" t="str">
        <f t="shared" si="0"/>
        <v>*IE-LM</v>
      </c>
      <c r="Y6" s="4" t="str">
        <f t="shared" si="0"/>
        <v>*IE-MO</v>
      </c>
      <c r="Z6" s="4" t="str">
        <f t="shared" si="0"/>
        <v>*IE-RN</v>
      </c>
      <c r="AA6" s="4" t="str">
        <f t="shared" si="0"/>
        <v>*IE-SO</v>
      </c>
      <c r="AB6" s="4" t="str">
        <f t="shared" si="0"/>
        <v>*IE-CN</v>
      </c>
      <c r="AC6" s="4" t="str">
        <f t="shared" si="0"/>
        <v>*IE-DL</v>
      </c>
      <c r="AD6" s="4" t="str">
        <f t="shared" si="0"/>
        <v>*IE-MN</v>
      </c>
    </row>
    <row r="7" spans="1:30">
      <c r="A7" t="s">
        <v>64</v>
      </c>
      <c r="C7" s="4" t="str">
        <f>"*"&amp;C5</f>
        <v>*IE</v>
      </c>
      <c r="D7" s="4" t="str">
        <f>D5</f>
        <v>National</v>
      </c>
      <c r="E7" s="4" t="str">
        <f t="shared" ref="E7:AD7" si="1">E5</f>
        <v>IE-CW</v>
      </c>
      <c r="F7" s="4" t="str">
        <f t="shared" si="1"/>
        <v>IE-D</v>
      </c>
      <c r="G7" s="4" t="str">
        <f t="shared" si="1"/>
        <v>IE-KE</v>
      </c>
      <c r="H7" s="4" t="str">
        <f t="shared" si="1"/>
        <v>IE-KK</v>
      </c>
      <c r="I7" s="4" t="str">
        <f t="shared" si="1"/>
        <v>IE-LS</v>
      </c>
      <c r="J7" s="4" t="str">
        <f t="shared" si="1"/>
        <v>IE-LD</v>
      </c>
      <c r="K7" s="4" t="str">
        <f t="shared" si="1"/>
        <v>IE-LH</v>
      </c>
      <c r="L7" s="4" t="str">
        <f t="shared" si="1"/>
        <v>IE-MH</v>
      </c>
      <c r="M7" s="4" t="str">
        <f t="shared" si="1"/>
        <v>IE-OY</v>
      </c>
      <c r="N7" s="4" t="str">
        <f t="shared" si="1"/>
        <v>IE-WH</v>
      </c>
      <c r="O7" s="4" t="str">
        <f t="shared" si="1"/>
        <v>IE-WX</v>
      </c>
      <c r="P7" s="4" t="str">
        <f t="shared" si="1"/>
        <v>IE-WW</v>
      </c>
      <c r="Q7" s="4" t="str">
        <f t="shared" si="1"/>
        <v>IE-CE</v>
      </c>
      <c r="R7" s="4" t="str">
        <f t="shared" si="1"/>
        <v>IE-CO</v>
      </c>
      <c r="S7" s="4" t="str">
        <f t="shared" si="1"/>
        <v>IE-KY</v>
      </c>
      <c r="T7" s="4" t="str">
        <f t="shared" si="1"/>
        <v>IE-LK</v>
      </c>
      <c r="U7" s="4" t="str">
        <f t="shared" si="1"/>
        <v>IE-TA</v>
      </c>
      <c r="V7" s="4" t="str">
        <f t="shared" si="1"/>
        <v>IE-WD</v>
      </c>
      <c r="W7" s="4" t="str">
        <f t="shared" si="1"/>
        <v>IE-G</v>
      </c>
      <c r="X7" s="4" t="str">
        <f t="shared" si="1"/>
        <v>IE-LM</v>
      </c>
      <c r="Y7" s="4" t="str">
        <f t="shared" si="1"/>
        <v>IE-MO</v>
      </c>
      <c r="Z7" s="4" t="str">
        <f t="shared" si="1"/>
        <v>IE-RN</v>
      </c>
      <c r="AA7" s="4" t="str">
        <f t="shared" si="1"/>
        <v>IE-SO</v>
      </c>
      <c r="AB7" s="4" t="str">
        <f t="shared" si="1"/>
        <v>IE-CN</v>
      </c>
      <c r="AC7" s="4" t="str">
        <f t="shared" si="1"/>
        <v>IE-DL</v>
      </c>
      <c r="AD7" s="4" t="str">
        <f t="shared" si="1"/>
        <v>IE-MN</v>
      </c>
    </row>
    <row r="10" spans="1:30" ht="15" thickBot="1">
      <c r="A10" s="6" t="s">
        <v>65</v>
      </c>
      <c r="B10" s="6" t="s">
        <v>66</v>
      </c>
    </row>
    <row r="11" spans="1:30">
      <c r="A11" s="7" t="s">
        <v>67</v>
      </c>
      <c r="B11" s="7" t="s">
        <v>68</v>
      </c>
    </row>
    <row r="12" spans="1:30">
      <c r="A12" s="8" t="s">
        <v>69</v>
      </c>
      <c r="B12" s="8" t="s">
        <v>70</v>
      </c>
    </row>
    <row r="13" spans="1:30">
      <c r="A13" s="8" t="s">
        <v>71</v>
      </c>
      <c r="B13" s="8" t="s">
        <v>72</v>
      </c>
    </row>
    <row r="14" spans="1:30">
      <c r="A14" s="8" t="s">
        <v>73</v>
      </c>
      <c r="B14" s="8" t="s">
        <v>74</v>
      </c>
    </row>
    <row r="15" spans="1:30">
      <c r="A15" s="8" t="s">
        <v>75</v>
      </c>
      <c r="B15" s="8" t="s">
        <v>76</v>
      </c>
    </row>
    <row r="16" spans="1:30">
      <c r="A16" s="8" t="s">
        <v>77</v>
      </c>
      <c r="B16" s="8" t="s">
        <v>78</v>
      </c>
    </row>
    <row r="17" spans="1:2">
      <c r="A17" s="8" t="s">
        <v>79</v>
      </c>
      <c r="B17" s="8" t="s">
        <v>80</v>
      </c>
    </row>
    <row r="18" spans="1:2">
      <c r="A18" s="8" t="s">
        <v>81</v>
      </c>
      <c r="B18" s="8" t="s">
        <v>82</v>
      </c>
    </row>
    <row r="19" spans="1:2">
      <c r="A19" s="8" t="s">
        <v>83</v>
      </c>
      <c r="B19" s="8" t="s">
        <v>84</v>
      </c>
    </row>
    <row r="20" spans="1:2">
      <c r="A20" s="8" t="s">
        <v>85</v>
      </c>
      <c r="B20" s="8" t="s">
        <v>86</v>
      </c>
    </row>
    <row r="21" spans="1:2">
      <c r="A21" s="8" t="s">
        <v>87</v>
      </c>
      <c r="B21" s="8" t="s">
        <v>88</v>
      </c>
    </row>
    <row r="22" spans="1:2">
      <c r="A22" s="8" t="s">
        <v>89</v>
      </c>
      <c r="B22" s="8" t="s">
        <v>90</v>
      </c>
    </row>
    <row r="23" spans="1:2">
      <c r="A23" s="8" t="s">
        <v>91</v>
      </c>
      <c r="B23" s="8" t="s">
        <v>92</v>
      </c>
    </row>
    <row r="24" spans="1:2">
      <c r="A24" s="8" t="s">
        <v>93</v>
      </c>
      <c r="B24" s="8" t="s">
        <v>94</v>
      </c>
    </row>
    <row r="25" spans="1:2">
      <c r="A25" s="8" t="s">
        <v>95</v>
      </c>
      <c r="B25" s="8" t="s">
        <v>96</v>
      </c>
    </row>
    <row r="26" spans="1:2">
      <c r="A26" s="8" t="s">
        <v>97</v>
      </c>
      <c r="B26" s="8" t="s">
        <v>98</v>
      </c>
    </row>
    <row r="27" spans="1:2">
      <c r="A27" s="8" t="s">
        <v>99</v>
      </c>
      <c r="B27" s="8" t="s">
        <v>100</v>
      </c>
    </row>
    <row r="28" spans="1:2">
      <c r="A28" s="8" t="s">
        <v>101</v>
      </c>
      <c r="B28" s="8" t="s">
        <v>102</v>
      </c>
    </row>
    <row r="29" spans="1:2">
      <c r="A29" s="8" t="s">
        <v>103</v>
      </c>
      <c r="B29" s="8" t="s">
        <v>104</v>
      </c>
    </row>
    <row r="30" spans="1:2">
      <c r="A30" s="8" t="s">
        <v>105</v>
      </c>
      <c r="B30" s="8" t="s">
        <v>106</v>
      </c>
    </row>
    <row r="31" spans="1:2">
      <c r="A31" s="8" t="s">
        <v>107</v>
      </c>
      <c r="B31" s="8" t="s">
        <v>108</v>
      </c>
    </row>
    <row r="32" spans="1:2">
      <c r="A32" s="8" t="s">
        <v>109</v>
      </c>
      <c r="B32" s="8" t="s">
        <v>110</v>
      </c>
    </row>
    <row r="33" spans="1:2">
      <c r="A33" s="8" t="s">
        <v>111</v>
      </c>
      <c r="B33" s="8" t="s">
        <v>112</v>
      </c>
    </row>
    <row r="34" spans="1:2">
      <c r="A34" s="8" t="s">
        <v>113</v>
      </c>
      <c r="B34" s="8" t="s">
        <v>114</v>
      </c>
    </row>
    <row r="35" spans="1:2">
      <c r="A35" s="8" t="s">
        <v>115</v>
      </c>
      <c r="B35" s="8" t="s">
        <v>116</v>
      </c>
    </row>
    <row r="36" spans="1:2">
      <c r="A36" s="8" t="s">
        <v>117</v>
      </c>
      <c r="B36" s="8" t="s">
        <v>118</v>
      </c>
    </row>
    <row r="37" spans="1:2">
      <c r="A37" s="9" t="s">
        <v>119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workbookViewId="0">
      <selection activeCell="D7" sqref="D7"/>
    </sheetView>
  </sheetViews>
  <sheetFormatPr defaultRowHeight="14.5"/>
  <cols>
    <col min="2" max="2" width="10.453125" customWidth="1"/>
    <col min="3" max="3" width="13.26953125" customWidth="1"/>
    <col min="4" max="4" width="10.54296875" bestFit="1" customWidth="1"/>
    <col min="13" max="13" width="12.26953125" bestFit="1" customWidth="1"/>
  </cols>
  <sheetData>
    <row r="2" spans="2:14">
      <c r="B2" s="48" t="s">
        <v>169</v>
      </c>
      <c r="C2" s="10"/>
      <c r="D2" s="10"/>
    </row>
    <row r="3" spans="2:14">
      <c r="B3" s="49">
        <v>2018</v>
      </c>
      <c r="C3" s="73" t="s">
        <v>170</v>
      </c>
    </row>
    <row r="4" spans="2:14">
      <c r="B4" s="49">
        <v>2019</v>
      </c>
      <c r="C4" s="73" t="s">
        <v>171</v>
      </c>
      <c r="L4" s="72" t="s">
        <v>186</v>
      </c>
      <c r="M4" s="71"/>
    </row>
    <row r="5" spans="2:14">
      <c r="B5" s="49">
        <v>2020</v>
      </c>
      <c r="C5" s="73" t="s">
        <v>172</v>
      </c>
      <c r="M5" s="70">
        <v>2023</v>
      </c>
    </row>
    <row r="6" spans="2:14">
      <c r="B6" s="49">
        <v>2021</v>
      </c>
      <c r="C6" s="73">
        <v>6229365131.5</v>
      </c>
      <c r="L6" s="74" t="s">
        <v>179</v>
      </c>
      <c r="M6" s="75">
        <v>518201145</v>
      </c>
    </row>
    <row r="7" spans="2:14">
      <c r="B7" s="49">
        <v>2022</v>
      </c>
      <c r="C7" s="73">
        <v>6451608601.5</v>
      </c>
      <c r="L7" s="74" t="s">
        <v>180</v>
      </c>
      <c r="M7" s="75">
        <v>556859570</v>
      </c>
    </row>
    <row r="8" spans="2:14">
      <c r="B8" s="50">
        <v>2023</v>
      </c>
      <c r="C8" s="81">
        <v>6475109627</v>
      </c>
      <c r="D8" s="10"/>
      <c r="L8" s="74" t="s">
        <v>181</v>
      </c>
      <c r="M8" s="75">
        <v>588864700</v>
      </c>
    </row>
    <row r="9" spans="2:14">
      <c r="B9" s="49" t="s">
        <v>173</v>
      </c>
      <c r="L9" s="74" t="s">
        <v>182</v>
      </c>
      <c r="M9" s="75">
        <v>524796709</v>
      </c>
    </row>
    <row r="10" spans="2:14">
      <c r="L10" s="74" t="s">
        <v>183</v>
      </c>
      <c r="M10" s="75">
        <v>579783045</v>
      </c>
    </row>
    <row r="11" spans="2:14">
      <c r="B11" s="48" t="s">
        <v>174</v>
      </c>
      <c r="C11" s="10"/>
      <c r="D11" s="10"/>
      <c r="L11" s="74" t="s">
        <v>184</v>
      </c>
      <c r="M11" s="75">
        <v>471189517</v>
      </c>
    </row>
    <row r="12" spans="2:14">
      <c r="C12" s="51" t="s">
        <v>175</v>
      </c>
      <c r="L12" s="74" t="s">
        <v>185</v>
      </c>
      <c r="M12" s="75">
        <v>486002182</v>
      </c>
    </row>
    <row r="13" spans="2:14">
      <c r="B13" t="s">
        <v>176</v>
      </c>
      <c r="C13" s="52">
        <f>C6/C3</f>
        <v>0.93239851083296788</v>
      </c>
    </row>
    <row r="14" spans="2:14">
      <c r="B14" t="s">
        <v>177</v>
      </c>
      <c r="C14" s="77">
        <f>C6/C5</f>
        <v>1.0157938433834641</v>
      </c>
      <c r="L14" s="69" t="s">
        <v>187</v>
      </c>
    </row>
    <row r="15" spans="2:14">
      <c r="B15" t="s">
        <v>189</v>
      </c>
      <c r="C15" s="52">
        <f>C7/C3</f>
        <v>0.96566345454649427</v>
      </c>
      <c r="L15">
        <v>2023</v>
      </c>
      <c r="M15" s="68">
        <f>SUM(M6:M12)</f>
        <v>3725696868</v>
      </c>
      <c r="N15" t="s">
        <v>188</v>
      </c>
    </row>
    <row r="16" spans="2:14">
      <c r="B16" t="s">
        <v>190</v>
      </c>
      <c r="C16" s="52">
        <f>1+N16</f>
        <v>1.0186952818999766</v>
      </c>
      <c r="L16">
        <v>2022</v>
      </c>
      <c r="M16" s="68">
        <v>3657322198.5</v>
      </c>
      <c r="N16" s="76">
        <f>(M15-M16)/M16</f>
        <v>1.8695281899976688E-2</v>
      </c>
    </row>
    <row r="17" spans="2:14">
      <c r="B17" t="s">
        <v>207</v>
      </c>
      <c r="C17" s="52">
        <f>C7/C6</f>
        <v>1.0356767447899597</v>
      </c>
      <c r="L17">
        <v>2021</v>
      </c>
      <c r="M17" s="68">
        <v>3460486912</v>
      </c>
      <c r="N17" s="76">
        <f>(M15-M17)/M17</f>
        <v>7.6639491130663179E-2</v>
      </c>
    </row>
    <row r="19" spans="2:14">
      <c r="B19" t="s">
        <v>178</v>
      </c>
    </row>
    <row r="20" spans="2:14">
      <c r="C20">
        <v>2018</v>
      </c>
      <c r="D20">
        <v>2021</v>
      </c>
    </row>
    <row r="21" spans="2:14">
      <c r="B21" t="s">
        <v>35</v>
      </c>
      <c r="C21" s="53">
        <v>14.5565610923972</v>
      </c>
      <c r="D21" s="53">
        <v>15.490769824884</v>
      </c>
    </row>
    <row r="22" spans="2:14">
      <c r="B22" t="s">
        <v>37</v>
      </c>
      <c r="C22" s="53">
        <v>31.276118540281001</v>
      </c>
      <c r="D22" s="53">
        <v>33.305155123500498</v>
      </c>
    </row>
    <row r="23" spans="2:14">
      <c r="B23" t="s">
        <v>39</v>
      </c>
      <c r="C23" s="53">
        <v>27.131577542973599</v>
      </c>
      <c r="D23" s="53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BY-Demands</vt:lpstr>
      <vt:lpstr>REG_TRA_DEMANDS</vt:lpstr>
      <vt:lpstr>DEMANDS</vt:lpstr>
      <vt:lpstr>Regions</vt:lpstr>
      <vt:lpstr>TRA-2021</vt:lpstr>
      <vt:lpstr>CAGR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Martyn, Eabha</cp:lastModifiedBy>
  <dcterms:created xsi:type="dcterms:W3CDTF">2021-02-23T14:14:01Z</dcterms:created>
  <dcterms:modified xsi:type="dcterms:W3CDTF">2026-10-23T09:55:53Z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