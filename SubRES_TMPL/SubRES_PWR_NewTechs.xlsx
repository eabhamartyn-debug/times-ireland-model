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SubRES_TMPL/"/>
    </mc:Choice>
  </mc:AlternateContent>
  <xr:revisionPtr revIDLastSave="1" documentId="13_ncr:1_{389E4A59-472D-4726-B39E-0764AEBFFABD}" xr6:coauthVersionLast="47" xr6:coauthVersionMax="47" xr10:uidLastSave="{4A1CABB0-3D2F-431B-955E-17C78DD2BB0E}"/>
  <bookViews>
    <workbookView xWindow="-110" yWindow="-110" windowWidth="19420" windowHeight="11620" firstSheet="1" activeTab="1" xr2:uid="{00000000-000D-0000-FFFF-FFFF00000000}"/>
  </bookViews>
  <sheets>
    <sheet name="Cover" sheetId="24" r:id="rId1"/>
    <sheet name="ELC_EGP" sheetId="16" r:id="rId2"/>
    <sheet name="IMPEXP" sheetId="22" r:id="rId3"/>
    <sheet name="ELC_WIN" sheetId="19" r:id="rId4"/>
    <sheet name="WIN_ON_COST" sheetId="21" r:id="rId5"/>
    <sheet name="ELC_CCS" sheetId="18" r:id="rId6"/>
    <sheet name="Win_ON_Cost_Data" sheetId="20" r:id="rId7"/>
    <sheet name="ETRI_Cost" sheetId="23" r:id="rId8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19" l="1"/>
  <c r="T6" i="19"/>
  <c r="T7" i="19"/>
  <c r="T8" i="19"/>
  <c r="T4" i="19"/>
  <c r="T9" i="19"/>
  <c r="Q9" i="19"/>
  <c r="L9" i="19"/>
  <c r="M6" i="16"/>
  <c r="Q9" i="16"/>
  <c r="Q8" i="16"/>
  <c r="M8" i="16"/>
  <c r="M9" i="16" s="1"/>
  <c r="A5" i="22"/>
  <c r="B5" i="22"/>
  <c r="C5" i="22"/>
  <c r="A6" i="22"/>
  <c r="B6" i="22"/>
  <c r="C6" i="22"/>
  <c r="A7" i="22"/>
  <c r="B7" i="22"/>
  <c r="C7" i="22"/>
  <c r="A8" i="22"/>
  <c r="B8" i="22"/>
  <c r="C8" i="22"/>
  <c r="AK3" i="21" l="1"/>
  <c r="AJ3" i="21"/>
  <c r="AI3" i="21"/>
  <c r="AH3" i="21"/>
  <c r="AG3" i="21"/>
  <c r="O33" i="16"/>
  <c r="P33" i="16"/>
  <c r="Q33" i="16"/>
  <c r="Q32" i="16"/>
  <c r="P32" i="16"/>
  <c r="O32" i="16"/>
  <c r="Q31" i="16"/>
  <c r="P31" i="16"/>
  <c r="O31" i="16"/>
  <c r="O29" i="16"/>
  <c r="P29" i="16"/>
  <c r="Q29" i="16"/>
  <c r="Q28" i="16"/>
  <c r="P28" i="16"/>
  <c r="O28" i="16"/>
  <c r="Q37" i="16"/>
  <c r="P37" i="16"/>
  <c r="O37" i="16"/>
  <c r="N37" i="16"/>
  <c r="M37" i="16"/>
  <c r="M19" i="16"/>
  <c r="N19" i="16"/>
  <c r="O19" i="16"/>
  <c r="P19" i="16"/>
  <c r="Q19" i="16"/>
  <c r="Q18" i="16"/>
  <c r="P18" i="16"/>
  <c r="O18" i="16"/>
  <c r="N18" i="16"/>
  <c r="M18" i="16"/>
  <c r="M12" i="16"/>
  <c r="N12" i="16"/>
  <c r="O12" i="16"/>
  <c r="P12" i="16"/>
  <c r="Q12" i="16"/>
  <c r="M13" i="16"/>
  <c r="N13" i="16"/>
  <c r="O13" i="16"/>
  <c r="P13" i="16"/>
  <c r="Q13" i="16"/>
  <c r="M14" i="16"/>
  <c r="N14" i="16"/>
  <c r="O14" i="16"/>
  <c r="P14" i="16"/>
  <c r="Q14" i="16"/>
  <c r="M15" i="16"/>
  <c r="N15" i="16"/>
  <c r="O15" i="16"/>
  <c r="P15" i="16"/>
  <c r="Q15" i="16"/>
  <c r="M16" i="16"/>
  <c r="N16" i="16"/>
  <c r="O16" i="16"/>
  <c r="P16" i="16"/>
  <c r="Q16" i="16"/>
  <c r="M11" i="16"/>
  <c r="N11" i="16"/>
  <c r="O11" i="16"/>
  <c r="P11" i="16"/>
  <c r="Q11" i="16"/>
  <c r="AK19" i="18" l="1"/>
  <c r="AJ19" i="18"/>
  <c r="AI19" i="18"/>
  <c r="AH19" i="18"/>
  <c r="AG19" i="18"/>
  <c r="AF19" i="18"/>
  <c r="AE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K19" i="18"/>
  <c r="J19" i="18"/>
  <c r="I19" i="18"/>
  <c r="H19" i="18"/>
  <c r="G19" i="18"/>
  <c r="F19" i="18"/>
  <c r="AK18" i="18"/>
  <c r="AJ18" i="18"/>
  <c r="AI18" i="18"/>
  <c r="AH18" i="18"/>
  <c r="AG18" i="18"/>
  <c r="AF18" i="18"/>
  <c r="AE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K18" i="18"/>
  <c r="J18" i="18"/>
  <c r="I18" i="18"/>
  <c r="H18" i="18"/>
  <c r="G18" i="18"/>
  <c r="F18" i="18"/>
  <c r="AK14" i="18"/>
  <c r="AJ14" i="18"/>
  <c r="AI14" i="18"/>
  <c r="AH14" i="18"/>
  <c r="AG14" i="18"/>
  <c r="AF14" i="18"/>
  <c r="AE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K14" i="18"/>
  <c r="J14" i="18"/>
  <c r="I14" i="18"/>
  <c r="H14" i="18"/>
  <c r="G14" i="18"/>
  <c r="F14" i="18"/>
  <c r="AK13" i="18"/>
  <c r="AJ13" i="18"/>
  <c r="AI13" i="18"/>
  <c r="AH13" i="18"/>
  <c r="AG13" i="18"/>
  <c r="AF13" i="18"/>
  <c r="AE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K13" i="18"/>
  <c r="J13" i="18"/>
  <c r="I13" i="18"/>
  <c r="H13" i="18"/>
  <c r="G13" i="18"/>
  <c r="F13" i="18"/>
  <c r="AK17" i="18"/>
  <c r="AJ17" i="18"/>
  <c r="AI17" i="18"/>
  <c r="AH17" i="18"/>
  <c r="AG17" i="18"/>
  <c r="AF17" i="18"/>
  <c r="AE17" i="18"/>
  <c r="U17" i="18"/>
  <c r="T17" i="18"/>
  <c r="S17" i="18"/>
  <c r="R17" i="18"/>
  <c r="Q17" i="18"/>
  <c r="K17" i="18"/>
  <c r="J17" i="18"/>
  <c r="I17" i="18"/>
  <c r="H17" i="18"/>
  <c r="G17" i="18"/>
  <c r="F17" i="18"/>
  <c r="AK16" i="18"/>
  <c r="AJ16" i="18"/>
  <c r="AI16" i="18"/>
  <c r="AH16" i="18"/>
  <c r="AG16" i="18"/>
  <c r="AF16" i="18"/>
  <c r="AE16" i="18"/>
  <c r="U16" i="18"/>
  <c r="T16" i="18"/>
  <c r="S16" i="18"/>
  <c r="R16" i="18"/>
  <c r="Q16" i="18"/>
  <c r="K16" i="18"/>
  <c r="J16" i="18"/>
  <c r="I16" i="18"/>
  <c r="H16" i="18"/>
  <c r="G16" i="18"/>
  <c r="F16" i="18"/>
  <c r="AK15" i="18"/>
  <c r="AJ15" i="18"/>
  <c r="AI15" i="18"/>
  <c r="AH15" i="18"/>
  <c r="AG15" i="18"/>
  <c r="AF15" i="18"/>
  <c r="AE15" i="18"/>
  <c r="U15" i="18"/>
  <c r="T15" i="18"/>
  <c r="S15" i="18"/>
  <c r="R15" i="18"/>
  <c r="Q15" i="18"/>
  <c r="K15" i="18"/>
  <c r="J15" i="18"/>
  <c r="I15" i="18"/>
  <c r="H15" i="18"/>
  <c r="G15" i="18"/>
  <c r="F15" i="18"/>
  <c r="AK12" i="18"/>
  <c r="AJ12" i="18"/>
  <c r="AI12" i="18"/>
  <c r="AH12" i="18"/>
  <c r="AG12" i="18"/>
  <c r="AF12" i="18"/>
  <c r="AE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K12" i="18"/>
  <c r="J12" i="18"/>
  <c r="I12" i="18"/>
  <c r="H12" i="18"/>
  <c r="G12" i="18"/>
  <c r="F12" i="18"/>
  <c r="AK10" i="18"/>
  <c r="AJ10" i="18"/>
  <c r="AI10" i="18"/>
  <c r="AH10" i="18"/>
  <c r="AG10" i="18"/>
  <c r="AF10" i="18"/>
  <c r="AE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K10" i="18"/>
  <c r="J10" i="18"/>
  <c r="I10" i="18"/>
  <c r="H10" i="18"/>
  <c r="G10" i="18"/>
  <c r="F10" i="18"/>
  <c r="AK20" i="18"/>
  <c r="AJ20" i="18"/>
  <c r="AI20" i="18"/>
  <c r="AH20" i="18"/>
  <c r="AG20" i="18"/>
  <c r="AF20" i="18"/>
  <c r="AE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K20" i="18"/>
  <c r="J20" i="18"/>
  <c r="I20" i="18"/>
  <c r="H20" i="18"/>
  <c r="G20" i="18"/>
  <c r="F20" i="18"/>
  <c r="AK11" i="18"/>
  <c r="AJ11" i="18"/>
  <c r="AI11" i="18"/>
  <c r="AH11" i="18"/>
  <c r="AG11" i="18"/>
  <c r="AF11" i="18"/>
  <c r="AE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K11" i="18"/>
  <c r="J11" i="18"/>
  <c r="I11" i="18"/>
  <c r="H11" i="18"/>
  <c r="G11" i="18"/>
  <c r="F11" i="18"/>
  <c r="AK9" i="18"/>
  <c r="AJ9" i="18"/>
  <c r="AI9" i="18"/>
  <c r="AH9" i="18"/>
  <c r="AG9" i="18"/>
  <c r="AF9" i="18"/>
  <c r="AE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K9" i="18"/>
  <c r="J9" i="18"/>
  <c r="I9" i="18"/>
  <c r="H9" i="18"/>
  <c r="G9" i="18"/>
  <c r="F9" i="18"/>
  <c r="Z17" i="18" l="1"/>
  <c r="Y17" i="18"/>
  <c r="X17" i="18"/>
  <c r="W17" i="18"/>
  <c r="V17" i="18"/>
  <c r="P17" i="18"/>
  <c r="O17" i="18"/>
  <c r="N17" i="18"/>
  <c r="M17" i="18"/>
  <c r="L17" i="18"/>
  <c r="Z16" i="18"/>
  <c r="Y16" i="18"/>
  <c r="X16" i="18"/>
  <c r="W16" i="18"/>
  <c r="V16" i="18"/>
  <c r="P16" i="18"/>
  <c r="O16" i="18"/>
  <c r="N16" i="18"/>
  <c r="M16" i="18"/>
  <c r="L16" i="18"/>
  <c r="Z15" i="18"/>
  <c r="Y15" i="18"/>
  <c r="X15" i="18"/>
  <c r="W15" i="18"/>
  <c r="V15" i="18"/>
  <c r="P15" i="18"/>
  <c r="O15" i="18"/>
  <c r="N15" i="18"/>
  <c r="M15" i="18"/>
  <c r="L15" i="18"/>
  <c r="AM34" i="16" l="1"/>
  <c r="AM35" i="16"/>
  <c r="AM36" i="16"/>
  <c r="AM37" i="16"/>
  <c r="AM38" i="16"/>
  <c r="D7" i="16" l="1"/>
  <c r="D8" i="16"/>
  <c r="D9" i="16"/>
  <c r="D10" i="16"/>
  <c r="D11" i="16"/>
  <c r="D12" i="16"/>
  <c r="D13" i="16"/>
  <c r="AN13" i="16" s="1"/>
  <c r="D14" i="16"/>
  <c r="D15" i="16"/>
  <c r="D16" i="16"/>
  <c r="D17" i="16"/>
  <c r="D18" i="16"/>
  <c r="D19" i="16"/>
  <c r="D20" i="16"/>
  <c r="D21" i="16"/>
  <c r="D22" i="16"/>
  <c r="D23" i="16"/>
  <c r="D24" i="16"/>
  <c r="AN24" i="16" s="1"/>
  <c r="D25" i="16"/>
  <c r="AN25" i="16" s="1"/>
  <c r="D26" i="16"/>
  <c r="AN26" i="16" s="1"/>
  <c r="D27" i="16"/>
  <c r="AN27" i="16" s="1"/>
  <c r="D28" i="16"/>
  <c r="AN28" i="16" s="1"/>
  <c r="D29" i="16"/>
  <c r="AN29" i="16" s="1"/>
  <c r="D30" i="16"/>
  <c r="AN30" i="16" s="1"/>
  <c r="D31" i="16"/>
  <c r="AN31" i="16" s="1"/>
  <c r="D32" i="16"/>
  <c r="AN32" i="16" s="1"/>
  <c r="D33" i="16"/>
  <c r="AN33" i="16" s="1"/>
  <c r="D34" i="16"/>
  <c r="D35" i="16"/>
  <c r="D36" i="16"/>
  <c r="D37" i="16"/>
  <c r="D38" i="16"/>
  <c r="AN23" i="16"/>
  <c r="D6" i="16"/>
  <c r="AD20" i="18"/>
  <c r="AC20" i="18"/>
  <c r="AB20" i="18"/>
  <c r="AA20" i="18"/>
  <c r="E20" i="18"/>
  <c r="C20" i="18"/>
  <c r="AD19" i="18"/>
  <c r="AC19" i="18"/>
  <c r="AB19" i="18"/>
  <c r="AA19" i="18"/>
  <c r="E19" i="18"/>
  <c r="C19" i="18"/>
  <c r="AD18" i="18"/>
  <c r="AC18" i="18"/>
  <c r="AB18" i="18"/>
  <c r="AA18" i="18"/>
  <c r="E18" i="18"/>
  <c r="C18" i="18"/>
  <c r="AD17" i="18"/>
  <c r="AC17" i="18"/>
  <c r="AB17" i="18"/>
  <c r="AA17" i="18"/>
  <c r="E17" i="18"/>
  <c r="C17" i="18"/>
  <c r="AD16" i="18"/>
  <c r="AC16" i="18"/>
  <c r="AB16" i="18"/>
  <c r="AA16" i="18"/>
  <c r="E16" i="18"/>
  <c r="C16" i="18"/>
  <c r="AD15" i="18"/>
  <c r="AC15" i="18"/>
  <c r="AB15" i="18"/>
  <c r="AA15" i="18"/>
  <c r="E15" i="18"/>
  <c r="C15" i="18"/>
  <c r="AD14" i="18"/>
  <c r="AC14" i="18"/>
  <c r="AB14" i="18"/>
  <c r="AA14" i="18"/>
  <c r="E14" i="18"/>
  <c r="C14" i="18"/>
  <c r="AD13" i="18"/>
  <c r="AC13" i="18"/>
  <c r="AB13" i="18"/>
  <c r="AA13" i="18"/>
  <c r="E13" i="18"/>
  <c r="C13" i="18"/>
  <c r="AD12" i="18"/>
  <c r="AC12" i="18"/>
  <c r="AB12" i="18"/>
  <c r="AA12" i="18"/>
  <c r="E12" i="18"/>
  <c r="C12" i="18"/>
  <c r="AD11" i="18"/>
  <c r="AC11" i="18"/>
  <c r="AB11" i="18"/>
  <c r="AA11" i="18"/>
  <c r="E11" i="18"/>
  <c r="C11" i="18"/>
  <c r="AD10" i="18"/>
  <c r="AC10" i="18"/>
  <c r="AB10" i="18"/>
  <c r="AA10" i="18"/>
  <c r="E10" i="18"/>
  <c r="C10" i="18"/>
  <c r="AD9" i="18"/>
  <c r="AC9" i="18"/>
  <c r="AB9" i="18"/>
  <c r="AA9" i="18"/>
  <c r="E9" i="18"/>
  <c r="C9" i="18"/>
  <c r="AM33" i="16"/>
  <c r="AM32" i="16"/>
  <c r="AM31" i="16"/>
  <c r="AM30" i="16"/>
  <c r="AM29" i="16"/>
  <c r="AM28" i="16"/>
  <c r="AM27" i="16"/>
  <c r="AM26" i="16"/>
  <c r="AM25" i="16"/>
  <c r="AM24" i="16"/>
  <c r="AM23" i="16"/>
  <c r="AE5" i="21" l="1" a="1"/>
  <c r="AE6" i="21" a="1"/>
  <c r="AE7" i="21" a="1"/>
  <c r="AE8" i="21" a="1"/>
  <c r="AE4" i="21" a="1"/>
  <c r="AG4" i="21" s="1"/>
  <c r="AB5" i="21" a="1"/>
  <c r="AB6" i="21" a="1"/>
  <c r="AB7" i="21" a="1"/>
  <c r="AB8" i="21" a="1"/>
  <c r="AB4" i="21" a="1"/>
  <c r="AG5" i="21" l="1"/>
  <c r="AG6" i="21" s="1"/>
  <c r="AG7" i="21" s="1"/>
  <c r="AG8" i="21" s="1"/>
  <c r="AK4" i="21"/>
  <c r="AK5" i="21" s="1"/>
  <c r="AK6" i="21" s="1"/>
  <c r="AK7" i="21" s="1"/>
  <c r="AK8" i="21" s="1"/>
  <c r="AJ4" i="21"/>
  <c r="AJ5" i="21" s="1"/>
  <c r="AJ6" i="21" s="1"/>
  <c r="AJ7" i="21" s="1"/>
  <c r="AJ8" i="21" s="1"/>
  <c r="AI4" i="21"/>
  <c r="AI5" i="21" s="1"/>
  <c r="AI6" i="21" s="1"/>
  <c r="AI7" i="21" s="1"/>
  <c r="AI8" i="21" s="1"/>
  <c r="AH4" i="21"/>
  <c r="AH5" i="21" s="1"/>
  <c r="AH6" i="21" s="1"/>
  <c r="AH7" i="21" s="1"/>
  <c r="AH8" i="21" s="1"/>
  <c r="AL46" i="16"/>
  <c r="AK46" i="16"/>
  <c r="AL45" i="16"/>
  <c r="AK45" i="16"/>
  <c r="AA24" i="18" l="1"/>
  <c r="AN22" i="16" l="1"/>
  <c r="AN21" i="16"/>
  <c r="AN20" i="16"/>
  <c r="AN19" i="16"/>
  <c r="AN18" i="16"/>
  <c r="AN17" i="16"/>
  <c r="AN16" i="16"/>
  <c r="AN15" i="16"/>
  <c r="AN14" i="16"/>
  <c r="AN12" i="16"/>
  <c r="AN11" i="16"/>
  <c r="AN10" i="16"/>
  <c r="AN9" i="16"/>
  <c r="AN8" i="16"/>
  <c r="AN7" i="16"/>
  <c r="AN6" i="16"/>
  <c r="AQ20" i="18" l="1"/>
  <c r="AQ19" i="18"/>
  <c r="AQ18" i="18"/>
  <c r="AQ17" i="18"/>
  <c r="AQ16" i="18"/>
  <c r="AQ15" i="18"/>
  <c r="AQ14" i="18"/>
  <c r="AQ13" i="18"/>
  <c r="AQ12" i="18"/>
  <c r="AQ11" i="18"/>
  <c r="AQ10" i="18"/>
  <c r="AQ9" i="18"/>
  <c r="AP20" i="18"/>
  <c r="AP19" i="18"/>
  <c r="AP18" i="18"/>
  <c r="AP17" i="18"/>
  <c r="AP16" i="18"/>
  <c r="AP15" i="18"/>
  <c r="AP14" i="18"/>
  <c r="AP13" i="18"/>
  <c r="AP12" i="18"/>
  <c r="AP11" i="18"/>
  <c r="AP10" i="18"/>
  <c r="AP9" i="18"/>
  <c r="AM22" i="16" l="1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A8" i="21"/>
  <c r="AA7" i="21"/>
  <c r="AA6" i="21"/>
  <c r="AA5" i="21"/>
  <c r="AA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Q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S4" authorId="0" shapeId="0" xr:uid="{00000000-0006-0000-00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L5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O43" authorId="0" shapeId="0" xr:uid="{06F3231B-94BB-49C8-9F4C-DC586231478A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Q43" authorId="0" shapeId="0" xr:uid="{8665A56B-AD80-484E-9EA0-FEA0F2B8C41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J44" authorId="0" shapeId="0" xr:uid="{EF74BA77-B7FB-4D73-B9D4-84185DF49218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Alessandro Chiodi</author>
  </authors>
  <commentList>
    <comment ref="AT7" authorId="0" shapeId="0" xr:uid="{12FD16F9-F81A-4344-8BC5-DD5F5FC107B1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V7" authorId="0" shapeId="0" xr:uid="{D6FC1886-C210-430A-A8C7-2F347583C0E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X7" authorId="1" shapeId="0" xr:uid="{BF2496D6-E57D-4619-BDB3-2D9C2AA886BF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BB7" authorId="0" shapeId="0" xr:uid="{B42B104A-1270-4F66-97B1-D6601017704B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BC7" authorId="0" shapeId="0" xr:uid="{2EBD69CC-B620-4CFE-B992-394306276CDC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BD7" authorId="0" shapeId="0" xr:uid="{E3C49B11-C5BD-441A-B2A0-AB0734EEDF15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BE7" authorId="0" shapeId="0" xr:uid="{D33962D3-322E-4D2B-8744-67C61A533BEC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L8" authorId="2" shapeId="0" xr:uid="{E61415E8-B824-4F58-9AD2-1CAF6AD3417B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V8" authorId="2" shapeId="0" xr:uid="{2B51B894-C0F5-4C85-97AA-A9E3773FF99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AO8" authorId="0" shapeId="0" xr:uid="{222ACFC5-B47D-4259-BC83-D962E273C7A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<sst xmlns="http://schemas.openxmlformats.org/spreadsheetml/2006/main" count="27220" uniqueCount="2989">
  <si>
    <t>Unit</t>
  </si>
  <si>
    <t>Max. capacity factor</t>
  </si>
  <si>
    <t>GW</t>
  </si>
  <si>
    <t>Commercial solar PV system 0.1-2 MW</t>
  </si>
  <si>
    <t>Commercial solar PV &gt;2 MW without tracking</t>
  </si>
  <si>
    <t>Commercial solar PV &gt;2 MW with tracking</t>
  </si>
  <si>
    <t>Hydropower dam and reservoir, &gt;100 MW</t>
  </si>
  <si>
    <t>Hydropower dam and reservoir, 10-100 MW</t>
  </si>
  <si>
    <t>Hydropower dam and reservoir, &lt;10 MW</t>
  </si>
  <si>
    <t>Hydropower run-of-a-river</t>
  </si>
  <si>
    <t>Flash power plant extracting fluid from hydrothermal system at 2.5 km depth</t>
  </si>
  <si>
    <t>Organic Rankine Cycle hydrothermal system.</t>
  </si>
  <si>
    <t>Organic Rankine Cycle Enhanced Geothermal System at 5.5 km depth</t>
  </si>
  <si>
    <t>Wave energy</t>
  </si>
  <si>
    <t>Tidal energy</t>
  </si>
  <si>
    <t>Open-Cycle Gas Turbine conventional</t>
  </si>
  <si>
    <t>Open Cycle Gas Turbine advanced</t>
  </si>
  <si>
    <t>TechName</t>
  </si>
  <si>
    <t>*TechDesc</t>
  </si>
  <si>
    <t>Comm-IN</t>
  </si>
  <si>
    <t>Comm-OUT</t>
  </si>
  <si>
    <t>INVCOST</t>
  </si>
  <si>
    <t>INVCOST~2020</t>
  </si>
  <si>
    <t>INVCOST~2030</t>
  </si>
  <si>
    <t>FIXOM</t>
  </si>
  <si>
    <t>FIXOM~2020</t>
  </si>
  <si>
    <t>FIXOM~2030</t>
  </si>
  <si>
    <t>VAROM</t>
  </si>
  <si>
    <t>VAROM~2020</t>
  </si>
  <si>
    <t>VAROM~2030</t>
  </si>
  <si>
    <t>LIFE</t>
  </si>
  <si>
    <t>Start</t>
  </si>
  <si>
    <t>Cap2Act</t>
  </si>
  <si>
    <t>*Technology Name</t>
  </si>
  <si>
    <t>Technology Description</t>
  </si>
  <si>
    <t>Input Commodity</t>
  </si>
  <si>
    <t>Output Commodity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</si>
  <si>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</si>
  <si>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</si>
  <si>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</si>
  <si>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</si>
  <si>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</si>
  <si>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</si>
  <si>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</si>
  <si>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</si>
  <si>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</si>
  <si>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</si>
  <si>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Activity Unit</t>
  </si>
  <si>
    <t>Capacity Unit</t>
  </si>
  <si>
    <t>Primary CommGrp</t>
  </si>
  <si>
    <t>Vintage Tracking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</si>
  <si>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</si>
  <si>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</si>
  <si>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</si>
  <si>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</si>
  <si>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</si>
  <si>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</si>
  <si>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</si>
  <si>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</si>
  <si>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</si>
  <si>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</si>
  <si>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</si>
  <si>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</si>
  <si>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</si>
  <si>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</si>
  <si>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~FI_Comm</t>
  </si>
  <si>
    <t>INVCOST~2040</t>
  </si>
  <si>
    <t>INVCOST~2050</t>
  </si>
  <si>
    <t>FIXOM~2040</t>
  </si>
  <si>
    <t>FIXOM~2050</t>
  </si>
  <si>
    <t>VAROM~2040</t>
  </si>
  <si>
    <t>VAROM~2050</t>
  </si>
  <si>
    <t>LIFE~2020</t>
  </si>
  <si>
    <t>LIFE~2030</t>
  </si>
  <si>
    <t>Technical life</t>
  </si>
  <si>
    <t>EFF</t>
  </si>
  <si>
    <t>EFF~2020</t>
  </si>
  <si>
    <t>EFF~2030</t>
  </si>
  <si>
    <t>EFF~2040</t>
  </si>
  <si>
    <t>EFF~2050</t>
  </si>
  <si>
    <t>Efficiency</t>
  </si>
  <si>
    <t>Solar thermal electricity power plants without thermal storage (power/heat=0.38)</t>
  </si>
  <si>
    <t>ELCC</t>
  </si>
  <si>
    <t>ELE</t>
  </si>
  <si>
    <t>PJ</t>
  </si>
  <si>
    <t>TimeSlice Level</t>
  </si>
  <si>
    <t>Electricity Generators Database</t>
  </si>
  <si>
    <t>Offshore wind</t>
  </si>
  <si>
    <t>CAPEX REF (€2013/kW)</t>
  </si>
  <si>
    <t>FOM (€2013/kW)</t>
  </si>
  <si>
    <t>VOM (€2013/GJ)</t>
  </si>
  <si>
    <t>DAYNITE</t>
  </si>
  <si>
    <t>\I: Process Set Membership</t>
  </si>
  <si>
    <t>Timeslice Operational Level</t>
  </si>
  <si>
    <t>Operational Commodity Group</t>
  </si>
  <si>
    <t>Electricity Generators Database - CCS options</t>
  </si>
  <si>
    <t>Techno-economic data: ETRI 2014 (https://setis.ec.europa.eu/publications/jrc-setis-reports/etri-2014 )</t>
  </si>
  <si>
    <t xml:space="preserve">Sources: </t>
  </si>
  <si>
    <t>ENV</t>
  </si>
  <si>
    <t>kt</t>
  </si>
  <si>
    <t>Process options: Irish TIMES v1.0 (using Fionn's analysis)</t>
  </si>
  <si>
    <t xml:space="preserve">Pulverised coal supercritical CCS post-combustion_Moneypoint Kinsale </t>
  </si>
  <si>
    <t xml:space="preserve">Pulverised coal supercritical CCS post-combustion_Moneypoint Spanish Point </t>
  </si>
  <si>
    <t>CCGT advanced CCS post combustion_Cork Kinsale</t>
  </si>
  <si>
    <t>CCGT advanced CCS post combustion_Cork Spanish Point</t>
  </si>
  <si>
    <t>CCGT advanced CCS post combustion_Dublin East Irish Sea</t>
  </si>
  <si>
    <t>CCGT advanced CCS post combustion_Dublin Central Irish Sea</t>
  </si>
  <si>
    <t>IGCC peat CCS pre combustion_Offaly Kinsale</t>
  </si>
  <si>
    <t>IGCC peat CCS pre combustion_Offaly East Irish Sea</t>
  </si>
  <si>
    <t>IGCC peat CCS pre combustion_Offaly Central Irish Sea</t>
  </si>
  <si>
    <t>Pulverised coal supercritical CCS post-combustion_Kilroot Portpatrick</t>
  </si>
  <si>
    <t xml:space="preserve">Pipeline </t>
  </si>
  <si>
    <t>Storage</t>
  </si>
  <si>
    <t>*VAROM</t>
  </si>
  <si>
    <t>*INVCOST</t>
  </si>
  <si>
    <t>Overall CAPEX (€2013/kW)</t>
  </si>
  <si>
    <t>Overall VOM (€2013/GJ)</t>
  </si>
  <si>
    <t>Combined Cycle Gas Turbine advanced</t>
  </si>
  <si>
    <t>2000-2012 CPI</t>
  </si>
  <si>
    <t>-&gt;</t>
  </si>
  <si>
    <t>(source Eurostat)</t>
  </si>
  <si>
    <t xml:space="preserve">IGCC coal CCS pre-combustion_Moneypoint Spanish Point </t>
  </si>
  <si>
    <t xml:space="preserve">IGCC coal CCS pre-combustion_Moneypoint Kinsale </t>
  </si>
  <si>
    <t>New Power Plant - Hydrogen Combined Cycle Gas Turbine</t>
  </si>
  <si>
    <t>New Power Plant - Hydrogen Open Cycle Gas Turbine</t>
  </si>
  <si>
    <t xml:space="preserve">Source: ETRI 2014 (https://setis.ec.europa.eu/publications/jrc-setis-reports/etri-2014 ) </t>
  </si>
  <si>
    <t>Source: UK TIMES (for H2)</t>
  </si>
  <si>
    <t>CAPEX REF (€2012/kW)</t>
  </si>
  <si>
    <t>AFA</t>
    <phoneticPr fontId="15" type="noConversion"/>
  </si>
  <si>
    <t>AFA~2020</t>
    <phoneticPr fontId="15" type="noConversion"/>
  </si>
  <si>
    <t>AFA~2030</t>
    <phoneticPr fontId="15" type="noConversion"/>
  </si>
  <si>
    <t>AFA~2040</t>
    <phoneticPr fontId="15" type="noConversion"/>
  </si>
  <si>
    <t>AFA~2050</t>
    <phoneticPr fontId="15" type="noConversion"/>
  </si>
  <si>
    <t>ELCC</t>
    <phoneticPr fontId="15" type="noConversion"/>
  </si>
  <si>
    <t>New Power Plant - Biomass grate furnace steam turbine</t>
  </si>
  <si>
    <t>Biomass grate furnace steam turbine</t>
  </si>
  <si>
    <t>New Power Plant - Fluidised bed boiler (circulating or bubbling) plus steam turbine</t>
  </si>
  <si>
    <t>Fluidised bed boiler (circulating or bubbling) plus steam turbine</t>
  </si>
  <si>
    <t>New Power Plant - Biomass IGCC</t>
  </si>
  <si>
    <t>Biomass IGCC</t>
  </si>
  <si>
    <t>New Power Plant - Anaerobic digestion</t>
  </si>
  <si>
    <t>Anaerobic digestion</t>
  </si>
  <si>
    <t>New Power Plant - Municipal solid waste incinerator</t>
  </si>
  <si>
    <t>Municipal solid waste incinerator</t>
  </si>
  <si>
    <t>AFA</t>
  </si>
  <si>
    <t>AFA~2020</t>
  </si>
  <si>
    <t>AFA~2030</t>
  </si>
  <si>
    <t>AFA~2040</t>
  </si>
  <si>
    <t>AFA~2050</t>
  </si>
  <si>
    <t>New Power Plant - Onshore Wind - Connection Cost Level  01</t>
  </si>
  <si>
    <t>New Power Plant - Onshore Wind - Connection Cost Level  02</t>
  </si>
  <si>
    <t>New Power Plant - Onshore Wind - Connection Cost Level  03</t>
  </si>
  <si>
    <t>New Power Plant - Onshore Wind - Connection Cost Level  04</t>
  </si>
  <si>
    <t>New Power Plant - Onshore Wind - Connection Cost Level  05</t>
  </si>
  <si>
    <t>fid</t>
  </si>
  <si>
    <t>Merged_ID</t>
  </si>
  <si>
    <t>Parcel</t>
  </si>
  <si>
    <t>COUNTY - 1</t>
  </si>
  <si>
    <t>COUNTY - 2</t>
  </si>
  <si>
    <t>Station ID</t>
  </si>
  <si>
    <t>name</t>
  </si>
  <si>
    <t>operator</t>
  </si>
  <si>
    <t>voltage</t>
  </si>
  <si>
    <t>voltage_pr</t>
  </si>
  <si>
    <t>voltage_te</t>
  </si>
  <si>
    <t>Distance</t>
  </si>
  <si>
    <t>Round Up Distance</t>
  </si>
  <si>
    <t>Area_km_2_</t>
  </si>
  <si>
    <t>Class</t>
  </si>
  <si>
    <r>
      <t>Area With Packing Density Applied(km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</si>
  <si>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Rationalised Output Per Parcel (MW)</t>
  </si>
  <si>
    <t>Cost (€)</t>
  </si>
  <si>
    <t>PS</t>
  </si>
  <si>
    <t>Cost Per MW</t>
  </si>
  <si>
    <t>Watt per Euro</t>
  </si>
  <si>
    <t>CL1-001</t>
  </si>
  <si>
    <t>KERRY</t>
  </si>
  <si>
    <t>SS-636</t>
  </si>
  <si>
    <t>Garranebane 38kV Substation</t>
  </si>
  <si>
    <t>ESB Networks</t>
  </si>
  <si>
    <t>CL1-002</t>
  </si>
  <si>
    <t>CL1-003</t>
  </si>
  <si>
    <t>GALWAY</t>
  </si>
  <si>
    <t>SS-106</t>
  </si>
  <si>
    <t>Clifden 38kV Substation</t>
  </si>
  <si>
    <t>low</t>
  </si>
  <si>
    <t>CL1-004</t>
  </si>
  <si>
    <t>DONEGAL</t>
  </si>
  <si>
    <t>SS-250</t>
  </si>
  <si>
    <t>Kilcar 38kV Substation</t>
  </si>
  <si>
    <t>CL1-005</t>
  </si>
  <si>
    <t>SS-138</t>
  </si>
  <si>
    <t>Creeslough 38kV Substation</t>
  </si>
  <si>
    <t>CL1-006</t>
  </si>
  <si>
    <t>SS-119</t>
  </si>
  <si>
    <t>Drumlough Hill (1) 38kV Substation</t>
  </si>
  <si>
    <t>CL1-007</t>
  </si>
  <si>
    <t>CLARE</t>
  </si>
  <si>
    <t>SS-708</t>
  </si>
  <si>
    <t>EirGrid</t>
  </si>
  <si>
    <t>medium</t>
  </si>
  <si>
    <t>CL1-008</t>
  </si>
  <si>
    <t>DUBLIN</t>
  </si>
  <si>
    <t>SS-014</t>
  </si>
  <si>
    <t>Ballyboden 38kV Substation</t>
  </si>
  <si>
    <t>CL1-009</t>
  </si>
  <si>
    <t>CL1-010</t>
  </si>
  <si>
    <t>WICKLOW</t>
  </si>
  <si>
    <t>SS-010</t>
  </si>
  <si>
    <t>Fassaroe 110kV Substation</t>
  </si>
  <si>
    <t>CL1-011</t>
  </si>
  <si>
    <t>CL1-012</t>
  </si>
  <si>
    <t>SS-597</t>
  </si>
  <si>
    <t>Kilmartin 38kV Substation</t>
  </si>
  <si>
    <t>CL1-013</t>
  </si>
  <si>
    <t>CORK</t>
  </si>
  <si>
    <t>SS-253</t>
  </si>
  <si>
    <t>Ballydehob 38kV Substation</t>
  </si>
  <si>
    <t>CL1-014</t>
  </si>
  <si>
    <t>SS-037</t>
  </si>
  <si>
    <t>Ballybeg 110kV Substation</t>
  </si>
  <si>
    <t>CL1-015</t>
  </si>
  <si>
    <t>SS-635</t>
  </si>
  <si>
    <t>Dingle 38kV Substation</t>
  </si>
  <si>
    <t>CL1-016</t>
  </si>
  <si>
    <t>SS-273</t>
  </si>
  <si>
    <t>Castletownbere 38kV Substation</t>
  </si>
  <si>
    <t>CL1-017</t>
  </si>
  <si>
    <t>SS-610</t>
  </si>
  <si>
    <t>Milford (North) 38kV Substation</t>
  </si>
  <si>
    <t>CL1-018</t>
  </si>
  <si>
    <t>SS-117</t>
  </si>
  <si>
    <t>Crockahenny 38kV Substation</t>
  </si>
  <si>
    <t>CL1-019</t>
  </si>
  <si>
    <t>MAYO</t>
  </si>
  <si>
    <t>SS-642</t>
  </si>
  <si>
    <t>Achill 38kV Substation</t>
  </si>
  <si>
    <t>CL1-020</t>
  </si>
  <si>
    <t>SS-123</t>
  </si>
  <si>
    <t>Derrybeg 38kV Substation</t>
  </si>
  <si>
    <t>CL1-021</t>
  </si>
  <si>
    <t>CL1-022</t>
  </si>
  <si>
    <t>SS-209</t>
  </si>
  <si>
    <t>Blessington 38kV Substation</t>
  </si>
  <si>
    <t>CL1-023</t>
  </si>
  <si>
    <t>CL1-024</t>
  </si>
  <si>
    <t>SS-617</t>
  </si>
  <si>
    <t>Mulreavy 110kV Substation</t>
  </si>
  <si>
    <t>CL1-025</t>
  </si>
  <si>
    <t>CAVAN</t>
  </si>
  <si>
    <t>SS-110</t>
  </si>
  <si>
    <t>Corraclassy 110kV Substation</t>
  </si>
  <si>
    <t>CL1-026</t>
  </si>
  <si>
    <t>LOUTH</t>
  </si>
  <si>
    <t>SS-650</t>
  </si>
  <si>
    <t>Ballymascanlan 38kV Substation</t>
  </si>
  <si>
    <t>CL1-027</t>
  </si>
  <si>
    <t>SS-362</t>
  </si>
  <si>
    <t>Glengarriff 38kV Substation</t>
  </si>
  <si>
    <t>CL1-028</t>
  </si>
  <si>
    <t>CL1-029</t>
  </si>
  <si>
    <t>CL1-030</t>
  </si>
  <si>
    <t>SS-337</t>
  </si>
  <si>
    <t>Knockaneden 38kV Substation</t>
  </si>
  <si>
    <t>CL1-031</t>
  </si>
  <si>
    <t>SS-151</t>
  </si>
  <si>
    <t>Kenmare 38kV Substation</t>
  </si>
  <si>
    <t>CL1-032</t>
  </si>
  <si>
    <t>CL1-033</t>
  </si>
  <si>
    <t>SS-321</t>
  </si>
  <si>
    <t>Milltown 38kV Substation</t>
  </si>
  <si>
    <t>CL1-034</t>
  </si>
  <si>
    <t>SS-387</t>
  </si>
  <si>
    <t>Coolcorcoran 38kV Substation</t>
  </si>
  <si>
    <t>CL1-035</t>
  </si>
  <si>
    <t>CL1-036</t>
  </si>
  <si>
    <t>CL1-037</t>
  </si>
  <si>
    <t>CL1-038</t>
  </si>
  <si>
    <t>CL1-039</t>
  </si>
  <si>
    <t>CL1-040</t>
  </si>
  <si>
    <t>CL1-041</t>
  </si>
  <si>
    <t>CL1-042</t>
  </si>
  <si>
    <t>CL1-043</t>
  </si>
  <si>
    <t>CL1-044</t>
  </si>
  <si>
    <t>CL1-045</t>
  </si>
  <si>
    <t>SS-637</t>
  </si>
  <si>
    <t>Kilgarvan 38kV Substation</t>
  </si>
  <si>
    <t>CL1-046</t>
  </si>
  <si>
    <t>CL1-047</t>
  </si>
  <si>
    <t>CL1-048</t>
  </si>
  <si>
    <t>SS-634</t>
  </si>
  <si>
    <t>Inch 38kV Substation</t>
  </si>
  <si>
    <t>CL1-049</t>
  </si>
  <si>
    <t>SS-140</t>
  </si>
  <si>
    <t>Ballyard 38kV Substation</t>
  </si>
  <si>
    <t>CL1-050</t>
  </si>
  <si>
    <t>SS-595</t>
  </si>
  <si>
    <t>Kilkee 38kV Substation</t>
  </si>
  <si>
    <t>CL1-051</t>
  </si>
  <si>
    <t>SS-134</t>
  </si>
  <si>
    <t>Ennistymon 38kV Substation</t>
  </si>
  <si>
    <t>CL1-052</t>
  </si>
  <si>
    <t>SS-105</t>
  </si>
  <si>
    <t>Garroman 38kV Substation</t>
  </si>
  <si>
    <t>CL1-053</t>
  </si>
  <si>
    <t>CL1-054</t>
  </si>
  <si>
    <t>CL1-055</t>
  </si>
  <si>
    <t>CL1-056</t>
  </si>
  <si>
    <t>CL1-057</t>
  </si>
  <si>
    <t>SS-461</t>
  </si>
  <si>
    <t>Westport 38kV Substation</t>
  </si>
  <si>
    <t>CL1-058</t>
  </si>
  <si>
    <t>SS-638</t>
  </si>
  <si>
    <t>Oughterard 38kV Substation</t>
  </si>
  <si>
    <t>CL1-059</t>
  </si>
  <si>
    <t>CL1-060</t>
  </si>
  <si>
    <t>SS-073</t>
  </si>
  <si>
    <t>Carrowbeg 110kV Substation</t>
  </si>
  <si>
    <t>CL1-061</t>
  </si>
  <si>
    <t>CL1-062</t>
  </si>
  <si>
    <t>CL1-063</t>
  </si>
  <si>
    <t>CL1-064</t>
  </si>
  <si>
    <t>CL1-065</t>
  </si>
  <si>
    <t>SS-317</t>
  </si>
  <si>
    <t>Newport 38kV Substation</t>
  </si>
  <si>
    <t>CL1-066</t>
  </si>
  <si>
    <t>SS-133</t>
  </si>
  <si>
    <t>Bellacorrick 110kV Substation</t>
  </si>
  <si>
    <t>CL1-067</t>
  </si>
  <si>
    <t>SS-419</t>
  </si>
  <si>
    <t>Bangor 38kV Substation</t>
  </si>
  <si>
    <t>CL1-068</t>
  </si>
  <si>
    <t>CL1-069</t>
  </si>
  <si>
    <t>CL1-070</t>
  </si>
  <si>
    <t>CL1-071</t>
  </si>
  <si>
    <t>CL1-072</t>
  </si>
  <si>
    <t>CL1-073</t>
  </si>
  <si>
    <t>SS-234</t>
  </si>
  <si>
    <t>Crossmolina 38kV Substation</t>
  </si>
  <si>
    <t>CL1-074</t>
  </si>
  <si>
    <t>CL1-075</t>
  </si>
  <si>
    <t>SS-710</t>
  </si>
  <si>
    <t>Tawnaghmore 110kV Substation</t>
  </si>
  <si>
    <t>CL1-076</t>
  </si>
  <si>
    <t>CL1-077</t>
  </si>
  <si>
    <t>CL1-078</t>
  </si>
  <si>
    <t>SLIGO</t>
  </si>
  <si>
    <t>SS-075</t>
  </si>
  <si>
    <t>Cunghill 110kV Substation</t>
  </si>
  <si>
    <t>CL1-079</t>
  </si>
  <si>
    <t>CL1-080</t>
  </si>
  <si>
    <t>LEITRIM</t>
  </si>
  <si>
    <t>SS-042</t>
  </si>
  <si>
    <t>Ballytivnan 38kV Substation</t>
  </si>
  <si>
    <t>CL1-081</t>
  </si>
  <si>
    <t>CL1-082</t>
  </si>
  <si>
    <t>CL1-083</t>
  </si>
  <si>
    <t>CL1-084</t>
  </si>
  <si>
    <t>CL1-085</t>
  </si>
  <si>
    <t>SS-090</t>
  </si>
  <si>
    <t>Corkermore 38kV Substation</t>
  </si>
  <si>
    <t>CL1-086</t>
  </si>
  <si>
    <t>CL1-087</t>
  </si>
  <si>
    <t>CL1-088</t>
  </si>
  <si>
    <t>CL1-089</t>
  </si>
  <si>
    <t>SS-252</t>
  </si>
  <si>
    <t>Killybegs 38kV Substation</t>
  </si>
  <si>
    <t>CL1-090</t>
  </si>
  <si>
    <t>SS-684</t>
  </si>
  <si>
    <t>Tievebrack 110kV Substation</t>
  </si>
  <si>
    <t>CL1-091</t>
  </si>
  <si>
    <t>CL1-092</t>
  </si>
  <si>
    <t>CL1-093</t>
  </si>
  <si>
    <t>CL1-094</t>
  </si>
  <si>
    <t>SS-239</t>
  </si>
  <si>
    <t>Moville 38kV Substation</t>
  </si>
  <si>
    <t>CL1-095</t>
  </si>
  <si>
    <t>SS-689</t>
  </si>
  <si>
    <t>CL1-096</t>
  </si>
  <si>
    <t>CL1-097</t>
  </si>
  <si>
    <t>CARLOW</t>
  </si>
  <si>
    <t>SS-481</t>
  </si>
  <si>
    <t>Castledockrell 110kV Substation</t>
  </si>
  <si>
    <t>CL1-098</t>
  </si>
  <si>
    <t>WEXFORD</t>
  </si>
  <si>
    <t>CL1-099</t>
  </si>
  <si>
    <t>SS-494</t>
  </si>
  <si>
    <t>Bunclody 38kV Substation</t>
  </si>
  <si>
    <t>CL1-100</t>
  </si>
  <si>
    <t>SS-062</t>
  </si>
  <si>
    <t>Stratford 110kV Substation</t>
  </si>
  <si>
    <t>CL1-101</t>
  </si>
  <si>
    <t>CL1-102</t>
  </si>
  <si>
    <t>SS-600</t>
  </si>
  <si>
    <t>Rathdrum 38kV Substation</t>
  </si>
  <si>
    <t>CL1-103</t>
  </si>
  <si>
    <t>CL1-104</t>
  </si>
  <si>
    <t>CL1-105</t>
  </si>
  <si>
    <t>SS-018</t>
  </si>
  <si>
    <t>Old Bawn 38kV Substation</t>
  </si>
  <si>
    <t>CL1-106</t>
  </si>
  <si>
    <t>SS-017</t>
  </si>
  <si>
    <t>Sandyford 38kV Substation</t>
  </si>
  <si>
    <t>CL1-107</t>
  </si>
  <si>
    <t>CL1-108</t>
  </si>
  <si>
    <t>CL1-109</t>
  </si>
  <si>
    <t>SS-077</t>
  </si>
  <si>
    <t>Curraglass 38kV Substation</t>
  </si>
  <si>
    <t>CL1-110</t>
  </si>
  <si>
    <t>CL1-111</t>
  </si>
  <si>
    <t>TIPPERARY</t>
  </si>
  <si>
    <t>SS-645</t>
  </si>
  <si>
    <t>Toomevara 38kV Substation</t>
  </si>
  <si>
    <t>CL1-112</t>
  </si>
  <si>
    <t>CL1-113</t>
  </si>
  <si>
    <t>SS-686</t>
  </si>
  <si>
    <t>Dungloe 38kV Substation</t>
  </si>
  <si>
    <t>CL1-114</t>
  </si>
  <si>
    <t>SS-195</t>
  </si>
  <si>
    <t>Cark 110kV Substation</t>
  </si>
  <si>
    <t>CL1-115</t>
  </si>
  <si>
    <t>CL1-116</t>
  </si>
  <si>
    <t>SS-304</t>
  </si>
  <si>
    <t>Arigna 110kV Substation</t>
  </si>
  <si>
    <t>CL1-117</t>
  </si>
  <si>
    <t>SS-078</t>
  </si>
  <si>
    <t>Glenree 110kV Substation</t>
  </si>
  <si>
    <t>CL1-118</t>
  </si>
  <si>
    <t>CL1-119</t>
  </si>
  <si>
    <t>SS-643</t>
  </si>
  <si>
    <t>Donegal 38kV Substation</t>
  </si>
  <si>
    <t>CL1-120</t>
  </si>
  <si>
    <t>SS-688</t>
  </si>
  <si>
    <t>Clogher 110kV Substation</t>
  </si>
  <si>
    <t>CL1-121</t>
  </si>
  <si>
    <t>SS-083</t>
  </si>
  <si>
    <t>Golagh 110kV Substation</t>
  </si>
  <si>
    <t>CL1-122</t>
  </si>
  <si>
    <t>CL1-123</t>
  </si>
  <si>
    <t>CL1-124</t>
  </si>
  <si>
    <t>SS-207</t>
  </si>
  <si>
    <t>Screeb 110kV Substation</t>
  </si>
  <si>
    <t>CL1-125</t>
  </si>
  <si>
    <t>SS-662</t>
  </si>
  <si>
    <t>Cloosh 110kV Substation</t>
  </si>
  <si>
    <t>CL1-126</t>
  </si>
  <si>
    <t>SS-623</t>
  </si>
  <si>
    <t>Uggool 110kV Substation</t>
  </si>
  <si>
    <t>CL1-127</t>
  </si>
  <si>
    <t>CL1-128</t>
  </si>
  <si>
    <t>WATERFORD</t>
  </si>
  <si>
    <t>SS-455</t>
  </si>
  <si>
    <t>Ardfinnan 38kV Substation</t>
  </si>
  <si>
    <t>CL1-129</t>
  </si>
  <si>
    <t>SS-659</t>
  </si>
  <si>
    <t>Spa Road 38kV Substation</t>
  </si>
  <si>
    <t>CL1-130</t>
  </si>
  <si>
    <t>SS-205</t>
  </si>
  <si>
    <t>Dungarvan 110kV Substation</t>
  </si>
  <si>
    <t>CL1-131</t>
  </si>
  <si>
    <t>SS-257</t>
  </si>
  <si>
    <t>Kilshanny 38kV Substation</t>
  </si>
  <si>
    <t>CL1-132</t>
  </si>
  <si>
    <t>SS-315</t>
  </si>
  <si>
    <t>Cahir 38kV Substation</t>
  </si>
  <si>
    <t>CL1-133</t>
  </si>
  <si>
    <t>SS-585</t>
  </si>
  <si>
    <t>Kilross Road 38kV Substation</t>
  </si>
  <si>
    <t>CL1-134</t>
  </si>
  <si>
    <t>SS-492</t>
  </si>
  <si>
    <t>Graigue 38kV Substation</t>
  </si>
  <si>
    <t>CL1-135</t>
  </si>
  <si>
    <t>CL1-136</t>
  </si>
  <si>
    <t>CL1-137</t>
  </si>
  <si>
    <t>CL1-138</t>
  </si>
  <si>
    <t>CL1-139</t>
  </si>
  <si>
    <t>SS-616</t>
  </si>
  <si>
    <t>Ballinvally 38kV Substation</t>
  </si>
  <si>
    <t>CL1-140</t>
  </si>
  <si>
    <t>SS-562</t>
  </si>
  <si>
    <t>Bantry 38kV Substation</t>
  </si>
  <si>
    <t>CL1-141</t>
  </si>
  <si>
    <t>CL1-142</t>
  </si>
  <si>
    <t>SS-261</t>
  </si>
  <si>
    <t>Milane Hill 38kV Station</t>
  </si>
  <si>
    <t>CL1-143</t>
  </si>
  <si>
    <t>SS-107</t>
  </si>
  <si>
    <t>Gort 38kV Substation</t>
  </si>
  <si>
    <t>CL1-144</t>
  </si>
  <si>
    <t>KILKENNY</t>
  </si>
  <si>
    <t>CL1-145</t>
  </si>
  <si>
    <t>SS-591</t>
  </si>
  <si>
    <t>Shillelagh 38kV Substation</t>
  </si>
  <si>
    <t>CL1-146</t>
  </si>
  <si>
    <t>SS-503</t>
  </si>
  <si>
    <t>Scariff 38kV Substation</t>
  </si>
  <si>
    <t>CL1-147</t>
  </si>
  <si>
    <t>CL1-148</t>
  </si>
  <si>
    <t>SS-355</t>
  </si>
  <si>
    <t>Carrigcannon 38kV Substation</t>
  </si>
  <si>
    <t>CL1-149</t>
  </si>
  <si>
    <t>CL1-150</t>
  </si>
  <si>
    <t>SS-570</t>
  </si>
  <si>
    <t>Kilcoole 38kV Substation</t>
  </si>
  <si>
    <t>CL1-151</t>
  </si>
  <si>
    <t>CL1-152</t>
  </si>
  <si>
    <t>CL1-153</t>
  </si>
  <si>
    <t>CL1-154</t>
  </si>
  <si>
    <t>CL1-155</t>
  </si>
  <si>
    <t>CL1-156</t>
  </si>
  <si>
    <t>CL1-157</t>
  </si>
  <si>
    <t>CL1-158</t>
  </si>
  <si>
    <t>CL1-159</t>
  </si>
  <si>
    <t>CL1-160</t>
  </si>
  <si>
    <t>SS-178</t>
  </si>
  <si>
    <t>Manorhamilton 38kV Substation</t>
  </si>
  <si>
    <t>CL1-161</t>
  </si>
  <si>
    <t>SS-206</t>
  </si>
  <si>
    <t>Boyle 38kV Substation</t>
  </si>
  <si>
    <t>CL1-162</t>
  </si>
  <si>
    <t>SS-068</t>
  </si>
  <si>
    <t>Ballymote 38kV Substation</t>
  </si>
  <si>
    <t>CL1-163</t>
  </si>
  <si>
    <t>CL1-164</t>
  </si>
  <si>
    <t>SS-203</t>
  </si>
  <si>
    <t>Foxford 38kV Substation</t>
  </si>
  <si>
    <t>CL1-165</t>
  </si>
  <si>
    <t>CL1-166</t>
  </si>
  <si>
    <t>CL1-167</t>
  </si>
  <si>
    <t>CL1-168</t>
  </si>
  <si>
    <t>CL1-169</t>
  </si>
  <si>
    <t>SS-272</t>
  </si>
  <si>
    <t>Carndonagh 38kV</t>
  </si>
  <si>
    <t>CL1-170</t>
  </si>
  <si>
    <t>CL1-171</t>
  </si>
  <si>
    <t>CL1-172</t>
  </si>
  <si>
    <t>MEATH</t>
  </si>
  <si>
    <t>CL1-173</t>
  </si>
  <si>
    <t>SS-651</t>
  </si>
  <si>
    <t>Grange 38kV Substation</t>
  </si>
  <si>
    <t>CL1-174</t>
  </si>
  <si>
    <t>CL1-175</t>
  </si>
  <si>
    <t>CL1-176</t>
  </si>
  <si>
    <t>CL1-177</t>
  </si>
  <si>
    <t>CL1-178</t>
  </si>
  <si>
    <t>CL1-179</t>
  </si>
  <si>
    <t>CL1-180</t>
  </si>
  <si>
    <t>CL1-181</t>
  </si>
  <si>
    <t>CL1-182</t>
  </si>
  <si>
    <t>CL1-183</t>
  </si>
  <si>
    <t>CL1-184</t>
  </si>
  <si>
    <t>CL1-185</t>
  </si>
  <si>
    <t>CL1-186</t>
  </si>
  <si>
    <t>CL1-187</t>
  </si>
  <si>
    <t>CL1-188</t>
  </si>
  <si>
    <t>CL1-189</t>
  </si>
  <si>
    <t>CL1-190</t>
  </si>
  <si>
    <t>CL1-191</t>
  </si>
  <si>
    <t>CL1-192</t>
  </si>
  <si>
    <t>CL1-193</t>
  </si>
  <si>
    <t>CL1-194</t>
  </si>
  <si>
    <t>CL1-195</t>
  </si>
  <si>
    <t>CL1-196</t>
  </si>
  <si>
    <t>CL1-197</t>
  </si>
  <si>
    <t>SS-072</t>
  </si>
  <si>
    <t>Clonkeen 110kV Substation</t>
  </si>
  <si>
    <t>CL1-198</t>
  </si>
  <si>
    <t>CL1-199</t>
  </si>
  <si>
    <t>CL1-200</t>
  </si>
  <si>
    <t>CL1-201</t>
  </si>
  <si>
    <t>CL1-202</t>
  </si>
  <si>
    <t>CL1-203</t>
  </si>
  <si>
    <t>CL1-204</t>
  </si>
  <si>
    <t>CL1-205</t>
  </si>
  <si>
    <t>CL1-206</t>
  </si>
  <si>
    <t>CL1-207</t>
  </si>
  <si>
    <t>CL1-208</t>
  </si>
  <si>
    <t>CL1-209</t>
  </si>
  <si>
    <t>CL1-210</t>
  </si>
  <si>
    <t>CL1-211</t>
  </si>
  <si>
    <t>SS-667</t>
  </si>
  <si>
    <t>Ballyrickard 38kV Substation</t>
  </si>
  <si>
    <t>CL1-212</t>
  </si>
  <si>
    <t>CL1-213</t>
  </si>
  <si>
    <t>CL1-214</t>
  </si>
  <si>
    <t>CL1-215</t>
  </si>
  <si>
    <t>CL1-216</t>
  </si>
  <si>
    <t>CL1-217</t>
  </si>
  <si>
    <t>CL1-218</t>
  </si>
  <si>
    <t>CL1-219</t>
  </si>
  <si>
    <t>CL1-220</t>
  </si>
  <si>
    <t>CL1-221</t>
  </si>
  <si>
    <t>CL1-222</t>
  </si>
  <si>
    <t>CL1-223</t>
  </si>
  <si>
    <t>CL1-224</t>
  </si>
  <si>
    <t>SS-233</t>
  </si>
  <si>
    <t>Cong 38kV station</t>
  </si>
  <si>
    <t>CL1-225</t>
  </si>
  <si>
    <t>CL1-226</t>
  </si>
  <si>
    <t>CL1-227</t>
  </si>
  <si>
    <t>CL1-228</t>
  </si>
  <si>
    <t>CL1-229</t>
  </si>
  <si>
    <t>CL1-230</t>
  </si>
  <si>
    <t>CL1-231</t>
  </si>
  <si>
    <t>CL1-232</t>
  </si>
  <si>
    <t>CL1-233</t>
  </si>
  <si>
    <t>CL1-234</t>
  </si>
  <si>
    <t>CL1-235</t>
  </si>
  <si>
    <t>CL1-236</t>
  </si>
  <si>
    <t>CL1-237</t>
  </si>
  <si>
    <t>CL1-238</t>
  </si>
  <si>
    <t>CL1-239</t>
  </si>
  <si>
    <t>CL1-240</t>
  </si>
  <si>
    <t>CL1-241</t>
  </si>
  <si>
    <t>CL1-242</t>
  </si>
  <si>
    <t>CL1-243</t>
  </si>
  <si>
    <t>CL1-244</t>
  </si>
  <si>
    <t>CL1-245</t>
  </si>
  <si>
    <t>CL1-246</t>
  </si>
  <si>
    <t>CL1-247</t>
  </si>
  <si>
    <t>CL1-248</t>
  </si>
  <si>
    <t>CL1-249</t>
  </si>
  <si>
    <t>CL1-250</t>
  </si>
  <si>
    <t>SS-498</t>
  </si>
  <si>
    <t>Belmullet 38kV Substation</t>
  </si>
  <si>
    <t>CL1-251</t>
  </si>
  <si>
    <t>CL1-252</t>
  </si>
  <si>
    <t>CL1-253</t>
  </si>
  <si>
    <t>CL1-254</t>
  </si>
  <si>
    <t>CL1-255</t>
  </si>
  <si>
    <t>SS-170</t>
  </si>
  <si>
    <t>Derrynadivva 38kV Substation</t>
  </si>
  <si>
    <t>CL1-256</t>
  </si>
  <si>
    <t>CL1-257</t>
  </si>
  <si>
    <t>CL1-258</t>
  </si>
  <si>
    <t>CL1-259</t>
  </si>
  <si>
    <t>CL1-260</t>
  </si>
  <si>
    <t>CL1-261</t>
  </si>
  <si>
    <t>CL1-262</t>
  </si>
  <si>
    <t>CL1-263</t>
  </si>
  <si>
    <t>CL1-264</t>
  </si>
  <si>
    <t>CL1-265</t>
  </si>
  <si>
    <t>CL1-266</t>
  </si>
  <si>
    <t>CL1-267</t>
  </si>
  <si>
    <t>CL1-268</t>
  </si>
  <si>
    <t>CL1-269</t>
  </si>
  <si>
    <t>SS-302</t>
  </si>
  <si>
    <t>Carrowleagh 38kV Substation</t>
  </si>
  <si>
    <t>CL1-270</t>
  </si>
  <si>
    <t>CL1-271</t>
  </si>
  <si>
    <t>CL1-272</t>
  </si>
  <si>
    <t>CL1-273</t>
  </si>
  <si>
    <t>SS-227</t>
  </si>
  <si>
    <t>Bundoran 38kV Substation</t>
  </si>
  <si>
    <t>CL1-274</t>
  </si>
  <si>
    <t>CL1-275</t>
  </si>
  <si>
    <t>CL1-276</t>
  </si>
  <si>
    <t>CL1-277</t>
  </si>
  <si>
    <t>CL1-278</t>
  </si>
  <si>
    <t>CL1-279</t>
  </si>
  <si>
    <t>CL1-280</t>
  </si>
  <si>
    <t>CL1-281</t>
  </si>
  <si>
    <t>CL1-282</t>
  </si>
  <si>
    <t>CL1-283</t>
  </si>
  <si>
    <t>CL1-284</t>
  </si>
  <si>
    <t>CL1-285</t>
  </si>
  <si>
    <t>CL1-286</t>
  </si>
  <si>
    <t>CL1-287</t>
  </si>
  <si>
    <t>CL1-288</t>
  </si>
  <si>
    <t>CL1-289</t>
  </si>
  <si>
    <t>CL1-290</t>
  </si>
  <si>
    <t>CL1-291</t>
  </si>
  <si>
    <t>CL1-292</t>
  </si>
  <si>
    <t>CL1-293</t>
  </si>
  <si>
    <t>CL1-294</t>
  </si>
  <si>
    <t>CL1-295</t>
  </si>
  <si>
    <t>CL1-296</t>
  </si>
  <si>
    <t>SS-125</t>
  </si>
  <si>
    <t>Drumlough Hill (2) 38kV Substation</t>
  </si>
  <si>
    <t>CL1-297</t>
  </si>
  <si>
    <t>CL1-298</t>
  </si>
  <si>
    <t>CL1-299</t>
  </si>
  <si>
    <t>CL1-300</t>
  </si>
  <si>
    <t>SS-687</t>
  </si>
  <si>
    <t>Gweedore Wind Farm 38kV Substation</t>
  </si>
  <si>
    <t>CL1-301</t>
  </si>
  <si>
    <t>CL1-302</t>
  </si>
  <si>
    <t>CL1-303</t>
  </si>
  <si>
    <t>CL1-304</t>
  </si>
  <si>
    <t>CL1-305</t>
  </si>
  <si>
    <t>CL1-306</t>
  </si>
  <si>
    <t>CL1-307</t>
  </si>
  <si>
    <t>CL1-308</t>
  </si>
  <si>
    <t>CL1-309</t>
  </si>
  <si>
    <t>CL1-311</t>
  </si>
  <si>
    <t>CL1-312</t>
  </si>
  <si>
    <t>CL1-313</t>
  </si>
  <si>
    <t>CL1-314</t>
  </si>
  <si>
    <t>SS-222</t>
  </si>
  <si>
    <t>Poulaphouca 110kV Substation</t>
  </si>
  <si>
    <t>CL1-315</t>
  </si>
  <si>
    <t>CL1-316</t>
  </si>
  <si>
    <t>CL1-317</t>
  </si>
  <si>
    <t>CL1-318</t>
  </si>
  <si>
    <t>CL1-319</t>
  </si>
  <si>
    <t>SS-699</t>
  </si>
  <si>
    <t>Ballycumber 38kV Substation</t>
  </si>
  <si>
    <t>CL1-320</t>
  </si>
  <si>
    <t>CL1-321</t>
  </si>
  <si>
    <t>CL1-322</t>
  </si>
  <si>
    <t>CL1-323</t>
  </si>
  <si>
    <t>CL1-324</t>
  </si>
  <si>
    <t>CL1-325</t>
  </si>
  <si>
    <t>SS-668</t>
  </si>
  <si>
    <t>Coomataggart 110 kV Substation</t>
  </si>
  <si>
    <t>CL1-326</t>
  </si>
  <si>
    <t>CL1-327</t>
  </si>
  <si>
    <t>CL1-328</t>
  </si>
  <si>
    <t>CL1-329</t>
  </si>
  <si>
    <t>SS-162</t>
  </si>
  <si>
    <t>Garrow 110kV Substation</t>
  </si>
  <si>
    <t>CL1-330</t>
  </si>
  <si>
    <t>CL1-331</t>
  </si>
  <si>
    <t>CL1-332</t>
  </si>
  <si>
    <t>SS-161</t>
  </si>
  <si>
    <t>Gneeves 38kV Substation</t>
  </si>
  <si>
    <t>CL1-333</t>
  </si>
  <si>
    <t>SS-615</t>
  </si>
  <si>
    <t>Knockduff 110kv Substation</t>
  </si>
  <si>
    <t>CL1-334</t>
  </si>
  <si>
    <t>CL1-335</t>
  </si>
  <si>
    <t>SS-333</t>
  </si>
  <si>
    <t>Clady 38kV Substation</t>
  </si>
  <si>
    <t>CL1-336</t>
  </si>
  <si>
    <t>CL1-337</t>
  </si>
  <si>
    <t>CL1-338</t>
  </si>
  <si>
    <t>CL1-339</t>
  </si>
  <si>
    <t>CL1-340</t>
  </si>
  <si>
    <t>CL1-341</t>
  </si>
  <si>
    <t>CL1-342</t>
  </si>
  <si>
    <t>CL1-343</t>
  </si>
  <si>
    <t>CL1-344</t>
  </si>
  <si>
    <t>CL1-345</t>
  </si>
  <si>
    <t>CL1-346</t>
  </si>
  <si>
    <t>CL1-347</t>
  </si>
  <si>
    <t>CL1-348</t>
  </si>
  <si>
    <t>SS-102</t>
  </si>
  <si>
    <t>Binbane 110kV Substation</t>
  </si>
  <si>
    <t>CL1-349</t>
  </si>
  <si>
    <t>CL1-350</t>
  </si>
  <si>
    <t>CL1-351</t>
  </si>
  <si>
    <t>CL1-352</t>
  </si>
  <si>
    <t>SS-196</t>
  </si>
  <si>
    <t>Culliagh 110kV Substation</t>
  </si>
  <si>
    <t>CL1-353</t>
  </si>
  <si>
    <t>CL1-354</t>
  </si>
  <si>
    <t>CL1-355</t>
  </si>
  <si>
    <t>CL1-356</t>
  </si>
  <si>
    <t>CL1-357</t>
  </si>
  <si>
    <t>CL1-358</t>
  </si>
  <si>
    <t>CL1-359</t>
  </si>
  <si>
    <t>CL1-360</t>
  </si>
  <si>
    <t>CL1-361</t>
  </si>
  <si>
    <t>SS-192</t>
  </si>
  <si>
    <t>Ballylickey 110kV Station</t>
  </si>
  <si>
    <t>CL1-362</t>
  </si>
  <si>
    <t>CL1-363</t>
  </si>
  <si>
    <t>CL1-364</t>
  </si>
  <si>
    <t>CL1-365</t>
  </si>
  <si>
    <t>SS-622</t>
  </si>
  <si>
    <t>Barranafaddock 38kV Substation</t>
  </si>
  <si>
    <t>CL1-366</t>
  </si>
  <si>
    <t>SS-505</t>
  </si>
  <si>
    <t>Kilmacthomas 38kV Substation</t>
  </si>
  <si>
    <t>CL1-367</t>
  </si>
  <si>
    <t>LIMERICK</t>
  </si>
  <si>
    <t>SS-695</t>
  </si>
  <si>
    <t>Castlepook 38kV Substation</t>
  </si>
  <si>
    <t>CL1-368</t>
  </si>
  <si>
    <t>CL1-369</t>
  </si>
  <si>
    <t>CL1-370</t>
  </si>
  <si>
    <t>CL1-371</t>
  </si>
  <si>
    <t>SS-064</t>
  </si>
  <si>
    <t>Ballydine 110kV Substation</t>
  </si>
  <si>
    <t>CL1-372</t>
  </si>
  <si>
    <t>CL1-373</t>
  </si>
  <si>
    <t>CL1-374</t>
  </si>
  <si>
    <t>CL1-375</t>
  </si>
  <si>
    <t>CL1-376</t>
  </si>
  <si>
    <t>CL1-377</t>
  </si>
  <si>
    <t>CL1-378</t>
  </si>
  <si>
    <t>CL1-379</t>
  </si>
  <si>
    <t>CL1-380</t>
  </si>
  <si>
    <t>CL1-381</t>
  </si>
  <si>
    <t>CL1-382</t>
  </si>
  <si>
    <t>CL1-383</t>
  </si>
  <si>
    <t>CL1-384</t>
  </si>
  <si>
    <t>CL1-385</t>
  </si>
  <si>
    <t>CL1-386</t>
  </si>
  <si>
    <t>CL2-001</t>
  </si>
  <si>
    <t>SS-118</t>
  </si>
  <si>
    <t>Sorne Hill 110kV Substation</t>
  </si>
  <si>
    <t>CL2-002</t>
  </si>
  <si>
    <t>CL2-003</t>
  </si>
  <si>
    <t>CL2-004</t>
  </si>
  <si>
    <t>SS-237</t>
  </si>
  <si>
    <t>Carnsore 38kV Substation</t>
  </si>
  <si>
    <t>CL2-005</t>
  </si>
  <si>
    <t>CL2-006</t>
  </si>
  <si>
    <t>CL2-007</t>
  </si>
  <si>
    <t>CL2-008</t>
  </si>
  <si>
    <t>CL2-009</t>
  </si>
  <si>
    <t>CL2-010</t>
  </si>
  <si>
    <t>CL2-011</t>
  </si>
  <si>
    <t>CL2-012</t>
  </si>
  <si>
    <t>CL2-013</t>
  </si>
  <si>
    <t>CL2-014</t>
  </si>
  <si>
    <t>CL2-015</t>
  </si>
  <si>
    <t>CL2-016</t>
  </si>
  <si>
    <t>CL2-017</t>
  </si>
  <si>
    <t>SS-670</t>
  </si>
  <si>
    <t>Acres 38kV Substation</t>
  </si>
  <si>
    <t>CL2-018</t>
  </si>
  <si>
    <t>SS-697</t>
  </si>
  <si>
    <t>Clogheravaddy 38kV Substation</t>
  </si>
  <si>
    <t>CL2-019</t>
  </si>
  <si>
    <t>CL2-020</t>
  </si>
  <si>
    <t>CL2-021</t>
  </si>
  <si>
    <t>CL2-022</t>
  </si>
  <si>
    <t>CL2-023</t>
  </si>
  <si>
    <t>CL2-024</t>
  </si>
  <si>
    <t>SS-702</t>
  </si>
  <si>
    <t>CL2-025</t>
  </si>
  <si>
    <t>CL2-026</t>
  </si>
  <si>
    <t>CL2-027</t>
  </si>
  <si>
    <t>CL2-028</t>
  </si>
  <si>
    <t>CL2-029</t>
  </si>
  <si>
    <t>CL2-030</t>
  </si>
  <si>
    <t>CL2-031</t>
  </si>
  <si>
    <t>CL2-032</t>
  </si>
  <si>
    <t>SS-070</t>
  </si>
  <si>
    <t>Glanlee 110kV Substation</t>
  </si>
  <si>
    <t>CL2-033</t>
  </si>
  <si>
    <t>CL2-034</t>
  </si>
  <si>
    <t>CL2-035</t>
  </si>
  <si>
    <t>SS-096</t>
  </si>
  <si>
    <t>Boggeragh 110kV Substation</t>
  </si>
  <si>
    <t>CL2-036</t>
  </si>
  <si>
    <t>SS-378</t>
  </si>
  <si>
    <t>Foynes 38kV Substation</t>
  </si>
  <si>
    <t>CL2-037</t>
  </si>
  <si>
    <t>CL2-038</t>
  </si>
  <si>
    <t>ROSCOMMON</t>
  </si>
  <si>
    <t>SS-384</t>
  </si>
  <si>
    <t>Largan Hill 38kV Substation</t>
  </si>
  <si>
    <t>CL2-039</t>
  </si>
  <si>
    <t>CL2-040</t>
  </si>
  <si>
    <t>CL2-041</t>
  </si>
  <si>
    <t>CL2-042</t>
  </si>
  <si>
    <t>SS-690</t>
  </si>
  <si>
    <t>Stranrolar 38kV Substation</t>
  </si>
  <si>
    <t>CL2-043</t>
  </si>
  <si>
    <t>CL2-044</t>
  </si>
  <si>
    <t>SS-347</t>
  </si>
  <si>
    <t>Glengoole 38kV Substation</t>
  </si>
  <si>
    <t>CL2-045</t>
  </si>
  <si>
    <t>SS-251</t>
  </si>
  <si>
    <t>Ballybrennan 38kV Substation</t>
  </si>
  <si>
    <t>CL2-046</t>
  </si>
  <si>
    <t>SS-372</t>
  </si>
  <si>
    <t>Ballyconra 38kV Substation</t>
  </si>
  <si>
    <t>CL2-047</t>
  </si>
  <si>
    <t>CL2-048</t>
  </si>
  <si>
    <t>SS-131</t>
  </si>
  <si>
    <t>Ros a Mh├¡l 38kV Substation</t>
  </si>
  <si>
    <t>CL2-049</t>
  </si>
  <si>
    <t>SS-660</t>
  </si>
  <si>
    <t>Nenagh 38kV Substation</t>
  </si>
  <si>
    <t>CL2-050</t>
  </si>
  <si>
    <t>SS-397</t>
  </si>
  <si>
    <t>Glenough 38kV Substation</t>
  </si>
  <si>
    <t>CL2-051</t>
  </si>
  <si>
    <t>OFFALY</t>
  </si>
  <si>
    <t>SS-537</t>
  </si>
  <si>
    <t>Monaincha 38kV Substation</t>
  </si>
  <si>
    <t>CL2-052</t>
  </si>
  <si>
    <t>CL2-053</t>
  </si>
  <si>
    <t>CL2-054</t>
  </si>
  <si>
    <t>SS-057</t>
  </si>
  <si>
    <t>Galway 110kV Substation</t>
  </si>
  <si>
    <t>CL2-055</t>
  </si>
  <si>
    <t>SS-038</t>
  </si>
  <si>
    <t>Salthill 110kV Substation</t>
  </si>
  <si>
    <t>CL2-056</t>
  </si>
  <si>
    <t>CL2-057</t>
  </si>
  <si>
    <t>CL2-058</t>
  </si>
  <si>
    <t>CL2-059</t>
  </si>
  <si>
    <t>CL2-060</t>
  </si>
  <si>
    <t>CL2-061</t>
  </si>
  <si>
    <t>CL2-062</t>
  </si>
  <si>
    <t>CL2-063</t>
  </si>
  <si>
    <t>SS-607</t>
  </si>
  <si>
    <t>CL2-064</t>
  </si>
  <si>
    <t>SS-596</t>
  </si>
  <si>
    <t>Cappamore 38kV Substation</t>
  </si>
  <si>
    <t>CL2-065</t>
  </si>
  <si>
    <t>CL2-066</t>
  </si>
  <si>
    <t>CL2-067</t>
  </si>
  <si>
    <t>SS-536</t>
  </si>
  <si>
    <t>Knockacummer 110kV Substation</t>
  </si>
  <si>
    <t>CL2-068</t>
  </si>
  <si>
    <t>CL2-069</t>
  </si>
  <si>
    <t>SS-646</t>
  </si>
  <si>
    <t>Oranmore 38kV Substation</t>
  </si>
  <si>
    <t>CL2-070</t>
  </si>
  <si>
    <t>SS-033</t>
  </si>
  <si>
    <t>Ballywater 110kV Substation</t>
  </si>
  <si>
    <t>CL2-071</t>
  </si>
  <si>
    <t>SS-535</t>
  </si>
  <si>
    <t>Garracummer 38kV Substation</t>
  </si>
  <si>
    <t>CL2-072</t>
  </si>
  <si>
    <t>SS-703</t>
  </si>
  <si>
    <t>CL2-073</t>
  </si>
  <si>
    <t>CL2-074</t>
  </si>
  <si>
    <t>CL2-075</t>
  </si>
  <si>
    <t>SS-263</t>
  </si>
  <si>
    <t>Lake 38kV Station</t>
  </si>
  <si>
    <t>CL2-076</t>
  </si>
  <si>
    <t>SS-189</t>
  </si>
  <si>
    <t>Knockearagh 110kV Substation</t>
  </si>
  <si>
    <t>CL2-077</t>
  </si>
  <si>
    <t>SS-532</t>
  </si>
  <si>
    <t>Woodhouse 110kV Substation</t>
  </si>
  <si>
    <t>CL2-078</t>
  </si>
  <si>
    <t>CL2-079</t>
  </si>
  <si>
    <t>SS-640</t>
  </si>
  <si>
    <t>Ballinrobe 38kV Substation</t>
  </si>
  <si>
    <t>CL2-080</t>
  </si>
  <si>
    <t>SS-431</t>
  </si>
  <si>
    <t>Knockaphunta 38kV Substation</t>
  </si>
  <si>
    <t>CL2-081</t>
  </si>
  <si>
    <t>SS-095</t>
  </si>
  <si>
    <t>Collooney 38kV Substation</t>
  </si>
  <si>
    <t>CL2-082</t>
  </si>
  <si>
    <t>CL2-083</t>
  </si>
  <si>
    <t>SS-201</t>
  </si>
  <si>
    <t>Swinford 38kV Station</t>
  </si>
  <si>
    <t>CL2-084</t>
  </si>
  <si>
    <t>CL2-085</t>
  </si>
  <si>
    <t>SS-598</t>
  </si>
  <si>
    <t>Glennamaddy 38kV Substation</t>
  </si>
  <si>
    <t>CL2-086</t>
  </si>
  <si>
    <t>CL2-087</t>
  </si>
  <si>
    <t>CL2-088</t>
  </si>
  <si>
    <t>CL2-089</t>
  </si>
  <si>
    <t>CL2-090</t>
  </si>
  <si>
    <t>SS-549</t>
  </si>
  <si>
    <t>Tuam North 38kV Substation</t>
  </si>
  <si>
    <t>CL2-091</t>
  </si>
  <si>
    <t>SS-639</t>
  </si>
  <si>
    <t>Tonroe 38kV Substation</t>
  </si>
  <si>
    <t>CL2-092</t>
  </si>
  <si>
    <t>CL2-093</t>
  </si>
  <si>
    <t>CL2-094</t>
  </si>
  <si>
    <t>CL2-095</t>
  </si>
  <si>
    <t>CL2-096</t>
  </si>
  <si>
    <t>CL2-097</t>
  </si>
  <si>
    <t>CL2-098</t>
  </si>
  <si>
    <t>CL2-099</t>
  </si>
  <si>
    <t>CL2-100</t>
  </si>
  <si>
    <t>CL2-101</t>
  </si>
  <si>
    <t>SS-109</t>
  </si>
  <si>
    <t>Cloon 110kV Substation</t>
  </si>
  <si>
    <t>CL2-102</t>
  </si>
  <si>
    <t>CL2-103</t>
  </si>
  <si>
    <t>CL2-104</t>
  </si>
  <si>
    <t>CL2-105</t>
  </si>
  <si>
    <t>CL2-106</t>
  </si>
  <si>
    <t>CL2-107</t>
  </si>
  <si>
    <t>CL2-108</t>
  </si>
  <si>
    <t>CL2-109</t>
  </si>
  <si>
    <t>CL2-110</t>
  </si>
  <si>
    <t>CL2-111</t>
  </si>
  <si>
    <t>CL2-112</t>
  </si>
  <si>
    <t>CL2-113</t>
  </si>
  <si>
    <t>CL2-114</t>
  </si>
  <si>
    <t>CL2-115</t>
  </si>
  <si>
    <t>CL2-116</t>
  </si>
  <si>
    <t>CL2-117</t>
  </si>
  <si>
    <t>CL2-118</t>
  </si>
  <si>
    <t>CL2-119</t>
  </si>
  <si>
    <t>CL2-120</t>
  </si>
  <si>
    <t>CL2-121</t>
  </si>
  <si>
    <t>CL2-122</t>
  </si>
  <si>
    <t>CL2-123</t>
  </si>
  <si>
    <t>CL2-124</t>
  </si>
  <si>
    <t>CL2-125</t>
  </si>
  <si>
    <t>CL2-126</t>
  </si>
  <si>
    <t>CL2-127</t>
  </si>
  <si>
    <t>CL2-128</t>
  </si>
  <si>
    <t>CL2-129</t>
  </si>
  <si>
    <t>CL2-130</t>
  </si>
  <si>
    <t>CL2-131</t>
  </si>
  <si>
    <t>CL2-132</t>
  </si>
  <si>
    <t>CL2-133</t>
  </si>
  <si>
    <t>CL2-134</t>
  </si>
  <si>
    <t>CL2-135</t>
  </si>
  <si>
    <t>CL2-136</t>
  </si>
  <si>
    <t>CL2-137</t>
  </si>
  <si>
    <t>CL2-138</t>
  </si>
  <si>
    <t>CL2-139</t>
  </si>
  <si>
    <t>CL2-140</t>
  </si>
  <si>
    <t>CL2-141</t>
  </si>
  <si>
    <t>SS-555</t>
  </si>
  <si>
    <t>Ballybunion 38kV Substation</t>
  </si>
  <si>
    <t>CL2-142</t>
  </si>
  <si>
    <t>CL2-143</t>
  </si>
  <si>
    <t>CL2-144</t>
  </si>
  <si>
    <t>CL2-145</t>
  </si>
  <si>
    <t>CL2-146</t>
  </si>
  <si>
    <t>CL2-147</t>
  </si>
  <si>
    <t>CL2-148</t>
  </si>
  <si>
    <t>CL2-149</t>
  </si>
  <si>
    <t>CL2-150</t>
  </si>
  <si>
    <t>CL2-151</t>
  </si>
  <si>
    <t>CL2-152</t>
  </si>
  <si>
    <t>CL2-153</t>
  </si>
  <si>
    <t>CL2-154</t>
  </si>
  <si>
    <t>CL2-155</t>
  </si>
  <si>
    <t>CL2-156</t>
  </si>
  <si>
    <t>CL2-157</t>
  </si>
  <si>
    <t>CL2-158</t>
  </si>
  <si>
    <t>CL2-159</t>
  </si>
  <si>
    <t>CL2-160</t>
  </si>
  <si>
    <t>CL2-161</t>
  </si>
  <si>
    <t>CL2-162</t>
  </si>
  <si>
    <t>CL2-163</t>
  </si>
  <si>
    <t>CL2-164</t>
  </si>
  <si>
    <t>CL2-165</t>
  </si>
  <si>
    <t>CL2-166</t>
  </si>
  <si>
    <t>CL2-167</t>
  </si>
  <si>
    <t>CL2-168</t>
  </si>
  <si>
    <t>CL2-169</t>
  </si>
  <si>
    <t>CL2-170</t>
  </si>
  <si>
    <t>CL2-171</t>
  </si>
  <si>
    <t>CL2-172</t>
  </si>
  <si>
    <t>CL2-173</t>
  </si>
  <si>
    <t>CL2-174</t>
  </si>
  <si>
    <t>CL2-175</t>
  </si>
  <si>
    <t>SS-198</t>
  </si>
  <si>
    <t>Enniscrone 38kV Substation</t>
  </si>
  <si>
    <t>CL2-176</t>
  </si>
  <si>
    <t>CL2-177</t>
  </si>
  <si>
    <t>CL2-178</t>
  </si>
  <si>
    <t>CL2-179</t>
  </si>
  <si>
    <t>CL2-180</t>
  </si>
  <si>
    <t>CL2-181</t>
  </si>
  <si>
    <t>CL2-182</t>
  </si>
  <si>
    <t>CL2-183</t>
  </si>
  <si>
    <t>CL2-184</t>
  </si>
  <si>
    <t>CL2-185</t>
  </si>
  <si>
    <t>CL2-186</t>
  </si>
  <si>
    <t>CL2-187</t>
  </si>
  <si>
    <t>CL2-188</t>
  </si>
  <si>
    <t>CL2-189</t>
  </si>
  <si>
    <t>CL2-190</t>
  </si>
  <si>
    <t>CL2-191</t>
  </si>
  <si>
    <t>CL2-192</t>
  </si>
  <si>
    <t>CL2-193</t>
  </si>
  <si>
    <t>CL2-194</t>
  </si>
  <si>
    <t>CL2-195</t>
  </si>
  <si>
    <t>CL2-196</t>
  </si>
  <si>
    <t>CL2-197</t>
  </si>
  <si>
    <t>CL2-198</t>
  </si>
  <si>
    <t>CL2-199</t>
  </si>
  <si>
    <t>CL2-200</t>
  </si>
  <si>
    <t>CL2-201</t>
  </si>
  <si>
    <t>CL2-202</t>
  </si>
  <si>
    <t>SS-534</t>
  </si>
  <si>
    <t>Garvagh Glebe 110kV Substation Extension</t>
  </si>
  <si>
    <t>CL2-203</t>
  </si>
  <si>
    <t>CL2-204</t>
  </si>
  <si>
    <t>CL2-205</t>
  </si>
  <si>
    <t>CL2-206</t>
  </si>
  <si>
    <t>CL2-207</t>
  </si>
  <si>
    <t>CL2-208</t>
  </si>
  <si>
    <t>CL2-209</t>
  </si>
  <si>
    <t>CL2-210</t>
  </si>
  <si>
    <t>CL2-211</t>
  </si>
  <si>
    <t>SS-091</t>
  </si>
  <si>
    <t>Whitestown 38kV Substation</t>
  </si>
  <si>
    <t>CL2-212</t>
  </si>
  <si>
    <t>CL2-213</t>
  </si>
  <si>
    <t>CL2-214</t>
  </si>
  <si>
    <t>CL2-215</t>
  </si>
  <si>
    <t>CL2-216</t>
  </si>
  <si>
    <t>CL2-217</t>
  </si>
  <si>
    <t>CL2-218</t>
  </si>
  <si>
    <t>CL2-219</t>
  </si>
  <si>
    <t>CL2-220</t>
  </si>
  <si>
    <t>CL2-221</t>
  </si>
  <si>
    <t>CL2-222</t>
  </si>
  <si>
    <t>CL2-223</t>
  </si>
  <si>
    <t>CL2-224</t>
  </si>
  <si>
    <t>SS-495</t>
  </si>
  <si>
    <t>New Ross (West) 38kV Substation</t>
  </si>
  <si>
    <t>CL2-225</t>
  </si>
  <si>
    <t>SS-069</t>
  </si>
  <si>
    <t>Garryspillane 38kV Substation</t>
  </si>
  <si>
    <t>CL2-226</t>
  </si>
  <si>
    <t>CL2-227</t>
  </si>
  <si>
    <t>CL2-228</t>
  </si>
  <si>
    <t>CL2-229</t>
  </si>
  <si>
    <t>SS-540</t>
  </si>
  <si>
    <t>Templemore 38kV Substation</t>
  </si>
  <si>
    <t>CL2-230</t>
  </si>
  <si>
    <t>CL2-231</t>
  </si>
  <si>
    <t>CL2-232</t>
  </si>
  <si>
    <t>CL2-233</t>
  </si>
  <si>
    <t>SS-097</t>
  </si>
  <si>
    <t>Corderry 110kV Substation</t>
  </si>
  <si>
    <t>CL2-234</t>
  </si>
  <si>
    <t>CL2-235</t>
  </si>
  <si>
    <t>CL2-236</t>
  </si>
  <si>
    <t>SS-698</t>
  </si>
  <si>
    <t>Binbane 38kV Substation</t>
  </si>
  <si>
    <t>CL2-237</t>
  </si>
  <si>
    <t>CL2-238</t>
  </si>
  <si>
    <t>CL2-239</t>
  </si>
  <si>
    <t>CL2-240</t>
  </si>
  <si>
    <t>SS-354</t>
  </si>
  <si>
    <t>Twomilebridge 38kV Substation</t>
  </si>
  <si>
    <t>CL2-241</t>
  </si>
  <si>
    <t>CL2-242</t>
  </si>
  <si>
    <t>CL2-243</t>
  </si>
  <si>
    <t>CL2-244</t>
  </si>
  <si>
    <t>SS-256</t>
  </si>
  <si>
    <t>Mitchelstown West 38kV Substation</t>
  </si>
  <si>
    <t>CL2-245</t>
  </si>
  <si>
    <t>CL2-246</t>
  </si>
  <si>
    <t>SS-016</t>
  </si>
  <si>
    <t>Portlaw 38kV Substation</t>
  </si>
  <si>
    <t>CL2-247</t>
  </si>
  <si>
    <t>SS-692</t>
  </si>
  <si>
    <t>Hollyford 38kV Substation</t>
  </si>
  <si>
    <t>CL2-248</t>
  </si>
  <si>
    <t>SS-368</t>
  </si>
  <si>
    <t>Gortahile 38kV Substation</t>
  </si>
  <si>
    <t>CL2-249</t>
  </si>
  <si>
    <t>SS-084</t>
  </si>
  <si>
    <t>Birr 38kV Substation</t>
  </si>
  <si>
    <t>CL2-250</t>
  </si>
  <si>
    <t>CL2-251</t>
  </si>
  <si>
    <t>CL2-252</t>
  </si>
  <si>
    <t>CL2-253</t>
  </si>
  <si>
    <t>CL2-254</t>
  </si>
  <si>
    <t>CL2-255</t>
  </si>
  <si>
    <t>SS-197</t>
  </si>
  <si>
    <t>Midleton 110kV Substation</t>
  </si>
  <si>
    <t>CL2-256</t>
  </si>
  <si>
    <t>CL2-257</t>
  </si>
  <si>
    <t>SS-489</t>
  </si>
  <si>
    <t>Ballyhale 38kV Substation</t>
  </si>
  <si>
    <t>CL2-258</t>
  </si>
  <si>
    <t>CL2-259</t>
  </si>
  <si>
    <t>CL2-260</t>
  </si>
  <si>
    <t>SS-406</t>
  </si>
  <si>
    <t>Kanturk 38kV Substation</t>
  </si>
  <si>
    <t>CL2-261</t>
  </si>
  <si>
    <t>LAOIS</t>
  </si>
  <si>
    <t>SS-486</t>
  </si>
  <si>
    <t>Castlecomer 38kV Substation</t>
  </si>
  <si>
    <t>CL2-262</t>
  </si>
  <si>
    <t>CL2-263</t>
  </si>
  <si>
    <t>CL2-264</t>
  </si>
  <si>
    <t>CL2-265</t>
  </si>
  <si>
    <t>CL2-266</t>
  </si>
  <si>
    <t>CL2-267</t>
  </si>
  <si>
    <t>CL2-268</t>
  </si>
  <si>
    <t>CL2-269</t>
  </si>
  <si>
    <t>CL2-270</t>
  </si>
  <si>
    <t>CL2-271</t>
  </si>
  <si>
    <t>CL2-272</t>
  </si>
  <si>
    <t>CL2-273</t>
  </si>
  <si>
    <t>CL2-274</t>
  </si>
  <si>
    <t>CL2-275</t>
  </si>
  <si>
    <t>CL2-276</t>
  </si>
  <si>
    <t>CL2-277</t>
  </si>
  <si>
    <t>CL2-278</t>
  </si>
  <si>
    <t>CL2-279</t>
  </si>
  <si>
    <t>WESTMEATH</t>
  </si>
  <si>
    <t>SS-246</t>
  </si>
  <si>
    <t>Loughanalla 38kV Substation</t>
  </si>
  <si>
    <t>CL2-280</t>
  </si>
  <si>
    <t>SS-517</t>
  </si>
  <si>
    <t>Delvin 38kV Substation</t>
  </si>
  <si>
    <t>CL2-281</t>
  </si>
  <si>
    <t>SS-388</t>
  </si>
  <si>
    <t>Oldcastle 38kV Substation</t>
  </si>
  <si>
    <t>CL2-282</t>
  </si>
  <si>
    <t>CL2-283</t>
  </si>
  <si>
    <t>CL2-284</t>
  </si>
  <si>
    <t>CL2-285</t>
  </si>
  <si>
    <t>CL2-286</t>
  </si>
  <si>
    <t>CL2-287</t>
  </si>
  <si>
    <t>CL2-288</t>
  </si>
  <si>
    <t>CL2-289</t>
  </si>
  <si>
    <t>CL2-290</t>
  </si>
  <si>
    <t>CL2-291</t>
  </si>
  <si>
    <t>CL2-292</t>
  </si>
  <si>
    <t>CL2-293</t>
  </si>
  <si>
    <t>CL2-294</t>
  </si>
  <si>
    <t>CL2-295</t>
  </si>
  <si>
    <t>SS-087</t>
  </si>
  <si>
    <t>Cliff 110kV Substation</t>
  </si>
  <si>
    <t>CL2-296</t>
  </si>
  <si>
    <t>CL2-297</t>
  </si>
  <si>
    <t>CL2-298</t>
  </si>
  <si>
    <t>CL2-299</t>
  </si>
  <si>
    <t>CL2-300</t>
  </si>
  <si>
    <t>CL2-301</t>
  </si>
  <si>
    <t>CL2-302</t>
  </si>
  <si>
    <t>CL2-303</t>
  </si>
  <si>
    <t>SS-111</t>
  </si>
  <si>
    <t>Gortawee 110kV Station</t>
  </si>
  <si>
    <t>CL2-304</t>
  </si>
  <si>
    <t>CL2-305</t>
  </si>
  <si>
    <t>CL2-306</t>
  </si>
  <si>
    <t>CL2-307</t>
  </si>
  <si>
    <t>CL2-308</t>
  </si>
  <si>
    <t>SS-314</t>
  </si>
  <si>
    <t>Richfield 38kV Substation</t>
  </si>
  <si>
    <t>CL2-309</t>
  </si>
  <si>
    <t>CL2-310</t>
  </si>
  <si>
    <t>SS-254</t>
  </si>
  <si>
    <t>Glanta Commons 38kV Station</t>
  </si>
  <si>
    <t>CL2-311</t>
  </si>
  <si>
    <t>CL2-312</t>
  </si>
  <si>
    <t>CL2-313</t>
  </si>
  <si>
    <t>CL2-314</t>
  </si>
  <si>
    <t>CL2-315</t>
  </si>
  <si>
    <t>CL2-316</t>
  </si>
  <si>
    <t>CL2-317</t>
  </si>
  <si>
    <t>CL2-318</t>
  </si>
  <si>
    <t>CL2-319</t>
  </si>
  <si>
    <t>CL2-320</t>
  </si>
  <si>
    <t>CL2-321</t>
  </si>
  <si>
    <t>CL2-322</t>
  </si>
  <si>
    <t>CL2-323</t>
  </si>
  <si>
    <t>CL2-324</t>
  </si>
  <si>
    <t>CL2-325</t>
  </si>
  <si>
    <t>CL2-326</t>
  </si>
  <si>
    <t>CL2-327</t>
  </si>
  <si>
    <t>CL2-328</t>
  </si>
  <si>
    <t>CL2-329</t>
  </si>
  <si>
    <t>CL2-330</t>
  </si>
  <si>
    <t>CL2-331</t>
  </si>
  <si>
    <t>CL2-332</t>
  </si>
  <si>
    <t>CL2-333</t>
  </si>
  <si>
    <t>CL2-334</t>
  </si>
  <si>
    <t>CL2-335</t>
  </si>
  <si>
    <t>CL2-336</t>
  </si>
  <si>
    <t>CL2-337</t>
  </si>
  <si>
    <t>CL2-338</t>
  </si>
  <si>
    <t>CL2-339</t>
  </si>
  <si>
    <t>CL2-340</t>
  </si>
  <si>
    <t>CL2-341</t>
  </si>
  <si>
    <t>CL2-342</t>
  </si>
  <si>
    <t>CL2-343</t>
  </si>
  <si>
    <t>SS-157</t>
  </si>
  <si>
    <t>Oughtragh 110kV Substation</t>
  </si>
  <si>
    <t>CL2-344</t>
  </si>
  <si>
    <t>CL2-345</t>
  </si>
  <si>
    <t>CL2-346</t>
  </si>
  <si>
    <t>CL2-347</t>
  </si>
  <si>
    <t>CL2-348</t>
  </si>
  <si>
    <t>CL2-349</t>
  </si>
  <si>
    <t>CL2-350</t>
  </si>
  <si>
    <t>CL2-351</t>
  </si>
  <si>
    <t>CL2-352</t>
  </si>
  <si>
    <t>CL2-353</t>
  </si>
  <si>
    <t>CL2-354</t>
  </si>
  <si>
    <t>CL2-355</t>
  </si>
  <si>
    <t>CL2-356</t>
  </si>
  <si>
    <t>CL2-357</t>
  </si>
  <si>
    <t>CL2-358</t>
  </si>
  <si>
    <t>CL2-359</t>
  </si>
  <si>
    <t>CL2-360</t>
  </si>
  <si>
    <t>CL2-361</t>
  </si>
  <si>
    <t>CL2-362</t>
  </si>
  <si>
    <t>CL2-363</t>
  </si>
  <si>
    <t>CL2-364</t>
  </si>
  <si>
    <t>CL2-365</t>
  </si>
  <si>
    <t>CL2-366</t>
  </si>
  <si>
    <t>CL2-367</t>
  </si>
  <si>
    <t>CL2-368</t>
  </si>
  <si>
    <t>CL2-369</t>
  </si>
  <si>
    <t>CL2-370</t>
  </si>
  <si>
    <t>CL2-371</t>
  </si>
  <si>
    <t>CL2-372</t>
  </si>
  <si>
    <t>CL2-373</t>
  </si>
  <si>
    <t>CL2-374</t>
  </si>
  <si>
    <t>CL2-375</t>
  </si>
  <si>
    <t>CL2-376</t>
  </si>
  <si>
    <t>CL2-377</t>
  </si>
  <si>
    <t>CL2-378</t>
  </si>
  <si>
    <t>CL2-379</t>
  </si>
  <si>
    <t>CL2-380</t>
  </si>
  <si>
    <t>CL2-381</t>
  </si>
  <si>
    <t>CL2-382</t>
  </si>
  <si>
    <t>CL2-383</t>
  </si>
  <si>
    <t>SS-147</t>
  </si>
  <si>
    <t>Smearla 38kV Substation</t>
  </si>
  <si>
    <t>CL2-384</t>
  </si>
  <si>
    <t>CL2-385</t>
  </si>
  <si>
    <t>CL2-386</t>
  </si>
  <si>
    <t>CL2-387</t>
  </si>
  <si>
    <t>CL2-388</t>
  </si>
  <si>
    <t>CL2-389</t>
  </si>
  <si>
    <t>CL2-390</t>
  </si>
  <si>
    <t>CL2-391</t>
  </si>
  <si>
    <t>CL2-392</t>
  </si>
  <si>
    <t>CL2-393</t>
  </si>
  <si>
    <t>CL2-394</t>
  </si>
  <si>
    <t>CL2-395</t>
  </si>
  <si>
    <t>CL2-396</t>
  </si>
  <si>
    <t>CL2-397</t>
  </si>
  <si>
    <t>CL2-398</t>
  </si>
  <si>
    <t>CL2-399</t>
  </si>
  <si>
    <t>CL2-400</t>
  </si>
  <si>
    <t>CL2-401</t>
  </si>
  <si>
    <t>CL2-402</t>
  </si>
  <si>
    <t>CL2-403</t>
  </si>
  <si>
    <t>CL2-404</t>
  </si>
  <si>
    <t>CL2-405</t>
  </si>
  <si>
    <t>CL2-406</t>
  </si>
  <si>
    <t>CL2-407</t>
  </si>
  <si>
    <t>CL2-408</t>
  </si>
  <si>
    <t>CL2-409</t>
  </si>
  <si>
    <t>CL2-410</t>
  </si>
  <si>
    <t>CL2-411</t>
  </si>
  <si>
    <t>CL2-412</t>
  </si>
  <si>
    <t>CL2-413</t>
  </si>
  <si>
    <t>CL2-414</t>
  </si>
  <si>
    <t>CL2-415</t>
  </si>
  <si>
    <t>CL2-416</t>
  </si>
  <si>
    <t>CL2-417</t>
  </si>
  <si>
    <t>CL2-418</t>
  </si>
  <si>
    <t>CL2-419</t>
  </si>
  <si>
    <t>CL2-420</t>
  </si>
  <si>
    <t>CL2-421</t>
  </si>
  <si>
    <t>CL2-422</t>
  </si>
  <si>
    <t>CL2-423</t>
  </si>
  <si>
    <t>CL2-424</t>
  </si>
  <si>
    <t>CL2-425</t>
  </si>
  <si>
    <t>CL2-426</t>
  </si>
  <si>
    <t>CL2-427</t>
  </si>
  <si>
    <t>CL2-428</t>
  </si>
  <si>
    <t>CL2-429</t>
  </si>
  <si>
    <t>CL2-430</t>
  </si>
  <si>
    <t>CL2-431</t>
  </si>
  <si>
    <t>CL2-432</t>
  </si>
  <si>
    <t>CL2-433</t>
  </si>
  <si>
    <t>CL2-434</t>
  </si>
  <si>
    <t>CL2-435</t>
  </si>
  <si>
    <t>CL2-436</t>
  </si>
  <si>
    <t>CL2-437</t>
  </si>
  <si>
    <t>CL2-438</t>
  </si>
  <si>
    <t>CL2-439</t>
  </si>
  <si>
    <t>CL2-440</t>
  </si>
  <si>
    <t>CL2-441</t>
  </si>
  <si>
    <t>CL2-442</t>
  </si>
  <si>
    <t>CL2-443</t>
  </si>
  <si>
    <t>CL2-444</t>
  </si>
  <si>
    <t>CL2-445</t>
  </si>
  <si>
    <t>CL2-446</t>
  </si>
  <si>
    <t>CL2-447</t>
  </si>
  <si>
    <t>CL2-448</t>
  </si>
  <si>
    <t>CL2-449</t>
  </si>
  <si>
    <t>CL2-450</t>
  </si>
  <si>
    <t>CL2-451</t>
  </si>
  <si>
    <t>CL2-452</t>
  </si>
  <si>
    <t>CL2-453</t>
  </si>
  <si>
    <t>CL2-454</t>
  </si>
  <si>
    <t>CL2-455</t>
  </si>
  <si>
    <t>CL2-456</t>
  </si>
  <si>
    <t>CL2-457</t>
  </si>
  <si>
    <t>CL2-458</t>
  </si>
  <si>
    <t>CL2-459</t>
  </si>
  <si>
    <t>CL2-460</t>
  </si>
  <si>
    <t>CL2-461</t>
  </si>
  <si>
    <t>CL2-462</t>
  </si>
  <si>
    <t>CL2-463</t>
  </si>
  <si>
    <t>CL2-464</t>
  </si>
  <si>
    <t>CL2-465</t>
  </si>
  <si>
    <t>CL2-466</t>
  </si>
  <si>
    <t>CL2-467</t>
  </si>
  <si>
    <t>CL2-468</t>
  </si>
  <si>
    <t>CL2-469</t>
  </si>
  <si>
    <t>CL2-470</t>
  </si>
  <si>
    <t>CL2-471</t>
  </si>
  <si>
    <t>CL2-472</t>
  </si>
  <si>
    <t>CL2-473</t>
  </si>
  <si>
    <t>CL2-474</t>
  </si>
  <si>
    <t>CL2-475</t>
  </si>
  <si>
    <t>CL2-476</t>
  </si>
  <si>
    <t>CL2-477</t>
  </si>
  <si>
    <t>CL2-478</t>
  </si>
  <si>
    <t>CL2-479</t>
  </si>
  <si>
    <t>CL2-480</t>
  </si>
  <si>
    <t>CL2-481</t>
  </si>
  <si>
    <t>CL2-482</t>
  </si>
  <si>
    <t>CL2-483</t>
  </si>
  <si>
    <t>CL2-484</t>
  </si>
  <si>
    <t>CL2-485</t>
  </si>
  <si>
    <t>CL2-486</t>
  </si>
  <si>
    <t>CL2-487</t>
  </si>
  <si>
    <t>SS-074</t>
  </si>
  <si>
    <t>Tobercurry 38kV Substation</t>
  </si>
  <si>
    <t>CL2-488</t>
  </si>
  <si>
    <t>CL2-489</t>
  </si>
  <si>
    <t>CL2-490</t>
  </si>
  <si>
    <t>CL2-491</t>
  </si>
  <si>
    <t>CL2-492</t>
  </si>
  <si>
    <t>CL2-493</t>
  </si>
  <si>
    <t>CL2-494</t>
  </si>
  <si>
    <t>CL2-495</t>
  </si>
  <si>
    <t>SS-031</t>
  </si>
  <si>
    <t>Sligo 110kV Substation</t>
  </si>
  <si>
    <t>CL2-496</t>
  </si>
  <si>
    <t>CL2-497</t>
  </si>
  <si>
    <t>CL2-498</t>
  </si>
  <si>
    <t>CL2-499</t>
  </si>
  <si>
    <t>CL2-500</t>
  </si>
  <si>
    <t>CL2-501</t>
  </si>
  <si>
    <t>CL2-502</t>
  </si>
  <si>
    <t>CL2-503</t>
  </si>
  <si>
    <t>CL2-504</t>
  </si>
  <si>
    <t>CL2-505</t>
  </si>
  <si>
    <t>CL2-506</t>
  </si>
  <si>
    <t>CL2-507</t>
  </si>
  <si>
    <t>CL2-509</t>
  </si>
  <si>
    <t>CL2-510</t>
  </si>
  <si>
    <t>SS-089</t>
  </si>
  <si>
    <t>Loughderryduff 38kV Substation</t>
  </si>
  <si>
    <t>CL2-511</t>
  </si>
  <si>
    <t>CL2-512</t>
  </si>
  <si>
    <t>CL2-513</t>
  </si>
  <si>
    <t>CL2-514</t>
  </si>
  <si>
    <t>CL2-515</t>
  </si>
  <si>
    <t>CL2-516</t>
  </si>
  <si>
    <t>CL2-517</t>
  </si>
  <si>
    <t>CL2-518</t>
  </si>
  <si>
    <t>CL2-519</t>
  </si>
  <si>
    <t>CL2-520</t>
  </si>
  <si>
    <t>CL2-521</t>
  </si>
  <si>
    <t>CL2-522</t>
  </si>
  <si>
    <t>CL2-523</t>
  </si>
  <si>
    <t>CL2-524</t>
  </si>
  <si>
    <t>CL2-525</t>
  </si>
  <si>
    <t>CL2-526</t>
  </si>
  <si>
    <t>CL2-527</t>
  </si>
  <si>
    <t>CL2-528</t>
  </si>
  <si>
    <t>CL2-529</t>
  </si>
  <si>
    <t>CL2-530</t>
  </si>
  <si>
    <t>CL2-531</t>
  </si>
  <si>
    <t>CL2-532</t>
  </si>
  <si>
    <t>CL2-533</t>
  </si>
  <si>
    <t>CL2-534</t>
  </si>
  <si>
    <t>SS-289</t>
  </si>
  <si>
    <t>Gweedore 38kV Substation</t>
  </si>
  <si>
    <t>CL2-535</t>
  </si>
  <si>
    <t>CL2-536</t>
  </si>
  <si>
    <t>CL2-537</t>
  </si>
  <si>
    <t>CL2-538</t>
  </si>
  <si>
    <t>CL2-539</t>
  </si>
  <si>
    <t>CL2-540</t>
  </si>
  <si>
    <t>CL2-541</t>
  </si>
  <si>
    <t>CL2-542</t>
  </si>
  <si>
    <t>CL2-543</t>
  </si>
  <si>
    <t>CL2-544</t>
  </si>
  <si>
    <t>CL2-545</t>
  </si>
  <si>
    <t>CL2-546</t>
  </si>
  <si>
    <t>CL2-547</t>
  </si>
  <si>
    <t>CL2-548</t>
  </si>
  <si>
    <t>CL2-549</t>
  </si>
  <si>
    <t>SS-128</t>
  </si>
  <si>
    <t>Garvagh Glebe 110kV Substation</t>
  </si>
  <si>
    <t>CL2-550</t>
  </si>
  <si>
    <t>CL2-551</t>
  </si>
  <si>
    <t>CL2-552</t>
  </si>
  <si>
    <t>CL2-553</t>
  </si>
  <si>
    <t>CL2-554</t>
  </si>
  <si>
    <t>SS-487</t>
  </si>
  <si>
    <t>Bagenalstown 38kV Substation</t>
  </si>
  <si>
    <t>CL2-555</t>
  </si>
  <si>
    <t>CL2-556</t>
  </si>
  <si>
    <t>CL2-557</t>
  </si>
  <si>
    <t>CL2-558</t>
  </si>
  <si>
    <t>CL2-559</t>
  </si>
  <si>
    <t>CL2-560</t>
  </si>
  <si>
    <t>CL2-561</t>
  </si>
  <si>
    <t>CL2-562</t>
  </si>
  <si>
    <t>CL2-563</t>
  </si>
  <si>
    <t>CL2-564</t>
  </si>
  <si>
    <t>CL2-565</t>
  </si>
  <si>
    <t>CL2-566</t>
  </si>
  <si>
    <t>CL2-567</t>
  </si>
  <si>
    <t>CL2-568</t>
  </si>
  <si>
    <t>CL2-569</t>
  </si>
  <si>
    <t>CL2-570</t>
  </si>
  <si>
    <t>CL2-571</t>
  </si>
  <si>
    <t>CL2-572</t>
  </si>
  <si>
    <t>CL2-573</t>
  </si>
  <si>
    <t>CL2-574</t>
  </si>
  <si>
    <t>CL2-575</t>
  </si>
  <si>
    <t>CL2-576</t>
  </si>
  <si>
    <t>CL2-577</t>
  </si>
  <si>
    <t>CL2-578</t>
  </si>
  <si>
    <t>CL2-579</t>
  </si>
  <si>
    <t>CL2-580</t>
  </si>
  <si>
    <t>CL2-581</t>
  </si>
  <si>
    <t>CL2-582</t>
  </si>
  <si>
    <t>SS-071</t>
  </si>
  <si>
    <t>Coomagearlahy Substation</t>
  </si>
  <si>
    <t>medium-low</t>
  </si>
  <si>
    <t>CL2-583</t>
  </si>
  <si>
    <t>CL2-584</t>
  </si>
  <si>
    <t>CL2-585</t>
  </si>
  <si>
    <t>CL2-586</t>
  </si>
  <si>
    <t>CL2-587</t>
  </si>
  <si>
    <t>CL2-588</t>
  </si>
  <si>
    <t>CL2-589</t>
  </si>
  <si>
    <t>CL2-590</t>
  </si>
  <si>
    <t>CL2-591</t>
  </si>
  <si>
    <t>CL2-592</t>
  </si>
  <si>
    <t>SS-394</t>
  </si>
  <si>
    <t>Kilberrihert 38kV Substation</t>
  </si>
  <si>
    <t>CL2-593</t>
  </si>
  <si>
    <t>CL2-594</t>
  </si>
  <si>
    <t>CL2-595</t>
  </si>
  <si>
    <t>CL2-596</t>
  </si>
  <si>
    <t>CL2-597</t>
  </si>
  <si>
    <t>SS-116</t>
  </si>
  <si>
    <t>Ardnacrusha 110kV Substation</t>
  </si>
  <si>
    <t>CL2-598</t>
  </si>
  <si>
    <t>CL2-599</t>
  </si>
  <si>
    <t>CL2-600</t>
  </si>
  <si>
    <t>SS-155</t>
  </si>
  <si>
    <t>Booltiagh 110kV Substation</t>
  </si>
  <si>
    <t>CL2-601</t>
  </si>
  <si>
    <t>SS-700</t>
  </si>
  <si>
    <t>Letteragh 38kV Substation</t>
  </si>
  <si>
    <t>CL2-602</t>
  </si>
  <si>
    <t>CL2-603</t>
  </si>
  <si>
    <t>CL2-604</t>
  </si>
  <si>
    <t>CL2-605</t>
  </si>
  <si>
    <t>CL2-606</t>
  </si>
  <si>
    <t>CL2-607</t>
  </si>
  <si>
    <t>CL2-608</t>
  </si>
  <si>
    <t>CL2-609</t>
  </si>
  <si>
    <t>CL2-610</t>
  </si>
  <si>
    <t>CL2-611</t>
  </si>
  <si>
    <t>CL2-612</t>
  </si>
  <si>
    <t>CL2-613</t>
  </si>
  <si>
    <t>CL2-614</t>
  </si>
  <si>
    <t>CL2-615</t>
  </si>
  <si>
    <t>CL2-616</t>
  </si>
  <si>
    <t>CL2-617</t>
  </si>
  <si>
    <t>CL2-618</t>
  </si>
  <si>
    <t>CL2-619</t>
  </si>
  <si>
    <t>CL2-620</t>
  </si>
  <si>
    <t>CL2-621</t>
  </si>
  <si>
    <t>CL2-622</t>
  </si>
  <si>
    <t>CL2-623</t>
  </si>
  <si>
    <t>CL2-624</t>
  </si>
  <si>
    <t>CL2-625</t>
  </si>
  <si>
    <t>CL2-626</t>
  </si>
  <si>
    <t>CL2-627</t>
  </si>
  <si>
    <t>CL2-628</t>
  </si>
  <si>
    <t>CL2-629</t>
  </si>
  <si>
    <t>CL2-630</t>
  </si>
  <si>
    <t>CL2-631</t>
  </si>
  <si>
    <t>CL2-632</t>
  </si>
  <si>
    <t>CL2-633</t>
  </si>
  <si>
    <t>CL2-634</t>
  </si>
  <si>
    <t>CL2-635</t>
  </si>
  <si>
    <t>CL2-636</t>
  </si>
  <si>
    <t>CL2-637</t>
  </si>
  <si>
    <t>CL2-638</t>
  </si>
  <si>
    <t>CL2-639</t>
  </si>
  <si>
    <t>CL2-640</t>
  </si>
  <si>
    <t>CL2-641</t>
  </si>
  <si>
    <t>SS-572</t>
  </si>
  <si>
    <t>Glenties 38kV Substation</t>
  </si>
  <si>
    <t>CL2-642</t>
  </si>
  <si>
    <t>CL2-643</t>
  </si>
  <si>
    <t>CL2-644</t>
  </si>
  <si>
    <t>CL2-645</t>
  </si>
  <si>
    <t>CL2-646</t>
  </si>
  <si>
    <t>SS-015</t>
  </si>
  <si>
    <t>Letterkenny 110kV Station</t>
  </si>
  <si>
    <t>CL2-647</t>
  </si>
  <si>
    <t>CL2-648</t>
  </si>
  <si>
    <t>CL2-649</t>
  </si>
  <si>
    <t>CL2-650</t>
  </si>
  <si>
    <t>CL2-651</t>
  </si>
  <si>
    <t>CL2-652</t>
  </si>
  <si>
    <t>CL2-653</t>
  </si>
  <si>
    <t>CL2-654</t>
  </si>
  <si>
    <t>CL2-655</t>
  </si>
  <si>
    <t>SS-130</t>
  </si>
  <si>
    <t>An Spid├®al 38kV Substation</t>
  </si>
  <si>
    <t>CL2-656</t>
  </si>
  <si>
    <t>CL2-657</t>
  </si>
  <si>
    <t>CL2-658</t>
  </si>
  <si>
    <t>CL2-659</t>
  </si>
  <si>
    <t>CL2-660</t>
  </si>
  <si>
    <t>SS-661</t>
  </si>
  <si>
    <t>Knockranny 110kV Substation</t>
  </si>
  <si>
    <t>CL2-661</t>
  </si>
  <si>
    <t>CL2-662</t>
  </si>
  <si>
    <t>CL2-663</t>
  </si>
  <si>
    <t>CL2-664</t>
  </si>
  <si>
    <t>CL2-665</t>
  </si>
  <si>
    <t>CL2-666</t>
  </si>
  <si>
    <t>CL2-667</t>
  </si>
  <si>
    <t>CL2-668</t>
  </si>
  <si>
    <t>CL2-669</t>
  </si>
  <si>
    <t>CL2-670</t>
  </si>
  <si>
    <t>SS-507</t>
  </si>
  <si>
    <t>Kilcloher 38kV Substation</t>
  </si>
  <si>
    <t>CL2-671</t>
  </si>
  <si>
    <t>CL2-672</t>
  </si>
  <si>
    <t>CL2-673</t>
  </si>
  <si>
    <t>CL2-674</t>
  </si>
  <si>
    <t>CL2-675</t>
  </si>
  <si>
    <t>CL2-676</t>
  </si>
  <si>
    <t>CL2-677</t>
  </si>
  <si>
    <t>CL2-678</t>
  </si>
  <si>
    <t>CL2-679</t>
  </si>
  <si>
    <t>CL2-680</t>
  </si>
  <si>
    <t>CL2-681</t>
  </si>
  <si>
    <t>CL2-682</t>
  </si>
  <si>
    <t>SS-583</t>
  </si>
  <si>
    <t>Castletownroche 38kV Substation</t>
  </si>
  <si>
    <t>CL2-683</t>
  </si>
  <si>
    <t>CL2-684</t>
  </si>
  <si>
    <t>CL2-685</t>
  </si>
  <si>
    <t>CL2-686</t>
  </si>
  <si>
    <t>CL2-687</t>
  </si>
  <si>
    <t>CL2-688</t>
  </si>
  <si>
    <t>CL2-689</t>
  </si>
  <si>
    <t>CL2-690</t>
  </si>
  <si>
    <t>SS-295</t>
  </si>
  <si>
    <t>Doon 110kV Substation</t>
  </si>
  <si>
    <t>CL2-691</t>
  </si>
  <si>
    <t>CL2-692</t>
  </si>
  <si>
    <t>CL2-693</t>
  </si>
  <si>
    <t>CL2-694</t>
  </si>
  <si>
    <t>CL2-695</t>
  </si>
  <si>
    <t>SS-433</t>
  </si>
  <si>
    <t>Lee Bridge 38kV Substation</t>
  </si>
  <si>
    <t>CL2-696</t>
  </si>
  <si>
    <t>SS-538</t>
  </si>
  <si>
    <t>Galmoy 38kV Substation</t>
  </si>
  <si>
    <t>CL2-697</t>
  </si>
  <si>
    <t>CL2-698</t>
  </si>
  <si>
    <t>CL2-699</t>
  </si>
  <si>
    <t>CL2-700</t>
  </si>
  <si>
    <t>CL2-701</t>
  </si>
  <si>
    <t>SS-103</t>
  </si>
  <si>
    <t>Claregalway 38kV Substation</t>
  </si>
  <si>
    <t>CL2-702</t>
  </si>
  <si>
    <t>CL2-703</t>
  </si>
  <si>
    <t>CL2-704</t>
  </si>
  <si>
    <t>CL2-705</t>
  </si>
  <si>
    <t>CL2-706</t>
  </si>
  <si>
    <t>CL2-707</t>
  </si>
  <si>
    <t>CL2-708</t>
  </si>
  <si>
    <t>CL2-709</t>
  </si>
  <si>
    <t>CL2-710</t>
  </si>
  <si>
    <t>CL2-711</t>
  </si>
  <si>
    <t>CL2-712</t>
  </si>
  <si>
    <t>CL2-713</t>
  </si>
  <si>
    <t>CL2-714</t>
  </si>
  <si>
    <t>CL2-715</t>
  </si>
  <si>
    <t>CL2-716</t>
  </si>
  <si>
    <t>CL2-717</t>
  </si>
  <si>
    <t>CL2-718</t>
  </si>
  <si>
    <t>CL2-719</t>
  </si>
  <si>
    <t>CL2-720</t>
  </si>
  <si>
    <t>CL2-721</t>
  </si>
  <si>
    <t>CL2-722</t>
  </si>
  <si>
    <t>CL2-723</t>
  </si>
  <si>
    <t>SS-032</t>
  </si>
  <si>
    <t>Mallow 110kV Substation</t>
  </si>
  <si>
    <t>CL2-724</t>
  </si>
  <si>
    <t>SS-034</t>
  </si>
  <si>
    <t>Athy 110kV Substation</t>
  </si>
  <si>
    <t>CL2-725</t>
  </si>
  <si>
    <t>SS-483</t>
  </si>
  <si>
    <t>Birdhill 38kV Substation</t>
  </si>
  <si>
    <t>CL2-726</t>
  </si>
  <si>
    <t>SS-602</t>
  </si>
  <si>
    <t>Avoca 38kV Substation</t>
  </si>
  <si>
    <t>CL2-727</t>
  </si>
  <si>
    <t>CL2-728</t>
  </si>
  <si>
    <t>CL2-729</t>
  </si>
  <si>
    <t>CL2-730</t>
  </si>
  <si>
    <t>SS-669</t>
  </si>
  <si>
    <t>38kV Substation</t>
  </si>
  <si>
    <t>CL2-731</t>
  </si>
  <si>
    <t>CL2-732</t>
  </si>
  <si>
    <t>CL2-733</t>
  </si>
  <si>
    <t>CL2-734</t>
  </si>
  <si>
    <t>CL2-735</t>
  </si>
  <si>
    <t>CL2-736</t>
  </si>
  <si>
    <t>CL2-737</t>
  </si>
  <si>
    <t>CL2-738</t>
  </si>
  <si>
    <t>CL2-739</t>
  </si>
  <si>
    <t>CL2-740</t>
  </si>
  <si>
    <t>CL2-741</t>
  </si>
  <si>
    <t>CL2-742</t>
  </si>
  <si>
    <t>CL2-743</t>
  </si>
  <si>
    <t>CL2-744</t>
  </si>
  <si>
    <t>CL2-745</t>
  </si>
  <si>
    <t>CL2-746</t>
  </si>
  <si>
    <t>CL2-747</t>
  </si>
  <si>
    <t>CL2-748</t>
  </si>
  <si>
    <t>CL2-749</t>
  </si>
  <si>
    <t>CL2-750</t>
  </si>
  <si>
    <t>CL2-751</t>
  </si>
  <si>
    <t>CL2-752</t>
  </si>
  <si>
    <t>SS-173</t>
  </si>
  <si>
    <t>Charlestown 38kV Substation</t>
  </si>
  <si>
    <t>CL2-753</t>
  </si>
  <si>
    <t>CL2-754</t>
  </si>
  <si>
    <t>CL2-755</t>
  </si>
  <si>
    <t>CL2-756</t>
  </si>
  <si>
    <t>CL2-757</t>
  </si>
  <si>
    <t>CL2-758</t>
  </si>
  <si>
    <t>CL2-759</t>
  </si>
  <si>
    <t>CL2-760</t>
  </si>
  <si>
    <t>SS-574</t>
  </si>
  <si>
    <t>Convoy 38kV Substation</t>
  </si>
  <si>
    <t>CL2-761</t>
  </si>
  <si>
    <t>CL2-762</t>
  </si>
  <si>
    <t>SS-139</t>
  </si>
  <si>
    <t>Gortlee 38kV Substation</t>
  </si>
  <si>
    <t>CL2-763</t>
  </si>
  <si>
    <t>CL2-764</t>
  </si>
  <si>
    <t>CL2-765</t>
  </si>
  <si>
    <t>CL2-766</t>
  </si>
  <si>
    <t>CL2-767</t>
  </si>
  <si>
    <t>CL3-001</t>
  </si>
  <si>
    <t>CL3-002</t>
  </si>
  <si>
    <t>CL3-003</t>
  </si>
  <si>
    <t>SS-493</t>
  </si>
  <si>
    <t>Enniscorthy 38kV Substation</t>
  </si>
  <si>
    <t>CL3-005</t>
  </si>
  <si>
    <t>CL3-006</t>
  </si>
  <si>
    <t>CL3-007</t>
  </si>
  <si>
    <t>CL3-008</t>
  </si>
  <si>
    <t>SS-144</t>
  </si>
  <si>
    <t>Monateen 110kV Substation</t>
  </si>
  <si>
    <t>CL3-009</t>
  </si>
  <si>
    <t>SS-176</t>
  </si>
  <si>
    <t>Shannon 38kV Substation</t>
  </si>
  <si>
    <t>CL3-010</t>
  </si>
  <si>
    <t>SS-673</t>
  </si>
  <si>
    <t>Drumquin 38kV Substation</t>
  </si>
  <si>
    <t>CL3-011</t>
  </si>
  <si>
    <t>CL3-012</t>
  </si>
  <si>
    <t>SS-300</t>
  </si>
  <si>
    <t>Lisheen 110kV Substation</t>
  </si>
  <si>
    <t>CL3-013</t>
  </si>
  <si>
    <t>CL3-014</t>
  </si>
  <si>
    <t>CL3-015</t>
  </si>
  <si>
    <t>SS-590</t>
  </si>
  <si>
    <t>Bruff 38kV Substation</t>
  </si>
  <si>
    <t>CL3-016</t>
  </si>
  <si>
    <t>CL3-017</t>
  </si>
  <si>
    <t>SS-141</t>
  </si>
  <si>
    <t>Ennis North 38kV Substation</t>
  </si>
  <si>
    <t>CL3-018</t>
  </si>
  <si>
    <t>SS-012</t>
  </si>
  <si>
    <t>Ennis 110kV Substation</t>
  </si>
  <si>
    <t>CL3-019</t>
  </si>
  <si>
    <t>CL3-020</t>
  </si>
  <si>
    <t>SS-439</t>
  </si>
  <si>
    <t>Loughrea 38kV Substation</t>
  </si>
  <si>
    <t>CL3-021</t>
  </si>
  <si>
    <t>SS-502</t>
  </si>
  <si>
    <t>Ballinasloe 38kV Substation</t>
  </si>
  <si>
    <t>CL3-022</t>
  </si>
  <si>
    <t>SS-269</t>
  </si>
  <si>
    <t>Shannonbridge 110kV Substation</t>
  </si>
  <si>
    <t>CL3-023</t>
  </si>
  <si>
    <t>CL3-024</t>
  </si>
  <si>
    <t>CL3-025</t>
  </si>
  <si>
    <t>CL3-026</t>
  </si>
  <si>
    <t>CL3-027</t>
  </si>
  <si>
    <t>SS-701</t>
  </si>
  <si>
    <t>Clarkstown 38kV Substation</t>
  </si>
  <si>
    <t>CL3-028</t>
  </si>
  <si>
    <t>LONGFORD</t>
  </si>
  <si>
    <t>SS-575</t>
  </si>
  <si>
    <t>Aghamore 38kV Substation</t>
  </si>
  <si>
    <t>CL3-029</t>
  </si>
  <si>
    <t>CL3-030</t>
  </si>
  <si>
    <t>KILDARE</t>
  </si>
  <si>
    <t>SS-657</t>
  </si>
  <si>
    <t>Edenderry 38kV Substation</t>
  </si>
  <si>
    <t>CL3-031</t>
  </si>
  <si>
    <t>SS-216</t>
  </si>
  <si>
    <t>Blake 110kV Substation</t>
  </si>
  <si>
    <t>CL3-032</t>
  </si>
  <si>
    <t>CL3-033</t>
  </si>
  <si>
    <t>SS-530</t>
  </si>
  <si>
    <t>Esker 110kV Substation</t>
  </si>
  <si>
    <t>CL3-034</t>
  </si>
  <si>
    <t>SS-168</t>
  </si>
  <si>
    <t>Derryiron 110kV Substation</t>
  </si>
  <si>
    <t>CL3-035</t>
  </si>
  <si>
    <t>CL3-036</t>
  </si>
  <si>
    <t>CL3-037</t>
  </si>
  <si>
    <t>SS-053</t>
  </si>
  <si>
    <t>Ikerrin 110kV Substation</t>
  </si>
  <si>
    <t>CL3-038</t>
  </si>
  <si>
    <t>SS-228</t>
  </si>
  <si>
    <t>Dunfierth 110kV Substation</t>
  </si>
  <si>
    <t>CL3-039</t>
  </si>
  <si>
    <t>CL3-040</t>
  </si>
  <si>
    <t>SS-544</t>
  </si>
  <si>
    <t>Ballybailie 38kV Substation</t>
  </si>
  <si>
    <t>CL3-041</t>
  </si>
  <si>
    <t>CL3-042</t>
  </si>
  <si>
    <t>CL3-043</t>
  </si>
  <si>
    <t>SS-175</t>
  </si>
  <si>
    <t>Ballygar 38kV Substation</t>
  </si>
  <si>
    <t>CL3-044</t>
  </si>
  <si>
    <t>SS-229</t>
  </si>
  <si>
    <t>Mullingar 110kV Substation</t>
  </si>
  <si>
    <t>CL3-045</t>
  </si>
  <si>
    <t>CL3-046</t>
  </si>
  <si>
    <t>CL3-047</t>
  </si>
  <si>
    <t>CL3-048</t>
  </si>
  <si>
    <t>CL3-049</t>
  </si>
  <si>
    <t>CL3-050</t>
  </si>
  <si>
    <t>SS-551</t>
  </si>
  <si>
    <t>Dallow 110kV Substation</t>
  </si>
  <si>
    <t>CL3-051</t>
  </si>
  <si>
    <t>CL3-052</t>
  </si>
  <si>
    <t>SS-652</t>
  </si>
  <si>
    <t>Garrycastle 38kV Substation</t>
  </si>
  <si>
    <t>CL3-053</t>
  </si>
  <si>
    <t>CL3-054</t>
  </si>
  <si>
    <t>CL3-055</t>
  </si>
  <si>
    <t>CL3-056</t>
  </si>
  <si>
    <t>CL3-057</t>
  </si>
  <si>
    <t>CL3-058</t>
  </si>
  <si>
    <t>SS-098</t>
  </si>
  <si>
    <t>Callan 38kV Substation</t>
  </si>
  <si>
    <t>CL3-059</t>
  </si>
  <si>
    <t>CL3-060</t>
  </si>
  <si>
    <t>SS-459</t>
  </si>
  <si>
    <t>Ballycrossaun 38kV Substation</t>
  </si>
  <si>
    <t>CL3-061</t>
  </si>
  <si>
    <t>SS-325</t>
  </si>
  <si>
    <t>Kyleeragh 38kV Substation</t>
  </si>
  <si>
    <t>CL3-062</t>
  </si>
  <si>
    <t>CL3-063</t>
  </si>
  <si>
    <t>CL3-064</t>
  </si>
  <si>
    <t>CL3-065</t>
  </si>
  <si>
    <t>CL3-066</t>
  </si>
  <si>
    <t>SS-236</t>
  </si>
  <si>
    <t>Creagh 38kV Substation</t>
  </si>
  <si>
    <t>CL3-067</t>
  </si>
  <si>
    <t>SS-594</t>
  </si>
  <si>
    <t>Kill Hill 110kV Substation</t>
  </si>
  <si>
    <t>CL3-068</t>
  </si>
  <si>
    <t>CL3-069</t>
  </si>
  <si>
    <t>CL3-070</t>
  </si>
  <si>
    <t>SS-464</t>
  </si>
  <si>
    <t>Rathdowney 38kV Substation</t>
  </si>
  <si>
    <t>CL3-071</t>
  </si>
  <si>
    <t>CL3-072</t>
  </si>
  <si>
    <t>CL3-073</t>
  </si>
  <si>
    <t>SS-231</t>
  </si>
  <si>
    <t>Lumcloon 38kV Substation</t>
  </si>
  <si>
    <t>CL3-074</t>
  </si>
  <si>
    <t>CL3-075</t>
  </si>
  <si>
    <t>SS-104</t>
  </si>
  <si>
    <t>Athenry 38kV Substation</t>
  </si>
  <si>
    <t>CL3-076</t>
  </si>
  <si>
    <t>CL3-077</t>
  </si>
  <si>
    <t>SS-402</t>
  </si>
  <si>
    <t>Rathgoggan 38kV Substation</t>
  </si>
  <si>
    <t>CL3-078</t>
  </si>
  <si>
    <t>CL3-079</t>
  </si>
  <si>
    <t>CL3-080</t>
  </si>
  <si>
    <t>CL3-081</t>
  </si>
  <si>
    <t>SS-235</t>
  </si>
  <si>
    <t>Lisheeny 38kV Substation</t>
  </si>
  <si>
    <t>CL3-082</t>
  </si>
  <si>
    <t>SS-052</t>
  </si>
  <si>
    <t>Moate 38kV Substation</t>
  </si>
  <si>
    <t>CL3-083</t>
  </si>
  <si>
    <t>CL3-084</t>
  </si>
  <si>
    <t>CL3-085</t>
  </si>
  <si>
    <t>CL3-086</t>
  </si>
  <si>
    <t>SS-149</t>
  </si>
  <si>
    <t>Tulla 38kV Substation</t>
  </si>
  <si>
    <t>CL3-087</t>
  </si>
  <si>
    <t>CL3-088</t>
  </si>
  <si>
    <t>CL3-089</t>
  </si>
  <si>
    <t>SS-581</t>
  </si>
  <si>
    <t>Coolcarron 38kV Substation</t>
  </si>
  <si>
    <t>CL3-090</t>
  </si>
  <si>
    <t>CL3-091</t>
  </si>
  <si>
    <t>SS-541</t>
  </si>
  <si>
    <t>Roscrea 38kV Substation</t>
  </si>
  <si>
    <t>CL3-092</t>
  </si>
  <si>
    <t>CL3-093</t>
  </si>
  <si>
    <t>SS-468</t>
  </si>
  <si>
    <t>Clara 38kV Substation</t>
  </si>
  <si>
    <t>CL3-094</t>
  </si>
  <si>
    <t>SS-606</t>
  </si>
  <si>
    <t>Castlelyons 38kV Substation</t>
  </si>
  <si>
    <t>CL3-095</t>
  </si>
  <si>
    <t>CL3-096</t>
  </si>
  <si>
    <t>SS-666</t>
  </si>
  <si>
    <t>CL3-097</t>
  </si>
  <si>
    <t>CL3-098</t>
  </si>
  <si>
    <t>SS-469</t>
  </si>
  <si>
    <t>Portarlington 38kV Substation</t>
  </si>
  <si>
    <t>CL3-099</t>
  </si>
  <si>
    <t>CL3-100</t>
  </si>
  <si>
    <t>SS-035</t>
  </si>
  <si>
    <t>Athy South 38kV Substation</t>
  </si>
  <si>
    <t>CL3-101</t>
  </si>
  <si>
    <t>CL3-102</t>
  </si>
  <si>
    <t>CL3-103</t>
  </si>
  <si>
    <t>SS-311</t>
  </si>
  <si>
    <t>Clonminch 38kV Substation</t>
  </si>
  <si>
    <t>CL3-104</t>
  </si>
  <si>
    <t>CL3-105</t>
  </si>
  <si>
    <t>CL3-106</t>
  </si>
  <si>
    <t>CL3-107</t>
  </si>
  <si>
    <t>CL3-108</t>
  </si>
  <si>
    <t>CL3-109</t>
  </si>
  <si>
    <t>SS-255</t>
  </si>
  <si>
    <t>Cloonlough 38kV Substation</t>
  </si>
  <si>
    <t>CL3-110</t>
  </si>
  <si>
    <t>SS-320</t>
  </si>
  <si>
    <t>CL3-111</t>
  </si>
  <si>
    <t>CL3-112</t>
  </si>
  <si>
    <t>CL3-113</t>
  </si>
  <si>
    <t>CL3-114</t>
  </si>
  <si>
    <t>CL3-115</t>
  </si>
  <si>
    <t>CL3-116</t>
  </si>
  <si>
    <t>CL3-117</t>
  </si>
  <si>
    <t>CL3-118</t>
  </si>
  <si>
    <t>SS-683</t>
  </si>
  <si>
    <t>Monksland 38kV Substation</t>
  </si>
  <si>
    <t>CL3-119</t>
  </si>
  <si>
    <t>SS-066</t>
  </si>
  <si>
    <t>Thornsberry 110kV Substation</t>
  </si>
  <si>
    <t>CL3-120</t>
  </si>
  <si>
    <t>CL3-121</t>
  </si>
  <si>
    <t>CL3-122</t>
  </si>
  <si>
    <t>CL3-123</t>
  </si>
  <si>
    <t>SS-217</t>
  </si>
  <si>
    <t>Port Laoise 110kV Substation</t>
  </si>
  <si>
    <t>CL3-124</t>
  </si>
  <si>
    <t>SS-275</t>
  </si>
  <si>
    <t>Mountrath ESB Telecoms 38kV Radio Site</t>
  </si>
  <si>
    <t>CL3-125</t>
  </si>
  <si>
    <t>CL3-126</t>
  </si>
  <si>
    <t>SS-244</t>
  </si>
  <si>
    <t>Cartrontroy 38kV Substation</t>
  </si>
  <si>
    <t>CL3-127</t>
  </si>
  <si>
    <t>CL3-128</t>
  </si>
  <si>
    <t>CL3-129</t>
  </si>
  <si>
    <t>CL3-130</t>
  </si>
  <si>
    <t>CL3-131</t>
  </si>
  <si>
    <t>SS-340</t>
  </si>
  <si>
    <t>Milford 38kV Substation</t>
  </si>
  <si>
    <t>CL3-132</t>
  </si>
  <si>
    <t>CL3-133</t>
  </si>
  <si>
    <t>CL3-134</t>
  </si>
  <si>
    <t>CL3-135</t>
  </si>
  <si>
    <t>SS-348</t>
  </si>
  <si>
    <t>Furle 38kV Substation</t>
  </si>
  <si>
    <t>CL3-136</t>
  </si>
  <si>
    <t>SS-040</t>
  </si>
  <si>
    <t>Deerpark 38kV Substation</t>
  </si>
  <si>
    <t>CL3-137</t>
  </si>
  <si>
    <t>CL3-138</t>
  </si>
  <si>
    <t>CL3-139</t>
  </si>
  <si>
    <t>CL3-140</t>
  </si>
  <si>
    <t>CL3-141</t>
  </si>
  <si>
    <t>SS-706</t>
  </si>
  <si>
    <t>Scartaglin 38kV Substation</t>
  </si>
  <si>
    <t>CL3-142</t>
  </si>
  <si>
    <t>CL3-143</t>
  </si>
  <si>
    <t>CL3-144</t>
  </si>
  <si>
    <t>CL3-145</t>
  </si>
  <si>
    <t>CL3-146</t>
  </si>
  <si>
    <t>CL3-147</t>
  </si>
  <si>
    <t>CL3-148</t>
  </si>
  <si>
    <t>CL3-149</t>
  </si>
  <si>
    <t>CL3-150</t>
  </si>
  <si>
    <t>CL3-151</t>
  </si>
  <si>
    <t>CL3-152</t>
  </si>
  <si>
    <t>SS-171</t>
  </si>
  <si>
    <t>Castlerea 38kV Substation</t>
  </si>
  <si>
    <t>CL3-153</t>
  </si>
  <si>
    <t>CL3-154</t>
  </si>
  <si>
    <t>SS-048</t>
  </si>
  <si>
    <t>Roosky 38kV Substation</t>
  </si>
  <si>
    <t>CL3-155</t>
  </si>
  <si>
    <t>SS-158</t>
  </si>
  <si>
    <t>Gilra 110kV Substation</t>
  </si>
  <si>
    <t>CL3-156</t>
  </si>
  <si>
    <t>CL3-157</t>
  </si>
  <si>
    <t>CL3-158</t>
  </si>
  <si>
    <t>SS-202</t>
  </si>
  <si>
    <t>Kiltimagh 38kV Substation</t>
  </si>
  <si>
    <t>CL3-159</t>
  </si>
  <si>
    <t>CL3-160</t>
  </si>
  <si>
    <t>CL3-161</t>
  </si>
  <si>
    <t>SS-208</t>
  </si>
  <si>
    <t>Ballyhaunis 38kV Substation</t>
  </si>
  <si>
    <t>CL3-162</t>
  </si>
  <si>
    <t>CL3-163</t>
  </si>
  <si>
    <t>SS-563</t>
  </si>
  <si>
    <t>Ballymahon 38kV Substation</t>
  </si>
  <si>
    <t>CL3-164</t>
  </si>
  <si>
    <t>CL3-165</t>
  </si>
  <si>
    <t>CL3-166</t>
  </si>
  <si>
    <t>CL3-167</t>
  </si>
  <si>
    <t>CL3-168</t>
  </si>
  <si>
    <t>SS-124</t>
  </si>
  <si>
    <t>Roscommon 38kV Substation</t>
  </si>
  <si>
    <t>CL3-169</t>
  </si>
  <si>
    <t>CL3-170</t>
  </si>
  <si>
    <t>SS-247</t>
  </si>
  <si>
    <t>Edgeworthstown 38kV Substation</t>
  </si>
  <si>
    <t>CL3-171</t>
  </si>
  <si>
    <t>CL3-172</t>
  </si>
  <si>
    <t>CL3-173</t>
  </si>
  <si>
    <t>CL3-174</t>
  </si>
  <si>
    <t>SS-067</t>
  </si>
  <si>
    <t>Finnea 38kV Substation</t>
  </si>
  <si>
    <t>CL3-175</t>
  </si>
  <si>
    <t>CL3-176</t>
  </si>
  <si>
    <t>CL3-177</t>
  </si>
  <si>
    <t>CL3-178</t>
  </si>
  <si>
    <t>CL3-179</t>
  </si>
  <si>
    <t>CL3-180</t>
  </si>
  <si>
    <t>SS-543</t>
  </si>
  <si>
    <t>Lisnamuck 38kV Substation</t>
  </si>
  <si>
    <t>CL3-181</t>
  </si>
  <si>
    <t>SS-081</t>
  </si>
  <si>
    <t>Killeshandra 38kV Substation</t>
  </si>
  <si>
    <t>CL3-182</t>
  </si>
  <si>
    <t>MONAGHAN</t>
  </si>
  <si>
    <t>SS-428</t>
  </si>
  <si>
    <t>Clones 38kV Substation</t>
  </si>
  <si>
    <t>CL3-183</t>
  </si>
  <si>
    <t>SS-526</t>
  </si>
  <si>
    <t>Newbrook 38kV Substation</t>
  </si>
  <si>
    <t>CL3-184</t>
  </si>
  <si>
    <t>CL3-185</t>
  </si>
  <si>
    <t>CL3-186</t>
  </si>
  <si>
    <t>SS-375</t>
  </si>
  <si>
    <t>Kells Business Park 38kV Substation</t>
  </si>
  <si>
    <t>CL3-187</t>
  </si>
  <si>
    <t>SS-521</t>
  </si>
  <si>
    <t>Kingscourt 38kV Substation</t>
  </si>
  <si>
    <t>CL3-188</t>
  </si>
  <si>
    <t>CL3-189</t>
  </si>
  <si>
    <t>SS-460</t>
  </si>
  <si>
    <t>Julianstown 38kV Substation</t>
  </si>
  <si>
    <t>CL3-190</t>
  </si>
  <si>
    <t>SS-518</t>
  </si>
  <si>
    <t>Athboy 38kV Substation</t>
  </si>
  <si>
    <t>CL3-191</t>
  </si>
  <si>
    <t>SS-044</t>
  </si>
  <si>
    <t>Richmond 110kV Substation</t>
  </si>
  <si>
    <t>CL3-192</t>
  </si>
  <si>
    <t>CL3-193</t>
  </si>
  <si>
    <t>CL3-194</t>
  </si>
  <si>
    <t>CL3-195</t>
  </si>
  <si>
    <t>CL3-196</t>
  </si>
  <si>
    <t>CL3-197</t>
  </si>
  <si>
    <t>SS-268</t>
  </si>
  <si>
    <t>Lanesborough 110kV Substation</t>
  </si>
  <si>
    <t>CL3-198</t>
  </si>
  <si>
    <t>SS-547</t>
  </si>
  <si>
    <t>Emyvale 38kV Substation</t>
  </si>
  <si>
    <t>CL3-199</t>
  </si>
  <si>
    <t>CL3-200</t>
  </si>
  <si>
    <t>CL3-201</t>
  </si>
  <si>
    <t>CL3-202</t>
  </si>
  <si>
    <t>CL3-203</t>
  </si>
  <si>
    <t>CL3-204</t>
  </si>
  <si>
    <t>CL3-205</t>
  </si>
  <si>
    <t>CL3-206</t>
  </si>
  <si>
    <t>CL3-207</t>
  </si>
  <si>
    <t>CL3-208</t>
  </si>
  <si>
    <t>CL3-209</t>
  </si>
  <si>
    <t>CL3-210</t>
  </si>
  <si>
    <t>CL3-211</t>
  </si>
  <si>
    <t>CL3-212</t>
  </si>
  <si>
    <t>CL3-213</t>
  </si>
  <si>
    <t>CL3-214</t>
  </si>
  <si>
    <t>CL3-215</t>
  </si>
  <si>
    <t>SS-232</t>
  </si>
  <si>
    <t>Bushfield 38kV Substation</t>
  </si>
  <si>
    <t>CL3-216</t>
  </si>
  <si>
    <t>CL3-217</t>
  </si>
  <si>
    <t>CL3-218</t>
  </si>
  <si>
    <t>CL3-219</t>
  </si>
  <si>
    <t>CL3-220</t>
  </si>
  <si>
    <t>CL3-221</t>
  </si>
  <si>
    <t>CL3-222</t>
  </si>
  <si>
    <t>CL3-223</t>
  </si>
  <si>
    <t>CL3-224</t>
  </si>
  <si>
    <t>CL3-225</t>
  </si>
  <si>
    <t>CL3-226</t>
  </si>
  <si>
    <t>CL3-227</t>
  </si>
  <si>
    <t>CL3-228</t>
  </si>
  <si>
    <t>CL3-229</t>
  </si>
  <si>
    <t>CL3-230</t>
  </si>
  <si>
    <t>CL3-231</t>
  </si>
  <si>
    <t>CL3-232</t>
  </si>
  <si>
    <t>CL3-233</t>
  </si>
  <si>
    <t>CL3-234</t>
  </si>
  <si>
    <t>CL3-235</t>
  </si>
  <si>
    <t>CL3-236</t>
  </si>
  <si>
    <t>CL3-237</t>
  </si>
  <si>
    <t>CL3-238</t>
  </si>
  <si>
    <t>CL3-239</t>
  </si>
  <si>
    <t>CL3-240</t>
  </si>
  <si>
    <t>CL3-241</t>
  </si>
  <si>
    <t>CL3-242</t>
  </si>
  <si>
    <t>CL3-243</t>
  </si>
  <si>
    <t>CL3-244</t>
  </si>
  <si>
    <t>CL3-245</t>
  </si>
  <si>
    <t>CL3-246</t>
  </si>
  <si>
    <t>CL3-247</t>
  </si>
  <si>
    <t>CL3-248</t>
  </si>
  <si>
    <t>CL3-249</t>
  </si>
  <si>
    <t>CL3-250</t>
  </si>
  <si>
    <t>CL3-251</t>
  </si>
  <si>
    <t>CL3-252</t>
  </si>
  <si>
    <t>CL3-253</t>
  </si>
  <si>
    <t>CL3-254</t>
  </si>
  <si>
    <t>CL3-255</t>
  </si>
  <si>
    <t>CL3-256</t>
  </si>
  <si>
    <t>CL3-257</t>
  </si>
  <si>
    <t>CL3-258</t>
  </si>
  <si>
    <t>CL3-259</t>
  </si>
  <si>
    <t>CL3-260</t>
  </si>
  <si>
    <t>CL3-261</t>
  </si>
  <si>
    <t>CL3-262</t>
  </si>
  <si>
    <t>CL3-263</t>
  </si>
  <si>
    <t>CL3-264</t>
  </si>
  <si>
    <t>CL3-265</t>
  </si>
  <si>
    <t>CL3-266</t>
  </si>
  <si>
    <t>CL3-267</t>
  </si>
  <si>
    <t>CL3-268</t>
  </si>
  <si>
    <t>CL3-269</t>
  </si>
  <si>
    <t>CL3-270</t>
  </si>
  <si>
    <t>CL3-271</t>
  </si>
  <si>
    <t>CL3-272</t>
  </si>
  <si>
    <t>CL3-273</t>
  </si>
  <si>
    <t>CL3-274</t>
  </si>
  <si>
    <t>CL3-275</t>
  </si>
  <si>
    <t>CL3-276</t>
  </si>
  <si>
    <t>CL3-277</t>
  </si>
  <si>
    <t>CL3-278</t>
  </si>
  <si>
    <t>CL3-279</t>
  </si>
  <si>
    <t>CL3-280</t>
  </si>
  <si>
    <t>CL3-281</t>
  </si>
  <si>
    <t>CL3-282</t>
  </si>
  <si>
    <t>CL3-283</t>
  </si>
  <si>
    <t>CL3-284</t>
  </si>
  <si>
    <t>CL3-285</t>
  </si>
  <si>
    <t>CL3-286</t>
  </si>
  <si>
    <t>CL3-287</t>
  </si>
  <si>
    <t>CL3-288</t>
  </si>
  <si>
    <t>CL3-289</t>
  </si>
  <si>
    <t>CL3-290</t>
  </si>
  <si>
    <t>CL3-291</t>
  </si>
  <si>
    <t>CL3-292</t>
  </si>
  <si>
    <t>CL3-293</t>
  </si>
  <si>
    <t>CL3-294</t>
  </si>
  <si>
    <t>CL3-295</t>
  </si>
  <si>
    <t>CL3-296</t>
  </si>
  <si>
    <t>CL3-297</t>
  </si>
  <si>
    <t>CL3-298</t>
  </si>
  <si>
    <t>CL3-299</t>
  </si>
  <si>
    <t>CL3-300</t>
  </si>
  <si>
    <t>CL3-301</t>
  </si>
  <si>
    <t>CL3-302</t>
  </si>
  <si>
    <t>CL3-303</t>
  </si>
  <si>
    <t>CL3-304</t>
  </si>
  <si>
    <t>CL3-305</t>
  </si>
  <si>
    <t>CL3-306</t>
  </si>
  <si>
    <t>CL3-307</t>
  </si>
  <si>
    <t>CL3-308</t>
  </si>
  <si>
    <t>CL3-309</t>
  </si>
  <si>
    <t>CL3-310</t>
  </si>
  <si>
    <t>CL3-311</t>
  </si>
  <si>
    <t>CL3-312</t>
  </si>
  <si>
    <t>CL3-313</t>
  </si>
  <si>
    <t>CL3-314</t>
  </si>
  <si>
    <t>CL3-315</t>
  </si>
  <si>
    <t>CL3-316</t>
  </si>
  <si>
    <t>CL3-317</t>
  </si>
  <si>
    <t>CL3-318</t>
  </si>
  <si>
    <t>CL3-319</t>
  </si>
  <si>
    <t>CL3-320</t>
  </si>
  <si>
    <t>CL3-321</t>
  </si>
  <si>
    <t>CL3-322</t>
  </si>
  <si>
    <t>CL3-323</t>
  </si>
  <si>
    <t>CL3-324</t>
  </si>
  <si>
    <t>CL3-325</t>
  </si>
  <si>
    <t>CL3-326</t>
  </si>
  <si>
    <t>CL3-327</t>
  </si>
  <si>
    <t>CL3-328</t>
  </si>
  <si>
    <t>CL3-329</t>
  </si>
  <si>
    <t>CL3-330</t>
  </si>
  <si>
    <t>CL3-331</t>
  </si>
  <si>
    <t>CL3-332</t>
  </si>
  <si>
    <t>CL3-333</t>
  </si>
  <si>
    <t>CL3-334</t>
  </si>
  <si>
    <t>CL3-335</t>
  </si>
  <si>
    <t>CL3-336</t>
  </si>
  <si>
    <t>CL3-337</t>
  </si>
  <si>
    <t>CL3-338</t>
  </si>
  <si>
    <t>CL3-339</t>
  </si>
  <si>
    <t>CL3-340</t>
  </si>
  <si>
    <t>CL3-341</t>
  </si>
  <si>
    <t>CL3-342</t>
  </si>
  <si>
    <t>CL3-343</t>
  </si>
  <si>
    <t>CL3-344</t>
  </si>
  <si>
    <t>CL3-345</t>
  </si>
  <si>
    <t>SS-086</t>
  </si>
  <si>
    <t>Meentycat 110kV Substation</t>
  </si>
  <si>
    <t>CL3-346</t>
  </si>
  <si>
    <t>CL3-347</t>
  </si>
  <si>
    <t>CL3-348</t>
  </si>
  <si>
    <t>CL3-349</t>
  </si>
  <si>
    <t>CL3-350</t>
  </si>
  <si>
    <t>CL3-351</t>
  </si>
  <si>
    <t>CL3-352</t>
  </si>
  <si>
    <t>CL3-353</t>
  </si>
  <si>
    <t>CL3-354</t>
  </si>
  <si>
    <t>CL3-355</t>
  </si>
  <si>
    <t>CL3-356</t>
  </si>
  <si>
    <t>CL3-357</t>
  </si>
  <si>
    <t>CL3-358</t>
  </si>
  <si>
    <t>CL3-359</t>
  </si>
  <si>
    <t>CL3-360</t>
  </si>
  <si>
    <t>CL3-361</t>
  </si>
  <si>
    <t>CL3-362</t>
  </si>
  <si>
    <t>CL3-363</t>
  </si>
  <si>
    <t>CL3-364</t>
  </si>
  <si>
    <t>CL3-365</t>
  </si>
  <si>
    <t>CL3-366</t>
  </si>
  <si>
    <t>CL3-367</t>
  </si>
  <si>
    <t>CL3-368</t>
  </si>
  <si>
    <t>CL3-369</t>
  </si>
  <si>
    <t>CL3-370</t>
  </si>
  <si>
    <t>CL3-371</t>
  </si>
  <si>
    <t>CL3-372</t>
  </si>
  <si>
    <t>CL3-373</t>
  </si>
  <si>
    <t>CL3-374</t>
  </si>
  <si>
    <t>CL3-375</t>
  </si>
  <si>
    <t>SS-653</t>
  </si>
  <si>
    <t>Cranny 38kV Substation</t>
  </si>
  <si>
    <t>CL3-376</t>
  </si>
  <si>
    <t>CL3-377</t>
  </si>
  <si>
    <t>CL3-378</t>
  </si>
  <si>
    <t>CL3-379</t>
  </si>
  <si>
    <t>CL3-380</t>
  </si>
  <si>
    <t>CL3-381</t>
  </si>
  <si>
    <t>CL3-382</t>
  </si>
  <si>
    <t>CL3-383</t>
  </si>
  <si>
    <t>CL3-384</t>
  </si>
  <si>
    <t>CL3-385</t>
  </si>
  <si>
    <t>CL3-386</t>
  </si>
  <si>
    <t>CL3-387</t>
  </si>
  <si>
    <t>CL3-388</t>
  </si>
  <si>
    <t>CL3-389</t>
  </si>
  <si>
    <t>CL3-390</t>
  </si>
  <si>
    <t>SS-470</t>
  </si>
  <si>
    <t>Mountmellick 38kV Substation</t>
  </si>
  <si>
    <t>CL3-391</t>
  </si>
  <si>
    <t>CL3-392</t>
  </si>
  <si>
    <t>CL3-393</t>
  </si>
  <si>
    <t>CL3-394</t>
  </si>
  <si>
    <t>CL3-395</t>
  </si>
  <si>
    <t>CL3-396</t>
  </si>
  <si>
    <t>CL3-397</t>
  </si>
  <si>
    <t>SS-194</t>
  </si>
  <si>
    <t>Kilkenny 38kV Substation</t>
  </si>
  <si>
    <t>CL3-398</t>
  </si>
  <si>
    <t>CL3-399</t>
  </si>
  <si>
    <t>CL3-400</t>
  </si>
  <si>
    <t>CL3-401</t>
  </si>
  <si>
    <t>CL3-402</t>
  </si>
  <si>
    <t>CL3-403</t>
  </si>
  <si>
    <t>CL3-404</t>
  </si>
  <si>
    <t>CL3-405</t>
  </si>
  <si>
    <t>CL3-406</t>
  </si>
  <si>
    <t>SS-467</t>
  </si>
  <si>
    <t>20000;10000</t>
  </si>
  <si>
    <t>CL3-407</t>
  </si>
  <si>
    <t>CL3-408</t>
  </si>
  <si>
    <t>CL3-409</t>
  </si>
  <si>
    <t>CL3-410</t>
  </si>
  <si>
    <t>CL3-411</t>
  </si>
  <si>
    <t>CL3-412</t>
  </si>
  <si>
    <t>CL3-413</t>
  </si>
  <si>
    <t>CL3-414</t>
  </si>
  <si>
    <t>CL3-415</t>
  </si>
  <si>
    <t>SS-059</t>
  </si>
  <si>
    <t>Kinnegad 110kV</t>
  </si>
  <si>
    <t>CL3-416</t>
  </si>
  <si>
    <t>SS-457</t>
  </si>
  <si>
    <t>Cloondara 38kV Substation</t>
  </si>
  <si>
    <t>CL3-417</t>
  </si>
  <si>
    <t>CL3-418</t>
  </si>
  <si>
    <t>CL3-419</t>
  </si>
  <si>
    <t>CL3-420</t>
  </si>
  <si>
    <t>CL3-421</t>
  </si>
  <si>
    <t>CL3-422</t>
  </si>
  <si>
    <t>CL3-423</t>
  </si>
  <si>
    <t>CL3-424</t>
  </si>
  <si>
    <t>CL3-425</t>
  </si>
  <si>
    <t>CL3-426</t>
  </si>
  <si>
    <t>CL3-427</t>
  </si>
  <si>
    <t>CL3-428</t>
  </si>
  <si>
    <t>CL3-429</t>
  </si>
  <si>
    <t>CL3-430</t>
  </si>
  <si>
    <t>CL3-431</t>
  </si>
  <si>
    <t>CL3-432</t>
  </si>
  <si>
    <t>CL3-433</t>
  </si>
  <si>
    <t>CL3-434</t>
  </si>
  <si>
    <t>CL3-435</t>
  </si>
  <si>
    <t>CL3-436</t>
  </si>
  <si>
    <t>CL3-437</t>
  </si>
  <si>
    <t>CL3-438</t>
  </si>
  <si>
    <t>CL3-439</t>
  </si>
  <si>
    <t>CL3-440</t>
  </si>
  <si>
    <t>CL3-441</t>
  </si>
  <si>
    <t>CL3-442</t>
  </si>
  <si>
    <t>CL3-443</t>
  </si>
  <si>
    <t>CL3-444</t>
  </si>
  <si>
    <t>CL3-445</t>
  </si>
  <si>
    <t>CL3-446</t>
  </si>
  <si>
    <t>CL3-447</t>
  </si>
  <si>
    <t>CL3-448</t>
  </si>
  <si>
    <t>CL3-449</t>
  </si>
  <si>
    <t>CL3-450</t>
  </si>
  <si>
    <t>CL3-451</t>
  </si>
  <si>
    <t>CL3-452</t>
  </si>
  <si>
    <t>CL3-453</t>
  </si>
  <si>
    <t>CL3-454</t>
  </si>
  <si>
    <t>CL3-455</t>
  </si>
  <si>
    <t>CL3-456</t>
  </si>
  <si>
    <t>CL3-457</t>
  </si>
  <si>
    <t>CL3-458</t>
  </si>
  <si>
    <t>CL3-459</t>
  </si>
  <si>
    <t>CL3-460</t>
  </si>
  <si>
    <t>CL3-461</t>
  </si>
  <si>
    <t>CL3-462</t>
  </si>
  <si>
    <t>CL3-463</t>
  </si>
  <si>
    <t>CL3-464</t>
  </si>
  <si>
    <t>CL3-465</t>
  </si>
  <si>
    <t>CL3-466</t>
  </si>
  <si>
    <t>CL3-467</t>
  </si>
  <si>
    <t>CL3-468</t>
  </si>
  <si>
    <t>CL3-469</t>
  </si>
  <si>
    <t>CL3-470</t>
  </si>
  <si>
    <t>CL3-471</t>
  </si>
  <si>
    <t>CL3-472</t>
  </si>
  <si>
    <t>CL3-473</t>
  </si>
  <si>
    <t>CL3-474</t>
  </si>
  <si>
    <t>CL3-475</t>
  </si>
  <si>
    <t>CL3-476</t>
  </si>
  <si>
    <t>CL3-477</t>
  </si>
  <si>
    <t>CL3-478</t>
  </si>
  <si>
    <t>CL3-479</t>
  </si>
  <si>
    <t>CL3-480</t>
  </si>
  <si>
    <t>CL3-481</t>
  </si>
  <si>
    <t>SS-160</t>
  </si>
  <si>
    <t>Woodford 38kV Substation</t>
  </si>
  <si>
    <t>CL3-482</t>
  </si>
  <si>
    <t>CL3-483</t>
  </si>
  <si>
    <t>CL3-484</t>
  </si>
  <si>
    <t>CL3-485</t>
  </si>
  <si>
    <t>CL3-486</t>
  </si>
  <si>
    <t>CL3-487</t>
  </si>
  <si>
    <t>CL3-488</t>
  </si>
  <si>
    <t>CL3-489</t>
  </si>
  <si>
    <t>CL3-490</t>
  </si>
  <si>
    <t>CL3-491</t>
  </si>
  <si>
    <t>CL3-492</t>
  </si>
  <si>
    <t>CL3-493</t>
  </si>
  <si>
    <t>CL3-494</t>
  </si>
  <si>
    <t>CL3-495</t>
  </si>
  <si>
    <t>CL3-496</t>
  </si>
  <si>
    <t>CL3-497</t>
  </si>
  <si>
    <t>CL3-498</t>
  </si>
  <si>
    <t>CL3-499</t>
  </si>
  <si>
    <t>CL3-500</t>
  </si>
  <si>
    <t>CL3-501</t>
  </si>
  <si>
    <t>CL3-502</t>
  </si>
  <si>
    <t>CL3-503</t>
  </si>
  <si>
    <t>CL3-504</t>
  </si>
  <si>
    <t>CL3-505</t>
  </si>
  <si>
    <t>CL3-506</t>
  </si>
  <si>
    <t>CL3-507</t>
  </si>
  <si>
    <t>CL3-508</t>
  </si>
  <si>
    <t>CL3-509</t>
  </si>
  <si>
    <t>CL3-510</t>
  </si>
  <si>
    <t>CL3-511</t>
  </si>
  <si>
    <t>CL3-512</t>
  </si>
  <si>
    <t>CL3-513</t>
  </si>
  <si>
    <t>CL3-514</t>
  </si>
  <si>
    <t>CL3-515</t>
  </si>
  <si>
    <t>CL3-516</t>
  </si>
  <si>
    <t>CL3-517</t>
  </si>
  <si>
    <t>CL3-518</t>
  </si>
  <si>
    <t>SS-283</t>
  </si>
  <si>
    <t>Mungret</t>
  </si>
  <si>
    <t>CL3-519</t>
  </si>
  <si>
    <t>CL3-520</t>
  </si>
  <si>
    <t>CL3-521</t>
  </si>
  <si>
    <t>CL3-522</t>
  </si>
  <si>
    <t>CL3-523</t>
  </si>
  <si>
    <t>CL3-524</t>
  </si>
  <si>
    <t>CL3-525</t>
  </si>
  <si>
    <t>CL3-526</t>
  </si>
  <si>
    <t>CL3-527</t>
  </si>
  <si>
    <t>CL3-528</t>
  </si>
  <si>
    <t>CL3-529</t>
  </si>
  <si>
    <t>CL3-530</t>
  </si>
  <si>
    <t>CL3-531</t>
  </si>
  <si>
    <t>CL3-532</t>
  </si>
  <si>
    <t>CL3-533</t>
  </si>
  <si>
    <t>CL3-534</t>
  </si>
  <si>
    <t>CL3-535</t>
  </si>
  <si>
    <t>CL3-536</t>
  </si>
  <si>
    <t>CL3-537</t>
  </si>
  <si>
    <t>CL3-538</t>
  </si>
  <si>
    <t>CL3-539</t>
  </si>
  <si>
    <t>CL3-540</t>
  </si>
  <si>
    <t>CL3-541</t>
  </si>
  <si>
    <t>CL3-542</t>
  </si>
  <si>
    <t>CL3-543</t>
  </si>
  <si>
    <t>CL3-544</t>
  </si>
  <si>
    <t>CL3-545</t>
  </si>
  <si>
    <t>CL3-546</t>
  </si>
  <si>
    <t>CL3-547</t>
  </si>
  <si>
    <t>CL3-548</t>
  </si>
  <si>
    <t>CL3-549</t>
  </si>
  <si>
    <t>CL3-550</t>
  </si>
  <si>
    <t>CL3-551</t>
  </si>
  <si>
    <t>CL3-552</t>
  </si>
  <si>
    <t>CL3-553</t>
  </si>
  <si>
    <t>CL3-554</t>
  </si>
  <si>
    <t>CL3-555</t>
  </si>
  <si>
    <t>CL3-556</t>
  </si>
  <si>
    <t>CL3-557</t>
  </si>
  <si>
    <t>CL3-558</t>
  </si>
  <si>
    <t>CL3-559</t>
  </si>
  <si>
    <t>CL3-560</t>
  </si>
  <si>
    <t>CL3-561</t>
  </si>
  <si>
    <t>CL3-562</t>
  </si>
  <si>
    <t>CL3-563</t>
  </si>
  <si>
    <t>CL3-564</t>
  </si>
  <si>
    <t>SS-166</t>
  </si>
  <si>
    <t>Tonroe 110kV Substation</t>
  </si>
  <si>
    <t>CL3-565</t>
  </si>
  <si>
    <t>CL3-566</t>
  </si>
  <si>
    <t>CL3-567</t>
  </si>
  <si>
    <t>CL3-568</t>
  </si>
  <si>
    <t>CL3-569</t>
  </si>
  <si>
    <t>CL3-570</t>
  </si>
  <si>
    <t>CL3-571</t>
  </si>
  <si>
    <t>CL3-572</t>
  </si>
  <si>
    <t>CL3-573</t>
  </si>
  <si>
    <t>CL3-574</t>
  </si>
  <si>
    <t>CL3-575</t>
  </si>
  <si>
    <t>CL3-576</t>
  </si>
  <si>
    <t>CL3-577</t>
  </si>
  <si>
    <t>CL3-578</t>
  </si>
  <si>
    <t>CL3-579</t>
  </si>
  <si>
    <t>CL3-580</t>
  </si>
  <si>
    <t>CL3-581</t>
  </si>
  <si>
    <t>CL3-582</t>
  </si>
  <si>
    <t>CL3-583</t>
  </si>
  <si>
    <t>CL3-584</t>
  </si>
  <si>
    <t>CL3-585</t>
  </si>
  <si>
    <t>CL3-586</t>
  </si>
  <si>
    <t>CL3-587</t>
  </si>
  <si>
    <t>SS-327</t>
  </si>
  <si>
    <t>Rathmore 38kV Substation</t>
  </si>
  <si>
    <t>CL3-588</t>
  </si>
  <si>
    <t>CL3-589</t>
  </si>
  <si>
    <t>CL3-590</t>
  </si>
  <si>
    <t>CL3-591</t>
  </si>
  <si>
    <t>CL3-592</t>
  </si>
  <si>
    <t>CL3-593</t>
  </si>
  <si>
    <t>CL3-594</t>
  </si>
  <si>
    <t>CL3-595</t>
  </si>
  <si>
    <t>CL3-596</t>
  </si>
  <si>
    <t>CL3-597</t>
  </si>
  <si>
    <t>CL3-598</t>
  </si>
  <si>
    <t>CL3-599</t>
  </si>
  <si>
    <t>CL3-600</t>
  </si>
  <si>
    <t>CL3-601</t>
  </si>
  <si>
    <t>CL3-602</t>
  </si>
  <si>
    <t>CL3-603</t>
  </si>
  <si>
    <t>CL3-604</t>
  </si>
  <si>
    <t>SS-338</t>
  </si>
  <si>
    <t>Banagher 38kV Substation</t>
  </si>
  <si>
    <t>CL3-605</t>
  </si>
  <si>
    <t>CL3-606</t>
  </si>
  <si>
    <t>CL3-607</t>
  </si>
  <si>
    <t>CL3-608</t>
  </si>
  <si>
    <t>CL3-609</t>
  </si>
  <si>
    <t>SS-376</t>
  </si>
  <si>
    <t>Kells 38kV Substation</t>
  </si>
  <si>
    <t>CL3-610</t>
  </si>
  <si>
    <t>CL3-611</t>
  </si>
  <si>
    <t>CL3-612</t>
  </si>
  <si>
    <t>CL3-613</t>
  </si>
  <si>
    <t>CL3-614</t>
  </si>
  <si>
    <t>CL3-615</t>
  </si>
  <si>
    <t>CL3-616</t>
  </si>
  <si>
    <t>CL3-617</t>
  </si>
  <si>
    <t>SS-167</t>
  </si>
  <si>
    <t>Cushaling 110kV Substation</t>
  </si>
  <si>
    <t>CL3-618</t>
  </si>
  <si>
    <t>CL3-619</t>
  </si>
  <si>
    <t>CL3-620</t>
  </si>
  <si>
    <t>CL3-621</t>
  </si>
  <si>
    <t>CL3-622</t>
  </si>
  <si>
    <t>CL3-623</t>
  </si>
  <si>
    <t>CL3-624</t>
  </si>
  <si>
    <t>CL3-625</t>
  </si>
  <si>
    <t>CL3-626</t>
  </si>
  <si>
    <t>CL3-627</t>
  </si>
  <si>
    <t>CL3-628</t>
  </si>
  <si>
    <t>CL3-629</t>
  </si>
  <si>
    <t>CL3-630</t>
  </si>
  <si>
    <t>CL3-631</t>
  </si>
  <si>
    <t>CL3-632</t>
  </si>
  <si>
    <t>CL3-633</t>
  </si>
  <si>
    <t>CL3-634</t>
  </si>
  <si>
    <t>CL3-635</t>
  </si>
  <si>
    <t>CL3-636</t>
  </si>
  <si>
    <t>CL3-637</t>
  </si>
  <si>
    <t>CL3-638</t>
  </si>
  <si>
    <t>CL3-639</t>
  </si>
  <si>
    <t>CL3-640</t>
  </si>
  <si>
    <t>CL3-641</t>
  </si>
  <si>
    <t>CL3-642</t>
  </si>
  <si>
    <t>CL3-643</t>
  </si>
  <si>
    <t>CL3-644</t>
  </si>
  <si>
    <t>CL3-645</t>
  </si>
  <si>
    <t>CL3-646</t>
  </si>
  <si>
    <t>CL3-647</t>
  </si>
  <si>
    <t>CL3-648</t>
  </si>
  <si>
    <t>CL3-649</t>
  </si>
  <si>
    <t>CL3-650</t>
  </si>
  <si>
    <t>CL3-651</t>
  </si>
  <si>
    <t>CL3-652</t>
  </si>
  <si>
    <t>CL3-653</t>
  </si>
  <si>
    <t>SS-630</t>
  </si>
  <si>
    <t>Lismore 38kV Substation</t>
  </si>
  <si>
    <t>CL3-654</t>
  </si>
  <si>
    <t>CL3-655</t>
  </si>
  <si>
    <t>CL3-656</t>
  </si>
  <si>
    <t>CL3-657</t>
  </si>
  <si>
    <t>CL3-658</t>
  </si>
  <si>
    <t>CL3-659</t>
  </si>
  <si>
    <t>CL3-660</t>
  </si>
  <si>
    <t>CL3-661</t>
  </si>
  <si>
    <t>CL3-662</t>
  </si>
  <si>
    <t>CL3-663</t>
  </si>
  <si>
    <t>CL3-664</t>
  </si>
  <si>
    <t>CL3-665</t>
  </si>
  <si>
    <t>CL3-666</t>
  </si>
  <si>
    <t>CL3-667</t>
  </si>
  <si>
    <t>CL3-668</t>
  </si>
  <si>
    <t>CL3-669</t>
  </si>
  <si>
    <t>CL3-670</t>
  </si>
  <si>
    <t>CL3-671</t>
  </si>
  <si>
    <t>CL3-672</t>
  </si>
  <si>
    <t>SS-193</t>
  </si>
  <si>
    <t>Charleville 110kV Substation</t>
  </si>
  <si>
    <t>CL3-673</t>
  </si>
  <si>
    <t>CL3-674</t>
  </si>
  <si>
    <t>CL3-675</t>
  </si>
  <si>
    <t>CL3-676</t>
  </si>
  <si>
    <t>CL3-677</t>
  </si>
  <si>
    <t>CL3-678</t>
  </si>
  <si>
    <t>SS-127</t>
  </si>
  <si>
    <t>Tipperary 110kV Substation</t>
  </si>
  <si>
    <t>CL3-679</t>
  </si>
  <si>
    <t>CL3-680</t>
  </si>
  <si>
    <t>CL3-681</t>
  </si>
  <si>
    <t>CL3-682</t>
  </si>
  <si>
    <t>CL3-683</t>
  </si>
  <si>
    <t>CL3-684</t>
  </si>
  <si>
    <t>CL3-685</t>
  </si>
  <si>
    <t>CL3-686</t>
  </si>
  <si>
    <t>CL3-687</t>
  </si>
  <si>
    <t>CL3-688</t>
  </si>
  <si>
    <t>CL3-689</t>
  </si>
  <si>
    <t>CL3-690</t>
  </si>
  <si>
    <t>CL3-691</t>
  </si>
  <si>
    <t>CL3-692</t>
  </si>
  <si>
    <t>CL3-693</t>
  </si>
  <si>
    <t>CL3-694</t>
  </si>
  <si>
    <t>CL3-695</t>
  </si>
  <si>
    <t>CL3-696</t>
  </si>
  <si>
    <t>CL3-697</t>
  </si>
  <si>
    <t>CL3-698</t>
  </si>
  <si>
    <t>SS-120</t>
  </si>
  <si>
    <t>Carhoon 110kV Substation</t>
  </si>
  <si>
    <t>CL3-699</t>
  </si>
  <si>
    <t>CL3-700</t>
  </si>
  <si>
    <t>SS-185</t>
  </si>
  <si>
    <t>Anner 110kV Substation</t>
  </si>
  <si>
    <t>CL3-701</t>
  </si>
  <si>
    <t>CL3-702</t>
  </si>
  <si>
    <t>SS-092</t>
  </si>
  <si>
    <t>Crane 110kV Substation</t>
  </si>
  <si>
    <t>CL3-703</t>
  </si>
  <si>
    <t>CL3-704</t>
  </si>
  <si>
    <t>CL3-705</t>
  </si>
  <si>
    <t>CL3-706</t>
  </si>
  <si>
    <t>CL3-707</t>
  </si>
  <si>
    <t>CL3-708</t>
  </si>
  <si>
    <t>CL3-709</t>
  </si>
  <si>
    <t>CL3-710</t>
  </si>
  <si>
    <t>CL3-711</t>
  </si>
  <si>
    <t>CL3-712</t>
  </si>
  <si>
    <t>CL3-713</t>
  </si>
  <si>
    <t>CL3-714</t>
  </si>
  <si>
    <t>CL3-715</t>
  </si>
  <si>
    <t>CL3-716</t>
  </si>
  <si>
    <t>CL3-717</t>
  </si>
  <si>
    <t>CL3-718</t>
  </si>
  <si>
    <t>CL3-719</t>
  </si>
  <si>
    <t>CL3-720</t>
  </si>
  <si>
    <t>CL3-721</t>
  </si>
  <si>
    <t>CL3-722</t>
  </si>
  <si>
    <t>CL3-723</t>
  </si>
  <si>
    <t>CL3-724</t>
  </si>
  <si>
    <t>SS-588</t>
  </si>
  <si>
    <t>Kilmallock 38kV Substation</t>
  </si>
  <si>
    <t>CL3-725</t>
  </si>
  <si>
    <t>CL3-726</t>
  </si>
  <si>
    <t>CL3-727</t>
  </si>
  <si>
    <t>CL3-728</t>
  </si>
  <si>
    <t>CL3-729</t>
  </si>
  <si>
    <t>CL3-730</t>
  </si>
  <si>
    <t>CL3-731</t>
  </si>
  <si>
    <t>CL3-732</t>
  </si>
  <si>
    <t>SS-527</t>
  </si>
  <si>
    <t>Rathkeale 38kV Substation</t>
  </si>
  <si>
    <t>CL3-733</t>
  </si>
  <si>
    <t>SS-043</t>
  </si>
  <si>
    <t>Thurles 110kV Substation</t>
  </si>
  <si>
    <t>CL3-734</t>
  </si>
  <si>
    <t>CL3-735</t>
  </si>
  <si>
    <t>SS-577</t>
  </si>
  <si>
    <t>Whitechurch 38kV Substation</t>
  </si>
  <si>
    <t>CL3-736</t>
  </si>
  <si>
    <t>CL3-737</t>
  </si>
  <si>
    <t>CL3-738</t>
  </si>
  <si>
    <t>CL3-739</t>
  </si>
  <si>
    <t>CL3-740</t>
  </si>
  <si>
    <t>CL3-741</t>
  </si>
  <si>
    <t>CL3-742</t>
  </si>
  <si>
    <t>SS-482</t>
  </si>
  <si>
    <t>Foxhole 38kV Substation</t>
  </si>
  <si>
    <t>CL3-743</t>
  </si>
  <si>
    <t>CL3-744</t>
  </si>
  <si>
    <t>CL3-745</t>
  </si>
  <si>
    <t>CL3-746</t>
  </si>
  <si>
    <t>CL3-747</t>
  </si>
  <si>
    <t>CL3-748</t>
  </si>
  <si>
    <t>CL3-749</t>
  </si>
  <si>
    <t>CL3-750</t>
  </si>
  <si>
    <t>CL3-751</t>
  </si>
  <si>
    <t>CL3-752</t>
  </si>
  <si>
    <t>CL3-753</t>
  </si>
  <si>
    <t>CL3-754</t>
  </si>
  <si>
    <t>CL3-755</t>
  </si>
  <si>
    <t>SS-508</t>
  </si>
  <si>
    <t>Ballyconnell 38kV Substation</t>
  </si>
  <si>
    <t>CL3-756</t>
  </si>
  <si>
    <t>CL3-757</t>
  </si>
  <si>
    <t>CL3-758</t>
  </si>
  <si>
    <t>CL3-759</t>
  </si>
  <si>
    <t>CL3-760</t>
  </si>
  <si>
    <t>CL3-761</t>
  </si>
  <si>
    <t>CL3-762</t>
  </si>
  <si>
    <t>CL3-763</t>
  </si>
  <si>
    <t>CL3-764</t>
  </si>
  <si>
    <t>CL3-765</t>
  </si>
  <si>
    <t>CL3-766</t>
  </si>
  <si>
    <t>CL3-767</t>
  </si>
  <si>
    <t>SS-696</t>
  </si>
  <si>
    <t>Sliabh Bawn 110kV Substation</t>
  </si>
  <si>
    <t>CL3-768</t>
  </si>
  <si>
    <t>CL3-769</t>
  </si>
  <si>
    <t>CL3-770</t>
  </si>
  <si>
    <t>CL3-771</t>
  </si>
  <si>
    <t>CL3-772</t>
  </si>
  <si>
    <t>CL3-773</t>
  </si>
  <si>
    <t>CL3-774</t>
  </si>
  <si>
    <t>CL3-775</t>
  </si>
  <si>
    <t>CL3-776</t>
  </si>
  <si>
    <t>CL3-777</t>
  </si>
  <si>
    <t>CL3-778</t>
  </si>
  <si>
    <t>CL3-779</t>
  </si>
  <si>
    <t>CL3-780</t>
  </si>
  <si>
    <t>CL3-781</t>
  </si>
  <si>
    <t>CL3-782</t>
  </si>
  <si>
    <t>CL3-783</t>
  </si>
  <si>
    <t>CL3-784</t>
  </si>
  <si>
    <t>CL3-785</t>
  </si>
  <si>
    <t>SS-466</t>
  </si>
  <si>
    <t>Cootehill 38kV Substation</t>
  </si>
  <si>
    <t>CL3-786</t>
  </si>
  <si>
    <t>Connection Cost Million E/Kw</t>
  </si>
  <si>
    <t>Capacity</t>
  </si>
  <si>
    <t>Total Connection Cost</t>
  </si>
  <si>
    <t>Cost Range</t>
  </si>
  <si>
    <t>Connection Cost (Euro/kW)</t>
  </si>
  <si>
    <t>Investment Cost</t>
  </si>
  <si>
    <t>Pulverised coal supercritical</t>
  </si>
  <si>
    <t>Pulverised peat supercritical</t>
  </si>
  <si>
    <t>Supercritical fluidized bed peat</t>
  </si>
  <si>
    <t>Integrated Gasification Combined Cycle coal</t>
  </si>
  <si>
    <t>Integrated Gasification Combined Cycle peat</t>
  </si>
  <si>
    <t>CCGT advanced CCS post combustion</t>
  </si>
  <si>
    <t>Pulverised coal supercritical CCS post-combustion</t>
  </si>
  <si>
    <t>Fluidised bed peat CCS post combustion</t>
  </si>
  <si>
    <t>Pulverised coal supercritical CCS oxyfuel</t>
  </si>
  <si>
    <t>IGCC coal CCS pre-combustion</t>
  </si>
  <si>
    <t>IGCC peat CCS pre combustion</t>
  </si>
  <si>
    <t>P-TH-OCGT-GAS01</t>
    <phoneticPr fontId="15" type="noConversion"/>
  </si>
  <si>
    <t>P-TH-OCGT-GAS02</t>
  </si>
  <si>
    <t>P-TH-CCGT-GAS03</t>
    <phoneticPr fontId="15" type="noConversion"/>
  </si>
  <si>
    <t>P-RNW-SOL-PV02</t>
    <phoneticPr fontId="15" type="noConversion"/>
  </si>
  <si>
    <t>P-RNW-SOL-PV01</t>
    <phoneticPr fontId="15" type="noConversion"/>
  </si>
  <si>
    <t>P-RNW-SOL-PV03</t>
  </si>
  <si>
    <t>P-RNW-SOL-CSP04</t>
  </si>
  <si>
    <t>P-RNW-HYD-DAM01</t>
  </si>
  <si>
    <t>P-RNW-HYD-DAM02</t>
  </si>
  <si>
    <t>P-RNW-HYD-DAM03</t>
  </si>
  <si>
    <t>P-RNW-HYD-ROR04</t>
  </si>
  <si>
    <t>P-RNW-GEO01</t>
  </si>
  <si>
    <t>P-RNW-GEO02</t>
  </si>
  <si>
    <t>P-RNW-GEO03</t>
  </si>
  <si>
    <t>P-RNW-OCE-WAV01</t>
  </si>
  <si>
    <t>P-RNW-OCE-TID02</t>
  </si>
  <si>
    <t>P-TH-SC-COA01</t>
    <phoneticPr fontId="15" type="noConversion"/>
  </si>
  <si>
    <t>P-TH-SC-PEA02</t>
  </si>
  <si>
    <t>P-TH-FB-PEA01</t>
    <phoneticPr fontId="15" type="noConversion"/>
  </si>
  <si>
    <t>P-TH-IGCC-COA03</t>
    <phoneticPr fontId="15" type="noConversion"/>
  </si>
  <si>
    <t>P-TH-IGCC-PEA03</t>
    <phoneticPr fontId="15" type="noConversion"/>
  </si>
  <si>
    <t>P-RNW-ST-BIO02</t>
  </si>
  <si>
    <t>P-RNW-FB-BIO01</t>
    <phoneticPr fontId="15" type="noConversion"/>
  </si>
  <si>
    <t>P-RNW-IGCC-BIO03</t>
    <phoneticPr fontId="15" type="noConversion"/>
  </si>
  <si>
    <t>P-RNW-AB-BIO04</t>
    <phoneticPr fontId="15" type="noConversion"/>
  </si>
  <si>
    <t>P-RNW-ST-MSW04</t>
    <phoneticPr fontId="15" type="noConversion"/>
  </si>
  <si>
    <t>P-RNW-WIN-ON01</t>
    <phoneticPr fontId="15" type="noConversion"/>
  </si>
  <si>
    <t>P-RNW-WIN-ON02</t>
  </si>
  <si>
    <t>P-RNW-WIN-ON03</t>
  </si>
  <si>
    <t>P-RNW-WIN-ON04</t>
  </si>
  <si>
    <t>P-RNW-WIN-ON05</t>
  </si>
  <si>
    <t>*P-TH-CCGT-GAS-CCS04</t>
    <phoneticPr fontId="15" type="noConversion"/>
  </si>
  <si>
    <t>*P-TH-SC-COA-CCS04</t>
    <phoneticPr fontId="15" type="noConversion"/>
  </si>
  <si>
    <t>*P-TH-FB-PEA-CCS04</t>
    <phoneticPr fontId="15" type="noConversion"/>
  </si>
  <si>
    <t>*P-TH-SC-COA-CCS05</t>
    <phoneticPr fontId="15" type="noConversion"/>
  </si>
  <si>
    <t>*P-TH-IGCC-COA-CCS06</t>
    <phoneticPr fontId="15" type="noConversion"/>
  </si>
  <si>
    <t>*P-TH-IGCC-PEA-CCS05</t>
    <phoneticPr fontId="15" type="noConversion"/>
  </si>
  <si>
    <t>P-TH-CCGT-GAS-CCS04-Cork1</t>
    <phoneticPr fontId="15" type="noConversion"/>
  </si>
  <si>
    <t>P-TH-CCGT-GAS-CCS04-Cork2</t>
    <phoneticPr fontId="15" type="noConversion"/>
  </si>
  <si>
    <t>P-TH-IGCC-PEA-CCS05-Offaly1</t>
    <phoneticPr fontId="15" type="noConversion"/>
  </si>
  <si>
    <t>P-TH-IGCC-PEA-CCS05-Offaly2</t>
    <phoneticPr fontId="15" type="noConversion"/>
  </si>
  <si>
    <t>P-TH-IGCC-PEA-CCS05-Offaly3</t>
    <phoneticPr fontId="15" type="noConversion"/>
  </si>
  <si>
    <t>P-TH-CCGT-GAS-CCS04-Dublin2</t>
    <phoneticPr fontId="15" type="noConversion"/>
  </si>
  <si>
    <t>P-TH-SC-COA-CCS04-Kilroot1</t>
    <phoneticPr fontId="15" type="noConversion"/>
  </si>
  <si>
    <t>P-TH-SC-COA-CCS04-MP1</t>
    <phoneticPr fontId="15" type="noConversion"/>
  </si>
  <si>
    <t>P-TH-IGCC-COA-CCS06-MP1</t>
    <phoneticPr fontId="15" type="noConversion"/>
  </si>
  <si>
    <t>P-TH-SC-COA-CCS04-MP2</t>
    <phoneticPr fontId="15" type="noConversion"/>
  </si>
  <si>
    <t>P-TH-IGCC-COA-CCS06-MP2</t>
    <phoneticPr fontId="15" type="noConversion"/>
  </si>
  <si>
    <t>PWRWIN</t>
  </si>
  <si>
    <t>PWRSOL</t>
  </si>
  <si>
    <t>PWRHYD</t>
  </si>
  <si>
    <t>PWRGEO</t>
  </si>
  <si>
    <t>PWROCE</t>
  </si>
  <si>
    <t>PWRGAS</t>
  </si>
  <si>
    <t>PWRCOA</t>
  </si>
  <si>
    <t>PWRPEA</t>
  </si>
  <si>
    <t>PWRBIO</t>
  </si>
  <si>
    <t>PWRMSW</t>
  </si>
  <si>
    <t>PWRH2G</t>
  </si>
  <si>
    <t>PWRWIN</t>
    <phoneticPr fontId="15" type="noConversion"/>
  </si>
  <si>
    <t>P-TH-OCGT-H2-01</t>
    <phoneticPr fontId="15" type="noConversion"/>
  </si>
  <si>
    <t>P-TH-CCGT-H2-02</t>
    <phoneticPr fontId="15" type="noConversion"/>
  </si>
  <si>
    <t>~FI_T</t>
  </si>
  <si>
    <t>Comm-Out</t>
  </si>
  <si>
    <t>Year</t>
  </si>
  <si>
    <t>START</t>
  </si>
  <si>
    <t>Life</t>
  </si>
  <si>
    <t>AF</t>
  </si>
  <si>
    <t>CAP2ACT</t>
  </si>
  <si>
    <t>NCAP_DRATE</t>
  </si>
  <si>
    <t>Source: JRC-EU-TIMES model documentation 2013 (p. 87 Biomass with carbon sequestration)</t>
  </si>
  <si>
    <t>Steam Turbine Biomass WOO with CO2seq</t>
  </si>
  <si>
    <t>P-RNW-ST-BIO-CCS05</t>
    <phoneticPr fontId="15" type="noConversion"/>
  </si>
  <si>
    <t>PWRCO2S</t>
  </si>
  <si>
    <t>Sequestered CO2 (PWR)</t>
  </si>
  <si>
    <t>Electricity Interconnector</t>
  </si>
  <si>
    <t>Region</t>
  </si>
  <si>
    <t>COST~2015</t>
  </si>
  <si>
    <t>COST~2020</t>
  </si>
  <si>
    <t>COST~2030</t>
  </si>
  <si>
    <t>COST~2040</t>
  </si>
  <si>
    <t>COST~2050</t>
  </si>
  <si>
    <t>*Region Name</t>
  </si>
  <si>
    <t>Euro/GJ</t>
  </si>
  <si>
    <t>Region Name</t>
  </si>
  <si>
    <t>TimeSlice level of Process Activity</t>
  </si>
  <si>
    <t>Primary Commodity Group</t>
  </si>
  <si>
    <t>IE,National</t>
  </si>
  <si>
    <t>Years</t>
  </si>
  <si>
    <t>%</t>
  </si>
  <si>
    <t>Tsiropoulos I, Tarvydas, D, Zucker, A, Cost development of low carbon energy technologies - Scenario-based cost trajectories to 2050, 2017 Edition, EUR 29034 EN, Publications Office of the European Union, Luxembourg, 2018, ISBN 978-92-79-77479-9, doi:10.2760/490059, JRC109894.</t>
  </si>
  <si>
    <t>Wind energy</t>
  </si>
  <si>
    <t>Input assumptions on learning rate method for onshore wind energy</t>
  </si>
  <si>
    <t>Global deployment</t>
  </si>
  <si>
    <t>Baseline</t>
  </si>
  <si>
    <t>Diversified</t>
  </si>
  <si>
    <t>ProRES</t>
  </si>
  <si>
    <t>Global capacity additions</t>
  </si>
  <si>
    <t>GW/year</t>
  </si>
  <si>
    <t>Learning rate</t>
  </si>
  <si>
    <t>Reference</t>
  </si>
  <si>
    <t>High</t>
  </si>
  <si>
    <t>Low</t>
  </si>
  <si>
    <t>Lifetime</t>
  </si>
  <si>
    <t>-</t>
  </si>
  <si>
    <t>Input assumptions on learning rate method for offshore wind energy</t>
  </si>
  <si>
    <t>Capital investment cost trajectories of onshore wind turbines (low specific capacity, high hub height)</t>
  </si>
  <si>
    <t>Capital investment costs</t>
  </si>
  <si>
    <t>EUR 2015/kW</t>
  </si>
  <si>
    <t>Min</t>
  </si>
  <si>
    <t>Max</t>
  </si>
  <si>
    <t>O&amp;M costs</t>
  </si>
  <si>
    <r>
      <t>%</t>
    </r>
    <r>
      <rPr>
        <vertAlign val="subscript"/>
        <sz val="10"/>
        <color rgb="FF000000"/>
        <rFont val="Verdana"/>
        <family val="2"/>
      </rPr>
      <t>CAPEX</t>
    </r>
  </si>
  <si>
    <t>Capital investment cost trajectories of onshore wind turbines (medium specific capacity, medium hub height)</t>
  </si>
  <si>
    <t>Capital investment cost trajectories of onshore wind turbines (high specific capacity, low hub height)</t>
  </si>
  <si>
    <t>Capital investment cost trajectories of offshore wind turbines (monopole, medium distance to shore)</t>
  </si>
  <si>
    <t>P-RNW-WIN-OF02</t>
  </si>
  <si>
    <t>Capital investment cost trajectories of offshore wind turbines (jacket, medium distance to shore)</t>
  </si>
  <si>
    <t>Capital investment cost trajectories of offshore wind turbines (floating, long distance to shore)</t>
  </si>
  <si>
    <t>Input assumptions on learning rate method for photovoltaics</t>
  </si>
  <si>
    <t xml:space="preserve"> - </t>
  </si>
  <si>
    <t>Capital investment cost trajectories of utility-scale photovoltaics with one-axis tracking</t>
  </si>
  <si>
    <r>
      <t>%</t>
    </r>
    <r>
      <rPr>
        <vertAlign val="subscript"/>
        <sz val="11"/>
        <color rgb="FF000000"/>
        <rFont val="Verdana"/>
        <family val="2"/>
      </rPr>
      <t>CAPEX</t>
    </r>
  </si>
  <si>
    <t>Capital investment cost trajectories of utility-scale photovoltaics without tracking</t>
  </si>
  <si>
    <t>P-RNW-SOL-PV02</t>
  </si>
  <si>
    <t>Capital investment cost trajectories of commercial-scale PV, flat surface</t>
  </si>
  <si>
    <t>P-RNW-SOL-PV01</t>
  </si>
  <si>
    <t>Capital investment cost trajectories of residential-scale PV, inclined surface</t>
  </si>
  <si>
    <t>Solar thermal electricity</t>
  </si>
  <si>
    <t>Input assumptions on learning rate method for solar thermal electricity</t>
  </si>
  <si>
    <t>Capital investment cost trajectories of parabolic trough with storage</t>
  </si>
  <si>
    <t>Capital investment cost trajectories of solar tower with storage</t>
  </si>
  <si>
    <t>Geothermal energy</t>
  </si>
  <si>
    <t>Input assumptions on learning rate method for geothermal energy</t>
  </si>
  <si>
    <t>Capital investment cost trajectories of flash geothermal</t>
  </si>
  <si>
    <t xml:space="preserve">Capital investment cost trajectories of Organic Rankine Cycle (binary) geothermal </t>
  </si>
  <si>
    <t xml:space="preserve">Capital investment cost trajectories of Enhanced Geothermal System </t>
  </si>
  <si>
    <t>Ocean energy</t>
  </si>
  <si>
    <t>Input assumptions on learning rate method for ocean energy</t>
  </si>
  <si>
    <t>Capital investment cost trajectories of tidal range</t>
  </si>
  <si>
    <t>Capital investment cost trajectories of tidal stream</t>
  </si>
  <si>
    <t>Capital investment cost trajectories of wave energy</t>
  </si>
  <si>
    <t>Hydropower</t>
  </si>
  <si>
    <t>Input assumptions on learning rate method for hydropower</t>
  </si>
  <si>
    <t xml:space="preserve">Input assumptions on learning rate method for natural gas combined cycle plants with CCS, post-combustion </t>
  </si>
  <si>
    <t>Learning rate method input assumptions for biomass IGCC plants with CCS, pre-combustion</t>
  </si>
  <si>
    <t>Global installed capacity</t>
  </si>
  <si>
    <t>Capital investment cost trajectories of large-scale low-cost hydropower and dam</t>
  </si>
  <si>
    <t>Capital investment cost trajectories of large-scale high-cost hydropower and dam</t>
  </si>
  <si>
    <t>Capital investment cost trajectories of medium-scale low-cost hydropower and dam</t>
  </si>
  <si>
    <t>Capital investment cost trajectories of medium-scale high-cost hydropower and dam</t>
  </si>
  <si>
    <t>Capital investment cost trajectories of small-scale low-cost hydropower and dam</t>
  </si>
  <si>
    <t>Capital investment cost trajectories of small-scale high-cost hydropower and dam</t>
  </si>
  <si>
    <t>Capital investment cost trajectories of run-of-river plants</t>
  </si>
  <si>
    <t>Biomass heat and power</t>
  </si>
  <si>
    <t>Input assumptions on learning rate method for biomass heat and power</t>
  </si>
  <si>
    <t>Capital investment cost trajectories of biomass subcritical steam turbine CHP plant</t>
  </si>
  <si>
    <t>Capital investment cost trajectories of gasified biomass CHP plant</t>
  </si>
  <si>
    <t>Capital investment cost trajectories of biomass-fired Organic Rankine Cycle</t>
  </si>
  <si>
    <t>Capital investment cost trajectories of anaerobic digestion plants</t>
  </si>
  <si>
    <t>P-RNW-AB-BIO04</t>
  </si>
  <si>
    <t>Carbon Capture and Storage</t>
  </si>
  <si>
    <t>Input assumptions on learning rate method for pulverised coal plants with CCS, post-combustion</t>
  </si>
  <si>
    <t>*P-TH-SC-COA-CCS04</t>
  </si>
  <si>
    <t>Input assumptions on learning rate method for pulverised coal plants with CCS, oxyfuel</t>
  </si>
  <si>
    <t>Capital investment cost trajectories of pulverised coal plants with CCS, oxyfuel</t>
  </si>
  <si>
    <t>*P-TH-SC-COA-CCS05</t>
  </si>
  <si>
    <r>
      <t>%</t>
    </r>
    <r>
      <rPr>
        <vertAlign val="subscript"/>
        <sz val="10"/>
        <color rgb="FF000000"/>
        <rFont val="Verdana"/>
        <family val="2"/>
      </rPr>
      <t>CAPEX</t>
    </r>
    <r>
      <rPr>
        <sz val="10"/>
        <color rgb="FF000000"/>
        <rFont val="Verdana"/>
        <family val="2"/>
      </rPr>
      <t xml:space="preserve"> </t>
    </r>
  </si>
  <si>
    <t>Input assumptions on learning rate method for lignite IGCC plants with CCS, pre-combustion</t>
  </si>
  <si>
    <t>*P-TH-IGCC-PEA-CCS05</t>
  </si>
  <si>
    <t>Input assumptions on learning rate method for coal IGCC plants with CCS, pre-combustion</t>
  </si>
  <si>
    <t>*P-TH-IGCC-COA-CCS06</t>
  </si>
  <si>
    <t>Capital investment cost trajectories of biomass IGCC plants with CCS, pre-combustion</t>
  </si>
  <si>
    <t>Capital investment cost trajectories of natural gas combined cycle plants with CCS, post-combustion</t>
  </si>
  <si>
    <t>*P-TH-CCGT-GAS-CCS04</t>
  </si>
  <si>
    <t>ETRI2018</t>
  </si>
  <si>
    <t>ETRI2014</t>
  </si>
  <si>
    <t>*Cost data Source</t>
  </si>
  <si>
    <t>*Effieiency Data source</t>
  </si>
  <si>
    <t>P-TH-CCGT-GAS-CCS04-Dublin1</t>
  </si>
  <si>
    <t>INVCOST~2015</t>
  </si>
  <si>
    <t>IMP</t>
  </si>
  <si>
    <t>EXP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</si>
  <si>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</si>
  <si>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</si>
  <si>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</si>
  <si>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</si>
  <si>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</si>
  <si>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</si>
  <si>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</si>
  <si>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</si>
  <si>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</si>
  <si>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</si>
  <si>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</si>
  <si>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</si>
  <si>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</si>
  <si>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Power sector (PWR)</t>
  </si>
  <si>
    <t>Specify techno-economic data for new generation technologies</t>
  </si>
  <si>
    <t>Xiufeng Yue (UCC, xiufeng.yue@ucc.ie)</t>
  </si>
  <si>
    <t>Olexandr Balyk (UCC, olexandr.balyk@ucc.ie)</t>
  </si>
  <si>
    <t>James Glynn (UCC, james.glynn@ucc.ie)</t>
  </si>
  <si>
    <t>~FI_T: MEUR2015</t>
  </si>
  <si>
    <t>~FI_T: MEUR2012</t>
  </si>
  <si>
    <t>~FI_T: MEUR2014</t>
  </si>
  <si>
    <t>PRC_CAPACT</t>
  </si>
  <si>
    <t>NCAP_TLIFE</t>
  </si>
  <si>
    <t>NCAP_START</t>
  </si>
  <si>
    <t>FX</t>
  </si>
  <si>
    <t>IMPELC_FR-CI</t>
  </si>
  <si>
    <t>EXPELC_FR-CI</t>
  </si>
  <si>
    <t>Export of Electricity - France Celtic Interconnector</t>
  </si>
  <si>
    <t>Import of Electricity - France Celtic Interconnector</t>
  </si>
  <si>
    <t>CAP_BND</t>
  </si>
  <si>
    <t>CAP_BND~0</t>
  </si>
  <si>
    <t>IMPELC_UK-GL</t>
  </si>
  <si>
    <t>EXPELC_UK-GL</t>
  </si>
  <si>
    <t>Import of Electricity - UK Greenlink</t>
  </si>
  <si>
    <t>Export of Electricity - UK Greenlink</t>
  </si>
  <si>
    <t>INVCOST~2025</t>
  </si>
  <si>
    <t>~FI_T: MEUR2024</t>
  </si>
  <si>
    <t>PWR Offshore wind new</t>
  </si>
  <si>
    <t>FIXOM~2025</t>
  </si>
  <si>
    <t>*P-RNW-WIN-OF02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</si>
</sst>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Te\x\t"/>
    <numFmt numFmtId="165" formatCode="0.0"/>
    <numFmt numFmtId="166" formatCode="0.000"/>
    <numFmt numFmtId="167" formatCode="&quot;€&quot;#,##0"/>
    <numFmt numFmtId="168" formatCode="0.0%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3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Verdana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vertAlign val="subscript"/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rgb="FF000000"/>
      <name val="Verdana"/>
      <family val="2"/>
    </font>
    <font>
      <vertAlign val="subscript"/>
      <sz val="11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E3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5D5E2"/>
        <bgColor indexed="64"/>
      </patternFill>
    </fill>
    <fill>
      <patternFill patternType="solid">
        <fgColor rgb="FFD2EAF1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BCAA2"/>
        <bgColor indexed="64"/>
      </patternFill>
    </fill>
    <fill>
      <patternFill patternType="solid">
        <fgColor rgb="FFFDE4D0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BFB1D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FD8E8"/>
        <bgColor indexed="64"/>
      </patternFill>
    </fill>
    <fill>
      <patternFill patternType="solid">
        <fgColor rgb="FFDFA7A6"/>
        <bgColor indexed="64"/>
      </patternFill>
    </fill>
    <fill>
      <patternFill patternType="solid">
        <fgColor rgb="FFEFD3D2"/>
        <bgColor indexed="64"/>
      </patternFill>
    </fill>
    <fill>
      <patternFill patternType="solid">
        <fgColor rgb="FFCDDD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7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 style="medium">
        <color rgb="FFFFFFFF"/>
      </left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2" fillId="0" borderId="0"/>
  </cellStyleXfs>
  <cellXfs count="390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5" fillId="5" borderId="0" xfId="2" applyNumberFormat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8" fillId="4" borderId="2" xfId="0" applyNumberFormat="1" applyFont="1" applyFill="1" applyBorder="1" applyAlignment="1">
      <alignment horizontal="left" vertical="center" wrapText="1"/>
    </xf>
    <xf numFmtId="164" fontId="9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2" borderId="0" xfId="0" applyFont="1" applyFill="1"/>
    <xf numFmtId="0" fontId="8" fillId="4" borderId="4" xfId="0" applyFont="1" applyFill="1" applyBorder="1" applyAlignment="1">
      <alignment vertical="center"/>
    </xf>
    <xf numFmtId="9" fontId="0" fillId="0" borderId="0" xfId="1" applyFont="1" applyBorder="1"/>
    <xf numFmtId="0" fontId="10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9" fontId="0" fillId="0" borderId="5" xfId="1" applyFont="1" applyBorder="1"/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10" fillId="0" borderId="6" xfId="0" applyFont="1" applyBorder="1" applyAlignment="1">
      <alignment vertical="center"/>
    </xf>
    <xf numFmtId="9" fontId="0" fillId="0" borderId="6" xfId="1" applyFont="1" applyBorder="1"/>
    <xf numFmtId="0" fontId="0" fillId="0" borderId="6" xfId="0" applyBorder="1" applyAlignment="1">
      <alignment horizontal="center" vertical="center"/>
    </xf>
    <xf numFmtId="0" fontId="9" fillId="0" borderId="6" xfId="0" applyFont="1" applyBorder="1"/>
    <xf numFmtId="0" fontId="10" fillId="0" borderId="6" xfId="0" applyFont="1" applyBorder="1"/>
    <xf numFmtId="0" fontId="8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1" fontId="0" fillId="0" borderId="6" xfId="0" applyNumberForma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0" xfId="0" applyFont="1"/>
    <xf numFmtId="164" fontId="14" fillId="0" borderId="0" xfId="0" applyNumberFormat="1" applyFont="1"/>
    <xf numFmtId="164" fontId="0" fillId="0" borderId="0" xfId="0" applyNumberFormat="1"/>
    <xf numFmtId="0" fontId="8" fillId="4" borderId="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/>
    </xf>
    <xf numFmtId="2" fontId="0" fillId="0" borderId="6" xfId="0" applyNumberFormat="1" applyBorder="1"/>
    <xf numFmtId="2" fontId="0" fillId="0" borderId="9" xfId="0" applyNumberFormat="1" applyBorder="1"/>
    <xf numFmtId="0" fontId="0" fillId="0" borderId="9" xfId="0" applyBorder="1"/>
    <xf numFmtId="0" fontId="10" fillId="0" borderId="9" xfId="0" applyFont="1" applyBorder="1" applyAlignment="1">
      <alignment vertical="center"/>
    </xf>
    <xf numFmtId="9" fontId="0" fillId="0" borderId="9" xfId="1" applyFont="1" applyBorder="1"/>
    <xf numFmtId="1" fontId="0" fillId="0" borderId="9" xfId="0" applyNumberFormat="1" applyBorder="1"/>
    <xf numFmtId="0" fontId="0" fillId="0" borderId="9" xfId="0" applyBorder="1" applyAlignment="1">
      <alignment horizontal="center" vertical="center"/>
    </xf>
    <xf numFmtId="0" fontId="0" fillId="0" borderId="0" xfId="0" quotePrefix="1"/>
    <xf numFmtId="0" fontId="0" fillId="0" borderId="10" xfId="0" applyBorder="1"/>
    <xf numFmtId="0" fontId="10" fillId="0" borderId="10" xfId="0" applyFont="1" applyBorder="1" applyAlignment="1">
      <alignment vertical="center"/>
    </xf>
    <xf numFmtId="9" fontId="0" fillId="0" borderId="10" xfId="1" applyFont="1" applyBorder="1"/>
    <xf numFmtId="1" fontId="0" fillId="0" borderId="10" xfId="0" applyNumberFormat="1" applyBorder="1"/>
    <xf numFmtId="2" fontId="0" fillId="0" borderId="10" xfId="0" applyNumberFormat="1" applyBorder="1"/>
    <xf numFmtId="0" fontId="0" fillId="0" borderId="10" xfId="0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/>
    <xf numFmtId="0" fontId="10" fillId="0" borderId="11" xfId="0" applyFont="1" applyBorder="1" applyAlignment="1">
      <alignment vertical="center"/>
    </xf>
    <xf numFmtId="9" fontId="0" fillId="0" borderId="11" xfId="1" applyFont="1" applyBorder="1"/>
    <xf numFmtId="1" fontId="0" fillId="0" borderId="11" xfId="0" applyNumberFormat="1" applyBorder="1"/>
    <xf numFmtId="2" fontId="0" fillId="0" borderId="11" xfId="0" applyNumberFormat="1" applyBorder="1"/>
    <xf numFmtId="0" fontId="0" fillId="0" borderId="11" xfId="0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left" vertical="center" wrapText="1"/>
    </xf>
    <xf numFmtId="166" fontId="0" fillId="0" borderId="0" xfId="0" applyNumberFormat="1"/>
    <xf numFmtId="166" fontId="0" fillId="37" borderId="0" xfId="0" applyNumberFormat="1" applyFill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37" borderId="0" xfId="0" applyNumberFormat="1" applyFill="1" applyAlignment="1">
      <alignment horizontal="center" wrapText="1"/>
    </xf>
    <xf numFmtId="167" fontId="0" fillId="37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1" fontId="34" fillId="0" borderId="0" xfId="0" applyNumberFormat="1" applyFont="1"/>
    <xf numFmtId="0" fontId="34" fillId="0" borderId="0" xfId="0" applyFont="1"/>
    <xf numFmtId="166" fontId="34" fillId="0" borderId="0" xfId="0" applyNumberFormat="1" applyFont="1"/>
    <xf numFmtId="166" fontId="34" fillId="37" borderId="0" xfId="0" applyNumberFormat="1" applyFont="1" applyFill="1"/>
    <xf numFmtId="0" fontId="34" fillId="0" borderId="0" xfId="0" applyFont="1" applyAlignment="1">
      <alignment wrapText="1"/>
    </xf>
    <xf numFmtId="167" fontId="34" fillId="37" borderId="0" xfId="0" applyNumberFormat="1" applyFont="1" applyFill="1" applyAlignment="1">
      <alignment wrapText="1"/>
    </xf>
    <xf numFmtId="167" fontId="0" fillId="37" borderId="0" xfId="0" applyNumberFormat="1" applyFill="1"/>
    <xf numFmtId="1" fontId="0" fillId="38" borderId="0" xfId="0" applyNumberFormat="1" applyFill="1"/>
    <xf numFmtId="0" fontId="0" fillId="38" borderId="0" xfId="0" applyFill="1"/>
    <xf numFmtId="166" fontId="0" fillId="38" borderId="0" xfId="0" applyNumberFormat="1" applyFill="1"/>
    <xf numFmtId="166" fontId="34" fillId="38" borderId="0" xfId="0" applyNumberFormat="1" applyFont="1" applyFill="1"/>
    <xf numFmtId="0" fontId="34" fillId="38" borderId="0" xfId="0" applyFont="1" applyFill="1" applyAlignment="1">
      <alignment wrapText="1"/>
    </xf>
    <xf numFmtId="0" fontId="0" fillId="38" borderId="0" xfId="0" applyFill="1" applyAlignment="1">
      <alignment vertical="center"/>
    </xf>
    <xf numFmtId="167" fontId="0" fillId="38" borderId="0" xfId="0" applyNumberFormat="1" applyFill="1"/>
    <xf numFmtId="2" fontId="0" fillId="38" borderId="0" xfId="0" applyNumberFormat="1" applyFill="1"/>
    <xf numFmtId="0" fontId="0" fillId="0" borderId="24" xfId="0" applyBorder="1"/>
    <xf numFmtId="166" fontId="34" fillId="0" borderId="23" xfId="0" applyNumberFormat="1" applyFont="1" applyBorder="1"/>
    <xf numFmtId="1" fontId="35" fillId="0" borderId="20" xfId="0" applyNumberFormat="1" applyFont="1" applyBorder="1" applyAlignment="1">
      <alignment horizontal="center" wrapText="1"/>
    </xf>
    <xf numFmtId="0" fontId="35" fillId="0" borderId="25" xfId="0" applyFont="1" applyBorder="1" applyAlignment="1">
      <alignment wrapText="1"/>
    </xf>
    <xf numFmtId="0" fontId="35" fillId="0" borderId="21" xfId="0" applyFont="1" applyBorder="1"/>
    <xf numFmtId="0" fontId="35" fillId="0" borderId="8" xfId="0" applyFont="1" applyBorder="1"/>
    <xf numFmtId="0" fontId="35" fillId="0" borderId="22" xfId="0" applyFont="1" applyBorder="1" applyAlignment="1">
      <alignment wrapText="1"/>
    </xf>
    <xf numFmtId="0" fontId="35" fillId="0" borderId="0" xfId="0" applyFont="1"/>
    <xf numFmtId="0" fontId="0" fillId="0" borderId="23" xfId="0" applyBorder="1"/>
    <xf numFmtId="0" fontId="0" fillId="0" borderId="21" xfId="0" applyBorder="1"/>
    <xf numFmtId="0" fontId="0" fillId="0" borderId="8" xfId="0" applyBorder="1"/>
    <xf numFmtId="0" fontId="0" fillId="39" borderId="6" xfId="0" applyFill="1" applyBorder="1"/>
    <xf numFmtId="0" fontId="10" fillId="39" borderId="6" xfId="0" applyFont="1" applyFill="1" applyBorder="1" applyAlignment="1">
      <alignment vertical="center"/>
    </xf>
    <xf numFmtId="9" fontId="0" fillId="39" borderId="6" xfId="1" applyFont="1" applyFill="1" applyBorder="1"/>
    <xf numFmtId="1" fontId="0" fillId="39" borderId="6" xfId="0" applyNumberFormat="1" applyFill="1" applyBorder="1"/>
    <xf numFmtId="2" fontId="0" fillId="39" borderId="6" xfId="0" applyNumberFormat="1" applyFill="1" applyBorder="1"/>
    <xf numFmtId="0" fontId="0" fillId="39" borderId="6" xfId="0" applyFill="1" applyBorder="1" applyAlignment="1">
      <alignment horizontal="center" vertical="center"/>
    </xf>
    <xf numFmtId="1" fontId="0" fillId="6" borderId="6" xfId="0" applyNumberFormat="1" applyFill="1" applyBorder="1"/>
    <xf numFmtId="2" fontId="0" fillId="6" borderId="6" xfId="0" applyNumberFormat="1" applyFill="1" applyBorder="1"/>
    <xf numFmtId="1" fontId="0" fillId="7" borderId="6" xfId="0" applyNumberFormat="1" applyFill="1" applyBorder="1"/>
    <xf numFmtId="165" fontId="0" fillId="7" borderId="6" xfId="0" applyNumberFormat="1" applyFill="1" applyBorder="1"/>
    <xf numFmtId="0" fontId="0" fillId="0" borderId="5" xfId="0" applyBorder="1"/>
    <xf numFmtId="1" fontId="0" fillId="6" borderId="9" xfId="0" applyNumberFormat="1" applyFill="1" applyBorder="1"/>
    <xf numFmtId="1" fontId="0" fillId="6" borderId="5" xfId="0" applyNumberFormat="1" applyFill="1" applyBorder="1"/>
    <xf numFmtId="2" fontId="0" fillId="6" borderId="9" xfId="0" applyNumberFormat="1" applyFill="1" applyBorder="1"/>
    <xf numFmtId="1" fontId="0" fillId="7" borderId="5" xfId="0" applyNumberFormat="1" applyFill="1" applyBorder="1"/>
    <xf numFmtId="165" fontId="0" fillId="7" borderId="5" xfId="0" applyNumberFormat="1" applyFill="1" applyBorder="1"/>
    <xf numFmtId="0" fontId="0" fillId="0" borderId="5" xfId="0" applyBorder="1" applyAlignment="1">
      <alignment horizontal="center" vertical="center"/>
    </xf>
    <xf numFmtId="0" fontId="36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0" fontId="34" fillId="3" borderId="7" xfId="0" applyFont="1" applyFill="1" applyBorder="1" applyAlignment="1">
      <alignment horizontal="left" vertical="center" wrapText="1"/>
    </xf>
    <xf numFmtId="0" fontId="34" fillId="3" borderId="7" xfId="0" applyFont="1" applyFill="1" applyBorder="1" applyAlignment="1">
      <alignment horizontal="center" vertical="center" wrapText="1"/>
    </xf>
    <xf numFmtId="164" fontId="37" fillId="0" borderId="0" xfId="0" applyNumberFormat="1" applyFont="1" applyAlignment="1">
      <alignment vertical="center"/>
    </xf>
    <xf numFmtId="164" fontId="38" fillId="3" borderId="20" xfId="0" applyNumberFormat="1" applyFont="1" applyFill="1" applyBorder="1" applyAlignment="1">
      <alignment vertical="center"/>
    </xf>
    <xf numFmtId="164" fontId="38" fillId="3" borderId="7" xfId="0" applyNumberFormat="1" applyFont="1" applyFill="1" applyBorder="1" applyAlignment="1">
      <alignment vertical="center"/>
    </xf>
    <xf numFmtId="164" fontId="38" fillId="3" borderId="26" xfId="0" applyNumberFormat="1" applyFont="1" applyFill="1" applyBorder="1" applyAlignment="1">
      <alignment vertical="center"/>
    </xf>
    <xf numFmtId="164" fontId="39" fillId="0" borderId="0" xfId="0" applyNumberFormat="1" applyFont="1"/>
    <xf numFmtId="164" fontId="39" fillId="0" borderId="0" xfId="0" applyNumberFormat="1" applyFont="1" applyAlignment="1">
      <alignment horizontal="left"/>
    </xf>
    <xf numFmtId="164" fontId="40" fillId="0" borderId="0" xfId="0" applyNumberFormat="1" applyFont="1"/>
    <xf numFmtId="0" fontId="41" fillId="2" borderId="0" xfId="0" quotePrefix="1" applyFont="1" applyFill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164" fontId="43" fillId="40" borderId="28" xfId="0" applyNumberFormat="1" applyFont="1" applyFill="1" applyBorder="1" applyAlignment="1">
      <alignment horizontal="center" vertical="center" wrapText="1"/>
    </xf>
    <xf numFmtId="164" fontId="43" fillId="40" borderId="29" xfId="0" applyNumberFormat="1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40" fillId="0" borderId="0" xfId="0" applyFont="1"/>
    <xf numFmtId="0" fontId="43" fillId="0" borderId="0" xfId="0" applyFont="1"/>
    <xf numFmtId="1" fontId="40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4" fillId="0" borderId="0" xfId="0" applyFont="1"/>
    <xf numFmtId="0" fontId="49" fillId="42" borderId="32" xfId="0" applyFont="1" applyFill="1" applyBorder="1" applyAlignment="1">
      <alignment horizontal="left" vertical="center"/>
    </xf>
    <xf numFmtId="1" fontId="49" fillId="42" borderId="32" xfId="0" applyNumberFormat="1" applyFont="1" applyFill="1" applyBorder="1" applyAlignment="1">
      <alignment horizontal="center" vertical="center"/>
    </xf>
    <xf numFmtId="0" fontId="50" fillId="43" borderId="34" xfId="0" applyFont="1" applyFill="1" applyBorder="1" applyAlignment="1">
      <alignment horizontal="left" vertical="center"/>
    </xf>
    <xf numFmtId="1" fontId="50" fillId="43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left" vertical="center"/>
    </xf>
    <xf numFmtId="1" fontId="50" fillId="44" borderId="34" xfId="0" applyNumberFormat="1" applyFont="1" applyFill="1" applyBorder="1" applyAlignment="1">
      <alignment horizontal="center" vertical="center"/>
    </xf>
    <xf numFmtId="9" fontId="50" fillId="43" borderId="34" xfId="0" applyNumberFormat="1" applyFont="1" applyFill="1" applyBorder="1" applyAlignment="1">
      <alignment horizontal="center" vertical="center"/>
    </xf>
    <xf numFmtId="0" fontId="49" fillId="42" borderId="38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center" vertical="center"/>
    </xf>
    <xf numFmtId="9" fontId="50" fillId="44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center" vertical="center"/>
    </xf>
    <xf numFmtId="0" fontId="50" fillId="43" borderId="39" xfId="0" applyFont="1" applyFill="1" applyBorder="1" applyAlignment="1">
      <alignment vertical="center"/>
    </xf>
    <xf numFmtId="0" fontId="50" fillId="43" borderId="34" xfId="0" applyFont="1" applyFill="1" applyBorder="1" applyAlignment="1">
      <alignment horizontal="center" vertical="center"/>
    </xf>
    <xf numFmtId="0" fontId="50" fillId="43" borderId="40" xfId="0" applyFont="1" applyFill="1" applyBorder="1" applyAlignment="1">
      <alignment vertical="center"/>
    </xf>
    <xf numFmtId="0" fontId="50" fillId="43" borderId="41" xfId="0" applyFont="1" applyFill="1" applyBorder="1" applyAlignment="1">
      <alignment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center" vertical="center"/>
    </xf>
    <xf numFmtId="0" fontId="50" fillId="46" borderId="34" xfId="0" applyFont="1" applyFill="1" applyBorder="1" applyAlignment="1">
      <alignment horizontal="left" vertical="center"/>
    </xf>
    <xf numFmtId="1" fontId="50" fillId="46" borderId="34" xfId="0" applyNumberFormat="1" applyFont="1" applyFill="1" applyBorder="1" applyAlignment="1">
      <alignment horizontal="center" vertical="center"/>
    </xf>
    <xf numFmtId="0" fontId="50" fillId="47" borderId="34" xfId="0" applyFont="1" applyFill="1" applyBorder="1" applyAlignment="1">
      <alignment horizontal="left" vertical="center"/>
    </xf>
    <xf numFmtId="1" fontId="50" fillId="47" borderId="34" xfId="0" applyNumberFormat="1" applyFont="1" applyFill="1" applyBorder="1" applyAlignment="1">
      <alignment horizontal="center" vertical="center"/>
    </xf>
    <xf numFmtId="9" fontId="50" fillId="46" borderId="34" xfId="0" applyNumberFormat="1" applyFont="1" applyFill="1" applyBorder="1" applyAlignment="1">
      <alignment horizontal="center" vertical="center"/>
    </xf>
    <xf numFmtId="9" fontId="50" fillId="47" borderId="34" xfId="0" applyNumberFormat="1" applyFont="1" applyFill="1" applyBorder="1" applyAlignment="1">
      <alignment horizontal="center" vertical="center"/>
    </xf>
    <xf numFmtId="0" fontId="49" fillId="45" borderId="38" xfId="0" applyFont="1" applyFill="1" applyBorder="1" applyAlignment="1">
      <alignment horizontal="left" vertical="center"/>
    </xf>
    <xf numFmtId="0" fontId="50" fillId="47" borderId="34" xfId="0" applyFont="1" applyFill="1" applyBorder="1" applyAlignment="1">
      <alignment horizontal="center" vertical="center"/>
    </xf>
    <xf numFmtId="0" fontId="52" fillId="46" borderId="34" xfId="0" applyFont="1" applyFill="1" applyBorder="1" applyAlignment="1">
      <alignment horizontal="left" vertical="center"/>
    </xf>
    <xf numFmtId="0" fontId="52" fillId="46" borderId="39" xfId="0" applyFont="1" applyFill="1" applyBorder="1" applyAlignment="1">
      <alignment vertical="center"/>
    </xf>
    <xf numFmtId="0" fontId="52" fillId="46" borderId="34" xfId="0" applyFont="1" applyFill="1" applyBorder="1" applyAlignment="1">
      <alignment horizontal="center" vertical="center"/>
    </xf>
    <xf numFmtId="0" fontId="52" fillId="47" borderId="34" xfId="0" applyFont="1" applyFill="1" applyBorder="1" applyAlignment="1">
      <alignment horizontal="left" vertical="center"/>
    </xf>
    <xf numFmtId="0" fontId="52" fillId="47" borderId="34" xfId="0" applyFont="1" applyFill="1" applyBorder="1" applyAlignment="1">
      <alignment horizontal="center" vertical="center"/>
    </xf>
    <xf numFmtId="0" fontId="53" fillId="47" borderId="34" xfId="0" applyFont="1" applyFill="1" applyBorder="1" applyAlignment="1">
      <alignment horizontal="left" vertical="center"/>
    </xf>
    <xf numFmtId="168" fontId="52" fillId="47" borderId="34" xfId="0" applyNumberFormat="1" applyFont="1" applyFill="1" applyBorder="1" applyAlignment="1">
      <alignment horizontal="center" vertical="center"/>
    </xf>
    <xf numFmtId="0" fontId="50" fillId="46" borderId="39" xfId="0" applyFont="1" applyFill="1" applyBorder="1" applyAlignment="1">
      <alignment vertical="center"/>
    </xf>
    <xf numFmtId="0" fontId="50" fillId="46" borderId="34" xfId="0" applyFont="1" applyFill="1" applyBorder="1" applyAlignment="1">
      <alignment horizontal="center" vertical="center"/>
    </xf>
    <xf numFmtId="168" fontId="50" fillId="47" borderId="34" xfId="0" applyNumberFormat="1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left" vertical="center"/>
    </xf>
    <xf numFmtId="0" fontId="49" fillId="48" borderId="32" xfId="0" applyFont="1" applyFill="1" applyBorder="1" applyAlignment="1">
      <alignment horizontal="center" vertical="center"/>
    </xf>
    <xf numFmtId="0" fontId="50" fillId="45" borderId="34" xfId="0" applyFont="1" applyFill="1" applyBorder="1" applyAlignment="1">
      <alignment horizontal="left" vertical="center"/>
    </xf>
    <xf numFmtId="1" fontId="50" fillId="45" borderId="34" xfId="0" applyNumberFormat="1" applyFont="1" applyFill="1" applyBorder="1" applyAlignment="1">
      <alignment horizontal="center" vertical="center"/>
    </xf>
    <xf numFmtId="9" fontId="50" fillId="45" borderId="34" xfId="0" applyNumberFormat="1" applyFont="1" applyFill="1" applyBorder="1" applyAlignment="1">
      <alignment horizontal="center" vertical="center"/>
    </xf>
    <xf numFmtId="0" fontId="49" fillId="48" borderId="38" xfId="0" applyFont="1" applyFill="1" applyBorder="1" applyAlignment="1">
      <alignment horizontal="left" vertical="center"/>
    </xf>
    <xf numFmtId="0" fontId="50" fillId="45" borderId="39" xfId="0" applyFont="1" applyFill="1" applyBorder="1" applyAlignment="1">
      <alignment vertical="center"/>
    </xf>
    <xf numFmtId="0" fontId="50" fillId="45" borderId="34" xfId="0" applyFont="1" applyFill="1" applyBorder="1" applyAlignment="1">
      <alignment horizontal="center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center" vertical="center"/>
    </xf>
    <xf numFmtId="0" fontId="50" fillId="50" borderId="34" xfId="0" applyFont="1" applyFill="1" applyBorder="1" applyAlignment="1">
      <alignment horizontal="left" vertical="center"/>
    </xf>
    <xf numFmtId="1" fontId="50" fillId="50" borderId="34" xfId="0" applyNumberFormat="1" applyFont="1" applyFill="1" applyBorder="1" applyAlignment="1">
      <alignment horizontal="center" vertical="center"/>
    </xf>
    <xf numFmtId="0" fontId="50" fillId="51" borderId="34" xfId="0" applyFont="1" applyFill="1" applyBorder="1" applyAlignment="1">
      <alignment horizontal="left" vertical="center"/>
    </xf>
    <xf numFmtId="1" fontId="50" fillId="51" borderId="34" xfId="0" applyNumberFormat="1" applyFont="1" applyFill="1" applyBorder="1" applyAlignment="1">
      <alignment horizontal="center" vertical="center"/>
    </xf>
    <xf numFmtId="165" fontId="50" fillId="51" borderId="34" xfId="0" applyNumberFormat="1" applyFont="1" applyFill="1" applyBorder="1" applyAlignment="1">
      <alignment horizontal="center" vertical="center"/>
    </xf>
    <xf numFmtId="165" fontId="50" fillId="50" borderId="34" xfId="0" applyNumberFormat="1" applyFont="1" applyFill="1" applyBorder="1" applyAlignment="1">
      <alignment horizontal="center" vertical="center"/>
    </xf>
    <xf numFmtId="9" fontId="50" fillId="50" borderId="34" xfId="0" applyNumberFormat="1" applyFont="1" applyFill="1" applyBorder="1" applyAlignment="1">
      <alignment horizontal="center" vertical="center"/>
    </xf>
    <xf numFmtId="9" fontId="50" fillId="51" borderId="34" xfId="0" applyNumberFormat="1" applyFont="1" applyFill="1" applyBorder="1" applyAlignment="1">
      <alignment horizontal="center" vertical="center"/>
    </xf>
    <xf numFmtId="0" fontId="49" fillId="49" borderId="38" xfId="0" applyFont="1" applyFill="1" applyBorder="1" applyAlignment="1">
      <alignment horizontal="left" vertical="center"/>
    </xf>
    <xf numFmtId="0" fontId="50" fillId="51" borderId="34" xfId="0" applyFont="1" applyFill="1" applyBorder="1" applyAlignment="1">
      <alignment horizontal="center" vertical="center"/>
    </xf>
    <xf numFmtId="0" fontId="50" fillId="50" borderId="39" xfId="0" applyFont="1" applyFill="1" applyBorder="1" applyAlignment="1">
      <alignment vertical="center"/>
    </xf>
    <xf numFmtId="0" fontId="50" fillId="50" borderId="34" xfId="0" applyFont="1" applyFill="1" applyBorder="1" applyAlignment="1">
      <alignment horizontal="center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center" vertical="center"/>
    </xf>
    <xf numFmtId="0" fontId="50" fillId="53" borderId="34" xfId="0" applyFont="1" applyFill="1" applyBorder="1" applyAlignment="1">
      <alignment horizontal="left" vertical="center"/>
    </xf>
    <xf numFmtId="165" fontId="50" fillId="53" borderId="34" xfId="0" applyNumberFormat="1" applyFont="1" applyFill="1" applyBorder="1" applyAlignment="1">
      <alignment horizontal="center" vertical="center"/>
    </xf>
    <xf numFmtId="1" fontId="50" fillId="53" borderId="34" xfId="0" applyNumberFormat="1" applyFont="1" applyFill="1" applyBorder="1" applyAlignment="1">
      <alignment horizontal="center" vertical="center"/>
    </xf>
    <xf numFmtId="0" fontId="50" fillId="54" borderId="34" xfId="0" applyFont="1" applyFill="1" applyBorder="1" applyAlignment="1">
      <alignment horizontal="left" vertical="center"/>
    </xf>
    <xf numFmtId="165" fontId="50" fillId="54" borderId="34" xfId="0" applyNumberFormat="1" applyFont="1" applyFill="1" applyBorder="1" applyAlignment="1">
      <alignment horizontal="center" vertical="center"/>
    </xf>
    <xf numFmtId="1" fontId="50" fillId="54" borderId="34" xfId="0" applyNumberFormat="1" applyFont="1" applyFill="1" applyBorder="1" applyAlignment="1">
      <alignment horizontal="center" vertical="center"/>
    </xf>
    <xf numFmtId="2" fontId="50" fillId="54" borderId="34" xfId="0" applyNumberFormat="1" applyFont="1" applyFill="1" applyBorder="1" applyAlignment="1">
      <alignment horizontal="center" vertical="center"/>
    </xf>
    <xf numFmtId="2" fontId="50" fillId="53" borderId="34" xfId="0" applyNumberFormat="1" applyFont="1" applyFill="1" applyBorder="1" applyAlignment="1">
      <alignment horizontal="center" vertical="center"/>
    </xf>
    <xf numFmtId="9" fontId="50" fillId="53" borderId="34" xfId="0" applyNumberFormat="1" applyFont="1" applyFill="1" applyBorder="1" applyAlignment="1">
      <alignment horizontal="center" vertical="center"/>
    </xf>
    <xf numFmtId="9" fontId="50" fillId="54" borderId="34" xfId="0" applyNumberFormat="1" applyFont="1" applyFill="1" applyBorder="1" applyAlignment="1">
      <alignment horizontal="center" vertical="center"/>
    </xf>
    <xf numFmtId="0" fontId="49" fillId="52" borderId="38" xfId="0" applyFont="1" applyFill="1" applyBorder="1" applyAlignment="1">
      <alignment horizontal="left" vertical="center"/>
    </xf>
    <xf numFmtId="0" fontId="50" fillId="54" borderId="34" xfId="0" applyFont="1" applyFill="1" applyBorder="1" applyAlignment="1">
      <alignment horizontal="center" vertical="center"/>
    </xf>
    <xf numFmtId="0" fontId="50" fillId="53" borderId="39" xfId="0" applyFont="1" applyFill="1" applyBorder="1" applyAlignment="1">
      <alignment vertical="center"/>
    </xf>
    <xf numFmtId="0" fontId="50" fillId="53" borderId="34" xfId="0" applyFont="1" applyFill="1" applyBorder="1" applyAlignment="1">
      <alignment horizontal="center" vertical="center"/>
    </xf>
    <xf numFmtId="168" fontId="50" fillId="54" borderId="34" xfId="0" applyNumberFormat="1" applyFont="1" applyFill="1" applyBorder="1" applyAlignment="1">
      <alignment horizontal="center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center" vertical="center"/>
    </xf>
    <xf numFmtId="0" fontId="50" fillId="56" borderId="34" xfId="0" applyFont="1" applyFill="1" applyBorder="1" applyAlignment="1">
      <alignment horizontal="left" vertical="center"/>
    </xf>
    <xf numFmtId="1" fontId="50" fillId="56" borderId="34" xfId="0" applyNumberFormat="1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center" vertical="center"/>
    </xf>
    <xf numFmtId="0" fontId="50" fillId="58" borderId="34" xfId="0" applyFont="1" applyFill="1" applyBorder="1" applyAlignment="1">
      <alignment horizontal="left" vertical="center"/>
    </xf>
    <xf numFmtId="1" fontId="50" fillId="58" borderId="34" xfId="0" applyNumberFormat="1" applyFont="1" applyFill="1" applyBorder="1" applyAlignment="1">
      <alignment horizontal="center" vertical="center"/>
    </xf>
    <xf numFmtId="0" fontId="50" fillId="59" borderId="34" xfId="0" applyFont="1" applyFill="1" applyBorder="1" applyAlignment="1">
      <alignment horizontal="left" vertical="center"/>
    </xf>
    <xf numFmtId="0" fontId="50" fillId="59" borderId="34" xfId="0" applyFont="1" applyFill="1" applyBorder="1" applyAlignment="1">
      <alignment horizontal="center" vertical="center"/>
    </xf>
    <xf numFmtId="165" fontId="50" fillId="59" borderId="34" xfId="0" applyNumberFormat="1" applyFont="1" applyFill="1" applyBorder="1" applyAlignment="1">
      <alignment horizontal="center" vertical="center"/>
    </xf>
    <xf numFmtId="0" fontId="56" fillId="59" borderId="34" xfId="0" applyFont="1" applyFill="1" applyBorder="1" applyAlignment="1">
      <alignment horizontal="left" vertical="center"/>
    </xf>
    <xf numFmtId="0" fontId="56" fillId="59" borderId="34" xfId="0" applyFont="1" applyFill="1" applyBorder="1" applyAlignment="1">
      <alignment horizontal="center" vertical="center"/>
    </xf>
    <xf numFmtId="1" fontId="56" fillId="59" borderId="34" xfId="0" applyNumberFormat="1" applyFont="1" applyFill="1" applyBorder="1" applyAlignment="1">
      <alignment horizontal="center" vertical="center"/>
    </xf>
    <xf numFmtId="165" fontId="56" fillId="59" borderId="34" xfId="0" applyNumberFormat="1" applyFont="1" applyFill="1" applyBorder="1" applyAlignment="1">
      <alignment horizontal="center" vertical="center"/>
    </xf>
    <xf numFmtId="0" fontId="56" fillId="60" borderId="34" xfId="0" applyFont="1" applyFill="1" applyBorder="1" applyAlignment="1">
      <alignment horizontal="left" vertical="center"/>
    </xf>
    <xf numFmtId="0" fontId="56" fillId="60" borderId="34" xfId="0" applyFont="1" applyFill="1" applyBorder="1" applyAlignment="1">
      <alignment horizontal="center" vertical="center"/>
    </xf>
    <xf numFmtId="165" fontId="56" fillId="60" borderId="34" xfId="0" applyNumberFormat="1" applyFont="1" applyFill="1" applyBorder="1" applyAlignment="1">
      <alignment horizontal="center" vertical="center"/>
    </xf>
    <xf numFmtId="168" fontId="56" fillId="60" borderId="34" xfId="1" applyNumberFormat="1" applyFont="1" applyFill="1" applyBorder="1" applyAlignment="1">
      <alignment horizontal="center" vertical="center"/>
    </xf>
    <xf numFmtId="9" fontId="50" fillId="56" borderId="34" xfId="0" applyNumberFormat="1" applyFont="1" applyFill="1" applyBorder="1" applyAlignment="1">
      <alignment horizontal="center" vertical="center"/>
    </xf>
    <xf numFmtId="168" fontId="56" fillId="59" borderId="34" xfId="1" applyNumberFormat="1" applyFont="1" applyFill="1" applyBorder="1" applyAlignment="1">
      <alignment horizontal="center" vertical="center"/>
    </xf>
    <xf numFmtId="9" fontId="50" fillId="58" borderId="34" xfId="0" applyNumberFormat="1" applyFont="1" applyFill="1" applyBorder="1" applyAlignment="1">
      <alignment horizontal="center" vertical="center"/>
    </xf>
    <xf numFmtId="0" fontId="55" fillId="57" borderId="38" xfId="0" applyFont="1" applyFill="1" applyBorder="1" applyAlignment="1">
      <alignment horizontal="left" vertical="center"/>
    </xf>
    <xf numFmtId="0" fontId="49" fillId="55" borderId="38" xfId="0" applyFont="1" applyFill="1" applyBorder="1" applyAlignment="1">
      <alignment horizontal="left" vertical="center"/>
    </xf>
    <xf numFmtId="0" fontId="50" fillId="58" borderId="34" xfId="0" applyFont="1" applyFill="1" applyBorder="1" applyAlignment="1">
      <alignment horizontal="center" vertical="center"/>
    </xf>
    <xf numFmtId="0" fontId="50" fillId="56" borderId="39" xfId="0" applyFont="1" applyFill="1" applyBorder="1" applyAlignment="1">
      <alignment vertical="center"/>
    </xf>
    <xf numFmtId="0" fontId="50" fillId="56" borderId="34" xfId="0" applyFont="1" applyFill="1" applyBorder="1" applyAlignment="1">
      <alignment horizontal="center" vertical="center"/>
    </xf>
    <xf numFmtId="0" fontId="50" fillId="60" borderId="34" xfId="0" applyFont="1" applyFill="1" applyBorder="1" applyAlignment="1">
      <alignment horizontal="left" vertical="center"/>
    </xf>
    <xf numFmtId="0" fontId="50" fillId="60" borderId="34" xfId="0" applyFont="1" applyFill="1" applyBorder="1" applyAlignment="1">
      <alignment horizontal="center" vertical="center"/>
    </xf>
    <xf numFmtId="0" fontId="49" fillId="57" borderId="38" xfId="0" applyFont="1" applyFill="1" applyBorder="1" applyAlignment="1">
      <alignment horizontal="left" vertical="center"/>
    </xf>
    <xf numFmtId="168" fontId="50" fillId="59" borderId="34" xfId="0" applyNumberFormat="1" applyFont="1" applyFill="1" applyBorder="1" applyAlignment="1">
      <alignment horizontal="center" vertical="center"/>
    </xf>
    <xf numFmtId="168" fontId="50" fillId="58" borderId="34" xfId="0" applyNumberFormat="1" applyFont="1" applyFill="1" applyBorder="1" applyAlignment="1">
      <alignment horizontal="center" vertical="center"/>
    </xf>
    <xf numFmtId="0" fontId="49" fillId="55" borderId="0" xfId="0" applyFont="1" applyFill="1" applyAlignment="1">
      <alignment horizontal="left" vertical="center"/>
    </xf>
    <xf numFmtId="0" fontId="50" fillId="58" borderId="0" xfId="0" applyFont="1" applyFill="1" applyAlignment="1">
      <alignment horizontal="left" vertical="center"/>
    </xf>
    <xf numFmtId="168" fontId="50" fillId="58" borderId="0" xfId="0" applyNumberFormat="1" applyFont="1" applyFill="1" applyAlignment="1">
      <alignment horizontal="center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center" vertical="center"/>
    </xf>
    <xf numFmtId="0" fontId="50" fillId="61" borderId="34" xfId="0" applyFont="1" applyFill="1" applyBorder="1" applyAlignment="1">
      <alignment horizontal="left" vertical="center"/>
    </xf>
    <xf numFmtId="1" fontId="50" fillId="61" borderId="34" xfId="0" applyNumberFormat="1" applyFont="1" applyFill="1" applyBorder="1" applyAlignment="1">
      <alignment horizontal="center" vertical="center"/>
    </xf>
    <xf numFmtId="9" fontId="50" fillId="61" borderId="34" xfId="0" applyNumberFormat="1" applyFont="1" applyFill="1" applyBorder="1" applyAlignment="1">
      <alignment horizontal="center" vertical="center"/>
    </xf>
    <xf numFmtId="0" fontId="49" fillId="50" borderId="38" xfId="0" applyFont="1" applyFill="1" applyBorder="1" applyAlignment="1">
      <alignment horizontal="left" vertical="center"/>
    </xf>
    <xf numFmtId="0" fontId="50" fillId="61" borderId="39" xfId="0" applyFont="1" applyFill="1" applyBorder="1" applyAlignment="1">
      <alignment vertical="center"/>
    </xf>
    <xf numFmtId="0" fontId="50" fillId="61" borderId="34" xfId="0" applyFont="1" applyFill="1" applyBorder="1" applyAlignment="1">
      <alignment horizontal="center" vertical="center"/>
    </xf>
    <xf numFmtId="0" fontId="49" fillId="50" borderId="37" xfId="0" applyFont="1" applyFill="1" applyBorder="1" applyAlignment="1">
      <alignment horizontal="left" vertical="center"/>
    </xf>
    <xf numFmtId="2" fontId="56" fillId="59" borderId="34" xfId="0" applyNumberFormat="1" applyFont="1" applyFill="1" applyBorder="1" applyAlignment="1">
      <alignment horizontal="center" vertical="center"/>
    </xf>
    <xf numFmtId="0" fontId="50" fillId="59" borderId="39" xfId="0" applyFont="1" applyFill="1" applyBorder="1" applyAlignment="1">
      <alignment vertical="center"/>
    </xf>
    <xf numFmtId="0" fontId="50" fillId="59" borderId="40" xfId="0" applyFont="1" applyFill="1" applyBorder="1" applyAlignment="1">
      <alignment vertical="center"/>
    </xf>
    <xf numFmtId="0" fontId="50" fillId="59" borderId="41" xfId="0" applyFont="1" applyFill="1" applyBorder="1" applyAlignment="1">
      <alignment vertical="center"/>
    </xf>
    <xf numFmtId="9" fontId="50" fillId="59" borderId="34" xfId="0" applyNumberFormat="1" applyFont="1" applyFill="1" applyBorder="1" applyAlignment="1">
      <alignment horizontal="center" vertical="center"/>
    </xf>
    <xf numFmtId="0" fontId="1" fillId="62" borderId="0" xfId="43" applyFont="1" applyFill="1" applyAlignment="1">
      <alignment vertical="center"/>
    </xf>
    <xf numFmtId="0" fontId="1" fillId="41" borderId="0" xfId="43" applyFont="1" applyFill="1" applyAlignment="1">
      <alignment vertical="center"/>
    </xf>
    <xf numFmtId="0" fontId="58" fillId="41" borderId="0" xfId="43" applyFont="1" applyFill="1" applyAlignment="1">
      <alignment vertical="center"/>
    </xf>
    <xf numFmtId="0" fontId="57" fillId="41" borderId="0" xfId="43" applyFont="1" applyFill="1" applyAlignment="1">
      <alignment vertical="center"/>
    </xf>
    <xf numFmtId="0" fontId="1" fillId="63" borderId="0" xfId="43" applyFont="1" applyFill="1" applyAlignment="1">
      <alignment vertical="center"/>
    </xf>
    <xf numFmtId="0" fontId="38" fillId="41" borderId="0" xfId="43" applyFont="1" applyFill="1" applyAlignment="1">
      <alignment vertical="center"/>
    </xf>
    <xf numFmtId="0" fontId="59" fillId="41" borderId="0" xfId="43" applyFont="1" applyFill="1" applyAlignment="1">
      <alignment vertical="center"/>
    </xf>
    <xf numFmtId="0" fontId="60" fillId="62" borderId="0" xfId="43" applyFont="1" applyFill="1" applyAlignment="1">
      <alignment vertical="center"/>
    </xf>
    <xf numFmtId="0" fontId="34" fillId="41" borderId="0" xfId="43" applyFont="1" applyFill="1" applyAlignment="1">
      <alignment vertical="center"/>
    </xf>
    <xf numFmtId="0" fontId="10" fillId="41" borderId="0" xfId="43" applyFont="1" applyFill="1" applyAlignment="1">
      <alignment vertical="center"/>
    </xf>
    <xf numFmtId="0" fontId="34" fillId="62" borderId="0" xfId="43" applyFont="1" applyFill="1" applyAlignment="1">
      <alignment vertical="center"/>
    </xf>
    <xf numFmtId="165" fontId="34" fillId="62" borderId="0" xfId="43" applyNumberFormat="1" applyFont="1" applyFill="1" applyAlignment="1">
      <alignment horizontal="left" vertical="center"/>
    </xf>
    <xf numFmtId="0" fontId="61" fillId="41" borderId="0" xfId="43" applyFont="1" applyFill="1" applyAlignment="1">
      <alignment vertical="center"/>
    </xf>
    <xf numFmtId="0" fontId="48" fillId="62" borderId="0" xfId="43" applyFont="1" applyFill="1" applyAlignment="1">
      <alignment vertical="center"/>
    </xf>
    <xf numFmtId="0" fontId="57" fillId="62" borderId="0" xfId="42" applyFill="1" applyAlignment="1">
      <alignment vertical="center"/>
    </xf>
    <xf numFmtId="164" fontId="43" fillId="40" borderId="27" xfId="0" applyNumberFormat="1" applyFont="1" applyFill="1" applyBorder="1" applyAlignment="1">
      <alignment vertical="center"/>
    </xf>
    <xf numFmtId="164" fontId="43" fillId="40" borderId="28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 wrapText="1"/>
    </xf>
    <xf numFmtId="0" fontId="34" fillId="62" borderId="0" xfId="43" applyFont="1" applyFill="1" applyAlignment="1">
      <alignment vertical="center"/>
    </xf>
    <xf numFmtId="0" fontId="58" fillId="62" borderId="0" xfId="43" applyFont="1" applyFill="1" applyAlignment="1">
      <alignment horizontal="center" vertical="center"/>
    </xf>
    <xf numFmtId="0" fontId="57" fillId="62" borderId="0" xfId="42" applyFill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/>
    </xf>
    <xf numFmtId="0" fontId="55" fillId="57" borderId="37" xfId="0" applyFont="1" applyFill="1" applyBorder="1" applyAlignment="1">
      <alignment horizontal="left" vertical="center"/>
    </xf>
    <xf numFmtId="0" fontId="55" fillId="57" borderId="35" xfId="0" applyFont="1" applyFill="1" applyBorder="1" applyAlignment="1">
      <alignment horizontal="left" vertical="center"/>
    </xf>
    <xf numFmtId="0" fontId="55" fillId="57" borderId="36" xfId="0" applyFont="1" applyFill="1" applyBorder="1" applyAlignment="1">
      <alignment horizontal="left" vertical="center"/>
    </xf>
    <xf numFmtId="0" fontId="49" fillId="57" borderId="31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3" xfId="0" applyFont="1" applyFill="1" applyBorder="1" applyAlignment="1">
      <alignment horizontal="left" vertical="center" wrapText="1"/>
    </xf>
    <xf numFmtId="0" fontId="49" fillId="57" borderId="35" xfId="0" applyFont="1" applyFill="1" applyBorder="1" applyAlignment="1">
      <alignment horizontal="left" vertical="center" wrapText="1"/>
    </xf>
    <xf numFmtId="0" fontId="49" fillId="57" borderId="36" xfId="0" applyFont="1" applyFill="1" applyBorder="1" applyAlignment="1">
      <alignment horizontal="left" vertical="center" wrapText="1"/>
    </xf>
    <xf numFmtId="0" fontId="50" fillId="59" borderId="39" xfId="0" applyFont="1" applyFill="1" applyBorder="1" applyAlignment="1">
      <alignment horizontal="center" vertical="center"/>
    </xf>
    <xf numFmtId="0" fontId="50" fillId="59" borderId="40" xfId="0" applyFont="1" applyFill="1" applyBorder="1" applyAlignment="1">
      <alignment horizontal="center" vertical="center"/>
    </xf>
    <xf numFmtId="0" fontId="50" fillId="59" borderId="41" xfId="0" applyFont="1" applyFill="1" applyBorder="1" applyAlignment="1">
      <alignment horizontal="center" vertical="center"/>
    </xf>
    <xf numFmtId="0" fontId="55" fillId="57" borderId="39" xfId="0" applyFont="1" applyFill="1" applyBorder="1" applyAlignment="1">
      <alignment horizontal="left" vertical="center" wrapText="1"/>
    </xf>
    <xf numFmtId="0" fontId="55" fillId="57" borderId="40" xfId="0" applyFont="1" applyFill="1" applyBorder="1" applyAlignment="1">
      <alignment horizontal="left" vertical="center" wrapText="1"/>
    </xf>
    <xf numFmtId="0" fontId="55" fillId="57" borderId="37" xfId="0" applyFont="1" applyFill="1" applyBorder="1" applyAlignment="1">
      <alignment horizontal="left" vertical="center" wrapText="1"/>
    </xf>
    <xf numFmtId="0" fontId="55" fillId="57" borderId="35" xfId="0" applyFont="1" applyFill="1" applyBorder="1" applyAlignment="1">
      <alignment horizontal="left" vertical="center" wrapText="1"/>
    </xf>
    <xf numFmtId="0" fontId="49" fillId="57" borderId="31" xfId="0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center" vertical="center"/>
    </xf>
    <xf numFmtId="0" fontId="49" fillId="50" borderId="31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3" xfId="0" applyFont="1" applyFill="1" applyBorder="1" applyAlignment="1">
      <alignment horizontal="left" vertical="center" wrapText="1"/>
    </xf>
    <xf numFmtId="0" fontId="49" fillId="50" borderId="35" xfId="0" applyFont="1" applyFill="1" applyBorder="1" applyAlignment="1">
      <alignment horizontal="left" vertical="center" wrapText="1"/>
    </xf>
    <xf numFmtId="0" fontId="49" fillId="50" borderId="36" xfId="0" applyFont="1" applyFill="1" applyBorder="1" applyAlignment="1">
      <alignment horizontal="left" vertical="center" wrapText="1"/>
    </xf>
    <xf numFmtId="0" fontId="49" fillId="55" borderId="31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3" xfId="0" applyFont="1" applyFill="1" applyBorder="1" applyAlignment="1">
      <alignment horizontal="left" vertical="center" wrapText="1"/>
    </xf>
    <xf numFmtId="0" fontId="49" fillId="55" borderId="35" xfId="0" applyFont="1" applyFill="1" applyBorder="1" applyAlignment="1">
      <alignment horizontal="left" vertical="center" wrapText="1"/>
    </xf>
    <xf numFmtId="0" fontId="49" fillId="55" borderId="36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/>
    </xf>
    <xf numFmtId="0" fontId="49" fillId="50" borderId="35" xfId="0" applyFont="1" applyFill="1" applyBorder="1" applyAlignment="1">
      <alignment horizontal="left" vertical="center"/>
    </xf>
    <xf numFmtId="0" fontId="49" fillId="50" borderId="36" xfId="0" applyFont="1" applyFill="1" applyBorder="1" applyAlignment="1">
      <alignment horizontal="left" vertical="center"/>
    </xf>
    <xf numFmtId="0" fontId="49" fillId="55" borderId="37" xfId="0" applyFont="1" applyFill="1" applyBorder="1" applyAlignment="1">
      <alignment horizontal="left" vertical="center" wrapText="1"/>
    </xf>
    <xf numFmtId="0" fontId="49" fillId="55" borderId="37" xfId="0" applyFont="1" applyFill="1" applyBorder="1" applyAlignment="1">
      <alignment horizontal="left" vertical="center"/>
    </xf>
    <xf numFmtId="0" fontId="49" fillId="55" borderId="35" xfId="0" applyFont="1" applyFill="1" applyBorder="1" applyAlignment="1">
      <alignment horizontal="left" vertical="center"/>
    </xf>
    <xf numFmtId="0" fontId="49" fillId="55" borderId="36" xfId="0" applyFont="1" applyFill="1" applyBorder="1" applyAlignment="1">
      <alignment horizontal="left" vertical="center"/>
    </xf>
    <xf numFmtId="0" fontId="49" fillId="52" borderId="31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3" xfId="0" applyFont="1" applyFill="1" applyBorder="1" applyAlignment="1">
      <alignment horizontal="left" vertical="center" wrapText="1"/>
    </xf>
    <xf numFmtId="0" fontId="49" fillId="52" borderId="35" xfId="0" applyFont="1" applyFill="1" applyBorder="1" applyAlignment="1">
      <alignment horizontal="left" vertical="center" wrapText="1"/>
    </xf>
    <xf numFmtId="0" fontId="49" fillId="52" borderId="36" xfId="0" applyFont="1" applyFill="1" applyBorder="1" applyAlignment="1">
      <alignment horizontal="left" vertical="center" wrapText="1"/>
    </xf>
    <xf numFmtId="0" fontId="49" fillId="49" borderId="31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3" xfId="0" applyFont="1" applyFill="1" applyBorder="1" applyAlignment="1">
      <alignment horizontal="left" vertical="center" wrapText="1"/>
    </xf>
    <xf numFmtId="0" fontId="49" fillId="49" borderId="35" xfId="0" applyFont="1" applyFill="1" applyBorder="1" applyAlignment="1">
      <alignment horizontal="left" vertical="center" wrapText="1"/>
    </xf>
    <xf numFmtId="0" fontId="49" fillId="49" borderId="36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/>
    </xf>
    <xf numFmtId="0" fontId="49" fillId="52" borderId="35" xfId="0" applyFont="1" applyFill="1" applyBorder="1" applyAlignment="1">
      <alignment horizontal="left" vertical="center"/>
    </xf>
    <xf numFmtId="0" fontId="49" fillId="52" borderId="36" xfId="0" applyFont="1" applyFill="1" applyBorder="1" applyAlignment="1">
      <alignment horizontal="left" vertical="center"/>
    </xf>
    <xf numFmtId="0" fontId="49" fillId="49" borderId="37" xfId="0" applyFont="1" applyFill="1" applyBorder="1" applyAlignment="1">
      <alignment horizontal="left" vertical="center" wrapText="1"/>
    </xf>
    <xf numFmtId="0" fontId="49" fillId="49" borderId="37" xfId="0" applyFont="1" applyFill="1" applyBorder="1" applyAlignment="1">
      <alignment horizontal="left" vertical="center"/>
    </xf>
    <xf numFmtId="0" fontId="49" fillId="49" borderId="35" xfId="0" applyFont="1" applyFill="1" applyBorder="1" applyAlignment="1">
      <alignment horizontal="left" vertical="center"/>
    </xf>
    <xf numFmtId="0" fontId="49" fillId="49" borderId="36" xfId="0" applyFont="1" applyFill="1" applyBorder="1" applyAlignment="1">
      <alignment horizontal="left" vertical="center"/>
    </xf>
    <xf numFmtId="0" fontId="49" fillId="48" borderId="31" xfId="0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center" vertical="center"/>
    </xf>
    <xf numFmtId="0" fontId="49" fillId="48" borderId="33" xfId="0" applyFont="1" applyFill="1" applyBorder="1" applyAlignment="1">
      <alignment horizontal="left" vertical="center" wrapText="1"/>
    </xf>
    <xf numFmtId="0" fontId="49" fillId="48" borderId="35" xfId="0" applyFont="1" applyFill="1" applyBorder="1" applyAlignment="1">
      <alignment horizontal="left" vertical="center" wrapText="1"/>
    </xf>
    <xf numFmtId="0" fontId="49" fillId="48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center" vertical="center"/>
    </xf>
    <xf numFmtId="0" fontId="49" fillId="45" borderId="32" xfId="0" applyFont="1" applyFill="1" applyBorder="1" applyAlignment="1">
      <alignment horizontal="center" vertical="center"/>
    </xf>
    <xf numFmtId="0" fontId="49" fillId="45" borderId="33" xfId="0" applyFont="1" applyFill="1" applyBorder="1" applyAlignment="1">
      <alignment horizontal="left" vertical="center" wrapText="1"/>
    </xf>
    <xf numFmtId="0" fontId="49" fillId="45" borderId="35" xfId="0" applyFont="1" applyFill="1" applyBorder="1" applyAlignment="1">
      <alignment horizontal="left" vertical="center" wrapText="1"/>
    </xf>
    <xf numFmtId="0" fontId="49" fillId="45" borderId="36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/>
    </xf>
    <xf numFmtId="0" fontId="49" fillId="48" borderId="35" xfId="0" applyFont="1" applyFill="1" applyBorder="1" applyAlignment="1">
      <alignment horizontal="left" vertical="center"/>
    </xf>
    <xf numFmtId="0" fontId="49" fillId="48" borderId="36" xfId="0" applyFont="1" applyFill="1" applyBorder="1" applyAlignment="1">
      <alignment horizontal="left" vertical="center"/>
    </xf>
    <xf numFmtId="0" fontId="0" fillId="45" borderId="31" xfId="0" applyFill="1" applyBorder="1" applyAlignment="1">
      <alignment vertical="center"/>
    </xf>
    <xf numFmtId="0" fontId="0" fillId="45" borderId="32" xfId="0" applyFill="1" applyBorder="1" applyAlignment="1">
      <alignment vertical="center"/>
    </xf>
    <xf numFmtId="0" fontId="49" fillId="42" borderId="31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left" vertical="center"/>
    </xf>
    <xf numFmtId="0" fontId="49" fillId="42" borderId="33" xfId="0" applyFont="1" applyFill="1" applyBorder="1" applyAlignment="1">
      <alignment horizontal="left" vertical="center" wrapText="1"/>
    </xf>
    <xf numFmtId="0" fontId="49" fillId="42" borderId="35" xfId="0" applyFont="1" applyFill="1" applyBorder="1" applyAlignment="1">
      <alignment horizontal="left" vertical="center" wrapText="1"/>
    </xf>
    <xf numFmtId="0" fontId="49" fillId="42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7" xfId="0" applyFont="1" applyFill="1" applyBorder="1" applyAlignment="1">
      <alignment horizontal="left" vertical="center" wrapText="1"/>
    </xf>
    <xf numFmtId="0" fontId="49" fillId="45" borderId="37" xfId="0" applyFont="1" applyFill="1" applyBorder="1" applyAlignment="1">
      <alignment horizontal="left" vertical="center"/>
    </xf>
    <xf numFmtId="0" fontId="49" fillId="45" borderId="35" xfId="0" applyFont="1" applyFill="1" applyBorder="1" applyAlignment="1">
      <alignment horizontal="left" vertical="center"/>
    </xf>
    <xf numFmtId="0" fontId="49" fillId="45" borderId="36" xfId="0" applyFont="1" applyFill="1" applyBorder="1" applyAlignment="1">
      <alignment horizontal="left" vertical="center"/>
    </xf>
    <xf numFmtId="0" fontId="49" fillId="42" borderId="37" xfId="0" applyFont="1" applyFill="1" applyBorder="1" applyAlignment="1">
      <alignment horizontal="left" vertical="center" wrapText="1"/>
    </xf>
    <xf numFmtId="0" fontId="49" fillId="42" borderId="37" xfId="0" applyFont="1" applyFill="1" applyBorder="1" applyAlignment="1">
      <alignment horizontal="left" vertical="center"/>
    </xf>
    <xf numFmtId="0" fontId="49" fillId="42" borderId="35" xfId="0" applyFont="1" applyFill="1" applyBorder="1" applyAlignment="1">
      <alignment horizontal="left" vertical="center"/>
    </xf>
    <xf numFmtId="0" fontId="49" fillId="42" borderId="36" xfId="0" applyFont="1" applyFill="1" applyBorder="1" applyAlignment="1">
      <alignment horizontal="left" vertical="center"/>
    </xf>
    <xf numFmtId="0" fontId="48" fillId="42" borderId="31" xfId="0" applyFont="1" applyFill="1" applyBorder="1" applyAlignment="1">
      <alignment vertical="center"/>
    </xf>
    <xf numFmtId="0" fontId="48" fillId="42" borderId="32" xfId="0" applyFont="1" applyFill="1" applyBorder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2" builtinId="29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50F1AD6C-8F11-4909-94C1-E60BC9CD3BAC}"/>
    <cellStyle name="Output" xfId="12" builtinId="21" customBuiltin="1"/>
    <cellStyle name="Percent" xfId="1" builtinId="5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948C7-160E-4F3D-9A9A-E874A4DF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994CC-6296-46D9-9E76-CFC9258B3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66B35-9A8D-4E85-9CE7-D7FF4833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FEF244-A749-4442-BA94-1FDAB8DD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E43609-B1FF-45BE-ADAB-DEE09F559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FB1F00-FA41-4762-8BEC-644FEFD46E45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FE4-74C2-4246-8B9E-885F86B8B55F}">
  <sheetPr codeName="Sheet8"/>
  <dimension ref="A1:Z99"/>
  <sheetViews>
    <sheetView showGridLines="0" topLeftCell="A7" zoomScaleNormal="100" workbookViewId="0">
      <selection activeCell="E18" sqref="E18"/>
    </sheetView>
  </sheetViews>
  <sheetFormatPr defaultColWidth="8.81640625" defaultRowHeight="14.5"/>
  <cols>
    <col min="1" max="4" width="21.81640625" customWidth="1"/>
    <col min="5" max="6" width="14.1796875" customWidth="1"/>
    <col min="7" max="7" width="12.1796875" customWidth="1"/>
    <col min="8" max="10" width="8.1796875" customWidth="1"/>
    <col min="11" max="11" width="9.81640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280"/>
      <c r="B1" s="280"/>
      <c r="C1" s="280"/>
      <c r="D1" s="280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 spans="1:26">
      <c r="A2" s="280"/>
      <c r="B2" s="280"/>
      <c r="C2" s="280"/>
      <c r="D2" s="280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spans="1:26">
      <c r="A3" s="280"/>
      <c r="B3" s="280"/>
      <c r="C3" s="280"/>
      <c r="D3" s="280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 spans="1:26">
      <c r="A4" s="280"/>
      <c r="B4" s="280"/>
      <c r="C4" s="280"/>
      <c r="D4" s="280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 spans="1:26">
      <c r="A5" s="280"/>
      <c r="B5" s="280"/>
      <c r="C5" s="280"/>
      <c r="D5" s="280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</row>
    <row r="6" spans="1:26">
      <c r="A6" s="280"/>
      <c r="B6" s="280"/>
      <c r="C6" s="280"/>
      <c r="D6" s="280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</row>
    <row r="7" spans="1:26">
      <c r="A7" s="280"/>
      <c r="B7" s="280"/>
      <c r="C7" s="280"/>
      <c r="D7" s="280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 spans="1:26">
      <c r="A8" s="280"/>
      <c r="B8" s="280"/>
      <c r="C8" s="280"/>
      <c r="D8" s="280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9" spans="1:26">
      <c r="A9" s="280"/>
      <c r="B9" s="280"/>
      <c r="C9" s="280"/>
      <c r="D9" s="280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</row>
    <row r="10" spans="1:26">
      <c r="A10" s="280"/>
      <c r="B10" s="280"/>
      <c r="C10" s="280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</row>
    <row r="11" spans="1:26">
      <c r="A11" s="280"/>
      <c r="B11" s="280"/>
      <c r="C11" s="280"/>
      <c r="D11" s="280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</row>
    <row r="12" spans="1:26">
      <c r="A12" s="280"/>
      <c r="B12" s="280"/>
      <c r="C12" s="28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</row>
    <row r="13" spans="1:26">
      <c r="A13" s="280"/>
      <c r="B13" s="280"/>
      <c r="C13" s="280"/>
      <c r="D13" s="280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</row>
    <row r="14" spans="1:26">
      <c r="A14" s="280"/>
      <c r="B14" s="280"/>
      <c r="C14" s="28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</row>
    <row r="15" spans="1:26">
      <c r="A15" s="280"/>
      <c r="B15" s="280"/>
      <c r="C15" s="280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</row>
    <row r="16" spans="1:26" ht="102.75" customHeight="1">
      <c r="A16" s="299" t="s">
        <v>2949</v>
      </c>
      <c r="B16" s="299"/>
      <c r="C16" s="299"/>
      <c r="D16" s="299"/>
      <c r="E16" s="282"/>
      <c r="F16" s="282"/>
      <c r="G16" s="283"/>
      <c r="H16" s="283"/>
      <c r="I16" s="283"/>
      <c r="J16" s="283"/>
      <c r="K16" s="283"/>
      <c r="L16" s="283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</row>
    <row r="17" spans="1:26" ht="17.25" customHeight="1">
      <c r="A17" s="284"/>
      <c r="B17" s="284"/>
      <c r="C17" s="284"/>
      <c r="D17" s="284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</row>
    <row r="18" spans="1:26" ht="17.25" customHeight="1">
      <c r="A18" s="284"/>
      <c r="B18" s="284"/>
      <c r="C18" s="284"/>
      <c r="D18" s="284"/>
      <c r="E18" s="285"/>
      <c r="F18" s="285"/>
      <c r="G18" s="286"/>
      <c r="H18" s="286"/>
      <c r="I18" s="286"/>
      <c r="J18" s="286"/>
      <c r="K18" s="286"/>
      <c r="L18" s="286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</row>
    <row r="19" spans="1:26" ht="17.25" customHeight="1">
      <c r="A19" s="287" t="s">
        <v>2950</v>
      </c>
      <c r="B19" s="298" t="s">
        <v>2961</v>
      </c>
      <c r="C19" s="298"/>
      <c r="D19" s="298"/>
      <c r="E19" s="288"/>
      <c r="F19" s="288"/>
      <c r="G19" s="289"/>
      <c r="H19" s="289"/>
      <c r="I19" s="289"/>
      <c r="J19" s="289"/>
      <c r="K19" s="289"/>
      <c r="L19" s="289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</row>
    <row r="20" spans="1:26" ht="17.25" customHeight="1">
      <c r="A20" s="287" t="s">
        <v>2951</v>
      </c>
      <c r="B20" s="298" t="s">
        <v>2962</v>
      </c>
      <c r="C20" s="298"/>
      <c r="D20" s="298"/>
      <c r="E20" s="288"/>
      <c r="F20" s="288"/>
      <c r="G20" s="289"/>
      <c r="H20" s="289"/>
      <c r="I20" s="289"/>
      <c r="J20" s="289"/>
      <c r="K20" s="289"/>
      <c r="L20" s="289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</row>
    <row r="21" spans="1:26" ht="17.25" customHeight="1">
      <c r="A21" s="287" t="s">
        <v>2952</v>
      </c>
      <c r="B21" s="290" t="s">
        <v>2963</v>
      </c>
      <c r="C21" s="290"/>
      <c r="D21" s="290"/>
      <c r="E21" s="288"/>
      <c r="F21" s="288"/>
      <c r="G21" s="289"/>
      <c r="H21" s="289"/>
      <c r="I21" s="289"/>
      <c r="J21" s="289"/>
      <c r="K21" s="289"/>
      <c r="L21" s="289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</row>
    <row r="22" spans="1:26" ht="17.25" customHeight="1">
      <c r="A22" s="287"/>
      <c r="B22" s="290"/>
      <c r="C22" s="290"/>
      <c r="D22" s="290"/>
      <c r="E22" s="288"/>
      <c r="F22" s="288"/>
      <c r="G22" s="289"/>
      <c r="H22" s="289"/>
      <c r="I22" s="289"/>
      <c r="J22" s="289"/>
      <c r="K22" s="289"/>
      <c r="L22" s="289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</row>
    <row r="23" spans="1:26" ht="17.25" customHeight="1">
      <c r="A23" s="287" t="s">
        <v>2953</v>
      </c>
      <c r="B23" s="298" t="s">
        <v>2964</v>
      </c>
      <c r="C23" s="298"/>
      <c r="D23" s="298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</row>
    <row r="24" spans="1:26" ht="17.25" customHeight="1">
      <c r="A24" s="287"/>
      <c r="B24" s="290" t="s">
        <v>2966</v>
      </c>
      <c r="C24" s="290"/>
      <c r="D24" s="290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</row>
    <row r="25" spans="1:26" ht="17.25" customHeight="1">
      <c r="A25" s="287"/>
      <c r="B25" s="290"/>
      <c r="C25" s="290"/>
      <c r="D25" s="290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</row>
    <row r="26" spans="1:26" ht="17.25" customHeight="1">
      <c r="A26" s="287" t="s">
        <v>2954</v>
      </c>
      <c r="B26" s="298" t="s">
        <v>2965</v>
      </c>
      <c r="C26" s="298"/>
      <c r="D26" s="298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</row>
    <row r="27" spans="1:26" ht="17.25" customHeight="1">
      <c r="A27" s="287"/>
      <c r="B27" s="290"/>
      <c r="C27" s="290"/>
      <c r="D27" s="290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</row>
    <row r="28" spans="1:26" ht="17.25" customHeight="1">
      <c r="A28" s="287"/>
      <c r="B28" s="290"/>
      <c r="C28" s="290"/>
      <c r="D28" s="290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</row>
    <row r="29" spans="1:26" ht="17.25" customHeight="1">
      <c r="A29" s="287" t="s">
        <v>2955</v>
      </c>
      <c r="B29" s="291">
        <v>1</v>
      </c>
      <c r="C29" s="290"/>
      <c r="D29" s="290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</row>
    <row r="30" spans="1:26" ht="17.25" customHeight="1">
      <c r="A30" s="287" t="s">
        <v>2956</v>
      </c>
      <c r="B30" s="300" t="s">
        <v>2957</v>
      </c>
      <c r="C30" s="298"/>
      <c r="D30" s="298"/>
      <c r="E30" s="292"/>
      <c r="F30" s="292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</row>
    <row r="31" spans="1:26" ht="17.25" customHeight="1">
      <c r="A31" s="287" t="s">
        <v>2958</v>
      </c>
      <c r="B31" s="298" t="s">
        <v>2959</v>
      </c>
      <c r="C31" s="298"/>
      <c r="D31" s="298"/>
      <c r="E31" s="292"/>
      <c r="F31" s="292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</row>
    <row r="32" spans="1:26" ht="17.25" customHeight="1">
      <c r="A32" s="293"/>
      <c r="B32" s="294" t="s">
        <v>2960</v>
      </c>
      <c r="C32" s="293"/>
      <c r="D32" s="293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</row>
    <row r="33" spans="1:26">
      <c r="A33" s="280"/>
      <c r="B33" s="280"/>
      <c r="C33" s="280"/>
      <c r="D33" s="280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</row>
    <row r="34" spans="1:26">
      <c r="A34" s="280"/>
      <c r="B34" s="280"/>
      <c r="C34" s="280"/>
      <c r="D34" s="280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</row>
    <row r="35" spans="1:26">
      <c r="A35" s="280"/>
      <c r="B35" s="280"/>
      <c r="C35" s="280"/>
      <c r="D35" s="280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</row>
    <row r="36" spans="1:26">
      <c r="A36" s="280"/>
      <c r="B36" s="280"/>
      <c r="C36" s="280"/>
      <c r="D36" s="280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</row>
    <row r="37" spans="1:26">
      <c r="A37" s="280"/>
      <c r="B37" s="280"/>
      <c r="C37" s="280"/>
      <c r="D37" s="280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</row>
    <row r="38" spans="1:26">
      <c r="A38" s="280"/>
      <c r="B38" s="280"/>
      <c r="C38" s="280"/>
      <c r="D38" s="280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</row>
    <row r="39" spans="1:26">
      <c r="A39" s="280"/>
      <c r="B39" s="280"/>
      <c r="C39" s="280"/>
      <c r="D39" s="280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</row>
    <row r="40" spans="1:26">
      <c r="A40" s="280"/>
      <c r="B40" s="280"/>
      <c r="C40" s="280"/>
      <c r="D40" s="280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</row>
    <row r="41" spans="1:26">
      <c r="A41" s="280"/>
      <c r="B41" s="280"/>
      <c r="C41" s="280"/>
      <c r="D41" s="280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</row>
    <row r="42" spans="1:26">
      <c r="A42" s="280"/>
      <c r="B42" s="280"/>
      <c r="C42" s="280"/>
      <c r="D42" s="280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</row>
    <row r="43" spans="1:26">
      <c r="A43" s="281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</row>
    <row r="44" spans="1:26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</row>
    <row r="45" spans="1:26">
      <c r="A45" s="281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</row>
    <row r="46" spans="1:26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</row>
    <row r="47" spans="1:26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</row>
    <row r="48" spans="1:26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</row>
    <row r="49" spans="1:26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</row>
    <row r="50" spans="1:26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</row>
    <row r="51" spans="1:26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</row>
    <row r="52" spans="1:26">
      <c r="A52" s="281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</row>
    <row r="53" spans="1:26">
      <c r="A53" s="281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</row>
    <row r="54" spans="1:26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</row>
    <row r="55" spans="1:26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</row>
    <row r="56" spans="1:26">
      <c r="A56" s="281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</row>
    <row r="57" spans="1:26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</row>
    <row r="58" spans="1:26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</row>
    <row r="59" spans="1:26">
      <c r="A59" s="281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</row>
    <row r="60" spans="1:26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</row>
    <row r="61" spans="1:26">
      <c r="A61" s="281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</row>
    <row r="62" spans="1:26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</row>
    <row r="63" spans="1:26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</row>
    <row r="64" spans="1:26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</row>
    <row r="65" spans="1:26">
      <c r="A65" s="281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</row>
    <row r="66" spans="1:26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</row>
    <row r="67" spans="1:26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</row>
    <row r="68" spans="1:26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</row>
    <row r="69" spans="1:26">
      <c r="A69" s="281"/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</row>
    <row r="70" spans="1:26">
      <c r="A70" s="281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</row>
    <row r="71" spans="1:26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</row>
    <row r="72" spans="1:26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</row>
    <row r="73" spans="1:26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</row>
    <row r="74" spans="1:26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</row>
    <row r="75" spans="1:26">
      <c r="A75" s="281"/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</row>
    <row r="76" spans="1:26">
      <c r="A76" s="281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</row>
    <row r="77" spans="1:26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</row>
    <row r="78" spans="1:26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</row>
    <row r="79" spans="1:26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</row>
    <row r="80" spans="1:26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</row>
    <row r="81" spans="1:26">
      <c r="A81" s="281"/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</row>
    <row r="82" spans="1:26">
      <c r="A82" s="281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</row>
    <row r="83" spans="1:26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</row>
    <row r="84" spans="1:26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</row>
    <row r="85" spans="1:26">
      <c r="A85" s="281"/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</row>
    <row r="86" spans="1:26">
      <c r="A86" s="281"/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</row>
    <row r="87" spans="1:26">
      <c r="A87" s="281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</row>
    <row r="88" spans="1:26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</row>
    <row r="89" spans="1:26">
      <c r="A89" s="281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</row>
    <row r="90" spans="1:26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</row>
    <row r="91" spans="1:26">
      <c r="A91" s="281"/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</row>
    <row r="92" spans="1:26">
      <c r="A92" s="281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</row>
    <row r="93" spans="1:26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</row>
    <row r="94" spans="1:26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</row>
    <row r="95" spans="1:26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</row>
    <row r="96" spans="1:26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</row>
    <row r="97" spans="1:26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</row>
    <row r="98" spans="1:26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</row>
    <row r="99" spans="1:26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CAAC325B-15AF-44B1-AFCC-31E5072758B3}"/>
    <hyperlink ref="B32" r:id="rId2" xr:uid="{F2F18DD0-5FD7-45D7-9B8D-E910CE8FEBA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W46"/>
  <sheetViews>
    <sheetView tabSelected="1" topLeftCell="D1" zoomScale="89" zoomScaleNormal="10" workbookViewId="0">
      <selection activeCell="M8" sqref="M8"/>
    </sheetView>
  </sheetViews>
  <sheetFormatPr defaultColWidth="9.1796875" defaultRowHeight="14.5"/>
  <cols>
    <col min="1" max="1" width="22.453125" customWidth="1"/>
    <col min="2" max="2" width="19.1796875" customWidth="1"/>
    <col min="3" max="3" width="11.1796875" customWidth="1"/>
    <col min="4" max="4" width="84.453125" bestFit="1" customWidth="1"/>
    <col min="6" max="6" width="12" bestFit="1" customWidth="1"/>
    <col min="8" max="10" width="8.81640625" bestFit="1" customWidth="1"/>
    <col min="11" max="11" width="20.1796875" bestFit="1" customWidth="1"/>
    <col min="35" max="35" width="4.81640625" bestFit="1" customWidth="1"/>
    <col min="36" max="36" width="12.453125" bestFit="1" customWidth="1"/>
    <col min="37" max="37" width="21.1796875" bestFit="1" customWidth="1"/>
    <col min="38" max="38" width="26.54296875" customWidth="1"/>
    <col min="41" max="41" width="12.1796875" bestFit="1" customWidth="1"/>
    <col min="42" max="42" width="10.1796875" bestFit="1" customWidth="1"/>
  </cols>
  <sheetData>
    <row r="1" spans="1:49" ht="23.5">
      <c r="A1" s="14" t="s">
        <v>86</v>
      </c>
      <c r="B1" s="15"/>
    </row>
    <row r="2" spans="1:49">
      <c r="A2" s="1" t="s">
        <v>125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U2" s="1"/>
      <c r="V2" s="1"/>
      <c r="W2" s="1"/>
      <c r="Y2" s="1"/>
      <c r="Z2" s="1"/>
    </row>
    <row r="3" spans="1:49">
      <c r="A3" s="1"/>
      <c r="B3" s="1"/>
      <c r="C3" s="1"/>
      <c r="D3" s="1"/>
      <c r="E3" s="1"/>
      <c r="F3" s="3" t="s">
        <v>2967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W3" s="1"/>
      <c r="X3" s="1"/>
      <c r="Y3" s="1"/>
      <c r="AA3" s="1"/>
      <c r="AB3" s="1"/>
      <c r="AL3" s="3" t="s">
        <v>37</v>
      </c>
      <c r="AM3" s="8"/>
      <c r="AN3" s="9"/>
      <c r="AO3" s="9"/>
      <c r="AP3" s="9"/>
      <c r="AQ3" s="9"/>
      <c r="AR3" s="9"/>
      <c r="AS3" s="9"/>
    </row>
    <row r="4" spans="1:49" ht="26">
      <c r="A4" s="4" t="s">
        <v>17</v>
      </c>
      <c r="B4" s="71" t="s">
        <v>2943</v>
      </c>
      <c r="C4" s="71" t="s">
        <v>2944</v>
      </c>
      <c r="D4" s="5" t="s">
        <v>18</v>
      </c>
      <c r="E4" s="4" t="s">
        <v>19</v>
      </c>
      <c r="F4" s="4" t="s">
        <v>20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7" t="s">
        <v>31</v>
      </c>
      <c r="M4" s="7" t="s">
        <v>2946</v>
      </c>
      <c r="N4" s="7" t="s">
        <v>22</v>
      </c>
      <c r="O4" s="7" t="s">
        <v>23</v>
      </c>
      <c r="P4" s="7" t="s">
        <v>66</v>
      </c>
      <c r="Q4" s="7" t="s">
        <v>67</v>
      </c>
      <c r="R4" s="7" t="s">
        <v>24</v>
      </c>
      <c r="S4" s="7" t="s">
        <v>25</v>
      </c>
      <c r="T4" s="7" t="s">
        <v>26</v>
      </c>
      <c r="U4" s="7" t="s">
        <v>68</v>
      </c>
      <c r="V4" s="7" t="s">
        <v>69</v>
      </c>
      <c r="W4" s="7" t="s">
        <v>27</v>
      </c>
      <c r="X4" s="7" t="s">
        <v>28</v>
      </c>
      <c r="Y4" s="7" t="s">
        <v>29</v>
      </c>
      <c r="Z4" s="7" t="s">
        <v>70</v>
      </c>
      <c r="AA4" s="7" t="s">
        <v>71</v>
      </c>
      <c r="AB4" s="7" t="s">
        <v>30</v>
      </c>
      <c r="AC4" s="7" t="s">
        <v>72</v>
      </c>
      <c r="AD4" s="7" t="s">
        <v>73</v>
      </c>
      <c r="AE4" s="7" t="s">
        <v>32</v>
      </c>
      <c r="AF4" s="7" t="s">
        <v>128</v>
      </c>
      <c r="AG4" s="7" t="s">
        <v>129</v>
      </c>
      <c r="AH4" s="7" t="s">
        <v>130</v>
      </c>
      <c r="AI4" s="7" t="s">
        <v>131</v>
      </c>
      <c r="AJ4" s="7" t="s">
        <v>132</v>
      </c>
      <c r="AL4" s="5" t="s">
        <v>38</v>
      </c>
      <c r="AM4" s="5" t="s">
        <v>17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</row>
    <row r="5" spans="1:49" ht="38.25" customHeight="1">
      <c r="A5" s="21" t="s">
        <v>33</v>
      </c>
      <c r="B5" s="38"/>
      <c r="C5" s="38"/>
      <c r="D5" s="21" t="s">
        <v>34</v>
      </c>
      <c r="E5" s="21" t="s">
        <v>35</v>
      </c>
      <c r="F5" s="21" t="s">
        <v>36</v>
      </c>
      <c r="G5" s="22" t="s">
        <v>80</v>
      </c>
      <c r="H5" s="22"/>
      <c r="I5" s="22"/>
      <c r="J5" s="22"/>
      <c r="K5" s="22"/>
      <c r="L5" s="23"/>
      <c r="M5" s="16" t="s">
        <v>88</v>
      </c>
      <c r="N5" s="23"/>
      <c r="O5" s="23"/>
      <c r="P5" s="23"/>
      <c r="Q5" s="23"/>
      <c r="R5" s="16" t="s">
        <v>89</v>
      </c>
      <c r="S5" s="23"/>
      <c r="T5" s="23"/>
      <c r="U5" s="23"/>
      <c r="V5" s="23"/>
      <c r="W5" s="31" t="s">
        <v>90</v>
      </c>
      <c r="X5" s="31"/>
      <c r="Y5" s="31"/>
      <c r="Z5" s="31"/>
      <c r="AA5" s="31"/>
      <c r="AB5" s="301" t="s">
        <v>74</v>
      </c>
      <c r="AC5" s="301"/>
      <c r="AD5" s="301"/>
      <c r="AE5" s="23"/>
      <c r="AF5" s="30" t="s">
        <v>1</v>
      </c>
      <c r="AG5" s="30"/>
      <c r="AH5" s="30"/>
      <c r="AI5" s="30"/>
      <c r="AJ5" s="30"/>
      <c r="AL5" s="10" t="s">
        <v>45</v>
      </c>
      <c r="AM5" s="10" t="s">
        <v>46</v>
      </c>
      <c r="AN5" s="10" t="s">
        <v>34</v>
      </c>
      <c r="AO5" s="10" t="s">
        <v>47</v>
      </c>
      <c r="AP5" s="10" t="s">
        <v>48</v>
      </c>
      <c r="AQ5" s="10" t="s">
        <v>85</v>
      </c>
      <c r="AR5" s="10" t="s">
        <v>49</v>
      </c>
      <c r="AS5" s="10" t="s">
        <v>50</v>
      </c>
    </row>
    <row r="6" spans="1:49">
      <c r="A6" s="24" t="s">
        <v>2988</v>
      </c>
      <c r="B6" s="24" t="s">
        <v>2941</v>
      </c>
      <c r="C6" s="24"/>
      <c r="D6" s="25" t="str">
        <f>"PWR "&amp;AW6&amp;" new"</f>
        <v>PWR Offshore wind new</v>
      </c>
      <c r="E6" s="25" t="s">
        <v>2814</v>
      </c>
      <c r="F6" s="24" t="s">
        <v>82</v>
      </c>
      <c r="G6" s="26">
        <v>1</v>
      </c>
      <c r="H6" s="26"/>
      <c r="I6" s="26"/>
      <c r="J6" s="26"/>
      <c r="K6" s="26"/>
      <c r="L6" s="24">
        <v>2019</v>
      </c>
      <c r="M6" s="28">
        <f>3118</f>
        <v>3118</v>
      </c>
      <c r="O6" s="28"/>
      <c r="Q6" s="28">
        <v>2827</v>
      </c>
      <c r="R6" s="32">
        <v>128.38999999999999</v>
      </c>
      <c r="S6" s="32">
        <v>92.16</v>
      </c>
      <c r="T6" s="32">
        <v>77.400000000000006</v>
      </c>
      <c r="U6" s="32">
        <v>66.64</v>
      </c>
      <c r="V6" s="32">
        <v>52.44</v>
      </c>
      <c r="W6" s="44"/>
      <c r="X6" s="44"/>
      <c r="Y6" s="44"/>
      <c r="Z6" s="44"/>
      <c r="AA6" s="44"/>
      <c r="AB6" s="24">
        <v>20</v>
      </c>
      <c r="AC6" s="24">
        <v>25</v>
      </c>
      <c r="AD6" s="24">
        <v>30</v>
      </c>
      <c r="AE6" s="27">
        <v>31.536000000000001</v>
      </c>
      <c r="AF6" s="26"/>
      <c r="AG6" s="26"/>
      <c r="AH6" s="26"/>
      <c r="AI6" s="26"/>
      <c r="AJ6" s="26"/>
      <c r="AL6" t="s">
        <v>83</v>
      </c>
      <c r="AM6" t="s">
        <v>2882</v>
      </c>
      <c r="AN6" t="str">
        <f t="shared" ref="AN6:AN33" si="0">D6</f>
        <v>PWR Offshore wind new</v>
      </c>
      <c r="AO6" t="s">
        <v>84</v>
      </c>
      <c r="AP6" t="s">
        <v>2</v>
      </c>
      <c r="AQ6" t="s">
        <v>91</v>
      </c>
      <c r="AR6" s="1"/>
      <c r="AW6" s="24" t="s">
        <v>87</v>
      </c>
    </row>
    <row r="7" spans="1:49">
      <c r="A7" s="24" t="s">
        <v>2770</v>
      </c>
      <c r="B7" s="24" t="s">
        <v>2941</v>
      </c>
      <c r="C7" s="24"/>
      <c r="D7" s="25" t="str">
        <f t="shared" ref="D7:D38" si="1">"PWR "&amp;AW7&amp;" new"</f>
        <v>PWR Commercial solar PV system 0.1-2 MW new</v>
      </c>
      <c r="E7" s="29" t="s">
        <v>2815</v>
      </c>
      <c r="F7" s="24" t="s">
        <v>82</v>
      </c>
      <c r="G7" s="26">
        <v>1</v>
      </c>
      <c r="H7" s="26"/>
      <c r="I7" s="26"/>
      <c r="J7" s="26"/>
      <c r="K7" s="26"/>
      <c r="L7" s="24">
        <v>2019</v>
      </c>
      <c r="M7" s="28">
        <v>200</v>
      </c>
      <c r="N7" s="28"/>
      <c r="O7" s="28"/>
      <c r="Q7" s="28">
        <v>670</v>
      </c>
      <c r="R7" s="32">
        <v>27.5</v>
      </c>
      <c r="S7" s="32">
        <v>22.5</v>
      </c>
      <c r="T7" s="32">
        <v>20.25</v>
      </c>
      <c r="U7" s="32">
        <v>19</v>
      </c>
      <c r="V7" s="32">
        <v>18</v>
      </c>
      <c r="W7" s="44"/>
      <c r="X7" s="44"/>
      <c r="Y7" s="44"/>
      <c r="Z7" s="44"/>
      <c r="AA7" s="44"/>
      <c r="AB7" s="24">
        <v>25</v>
      </c>
      <c r="AC7" s="24"/>
      <c r="AD7" s="24"/>
      <c r="AE7" s="27">
        <v>31.536000000000001</v>
      </c>
      <c r="AF7" s="26"/>
      <c r="AG7" s="26"/>
      <c r="AH7" s="26"/>
      <c r="AI7" s="26"/>
      <c r="AJ7" s="26"/>
      <c r="AL7" t="s">
        <v>83</v>
      </c>
      <c r="AM7" t="str">
        <f t="shared" ref="AM7:AM38" si="2">A7</f>
        <v>P-RNW-SOL-PV01</v>
      </c>
      <c r="AN7" t="str">
        <f t="shared" si="0"/>
        <v>PWR Commercial solar PV system 0.1-2 MW new</v>
      </c>
      <c r="AO7" t="s">
        <v>84</v>
      </c>
      <c r="AP7" t="s">
        <v>2</v>
      </c>
      <c r="AQ7" t="s">
        <v>91</v>
      </c>
      <c r="AR7" s="1"/>
      <c r="AW7" s="24" t="s">
        <v>3</v>
      </c>
    </row>
    <row r="8" spans="1:49">
      <c r="A8" s="24" t="s">
        <v>2769</v>
      </c>
      <c r="B8" s="24" t="s">
        <v>2941</v>
      </c>
      <c r="C8" s="24"/>
      <c r="D8" s="25" t="str">
        <f t="shared" si="1"/>
        <v>PWR Commercial solar PV &gt;2 MW without tracking new</v>
      </c>
      <c r="E8" s="29" t="s">
        <v>2815</v>
      </c>
      <c r="F8" s="24" t="s">
        <v>82</v>
      </c>
      <c r="G8" s="26">
        <v>1</v>
      </c>
      <c r="H8" s="26"/>
      <c r="I8" s="26"/>
      <c r="J8" s="26"/>
      <c r="K8" s="26"/>
      <c r="L8" s="24">
        <v>2019</v>
      </c>
      <c r="M8" s="28">
        <f>+M7</f>
        <v>200</v>
      </c>
      <c r="N8" s="28"/>
      <c r="O8" s="28"/>
      <c r="P8" s="28"/>
      <c r="Q8" s="28">
        <f t="shared" ref="Q8:Q9" si="3">+Q7</f>
        <v>670</v>
      </c>
      <c r="R8" s="32">
        <v>16.66</v>
      </c>
      <c r="S8" s="32">
        <v>13.6</v>
      </c>
      <c r="T8" s="32">
        <v>10.88</v>
      </c>
      <c r="U8" s="32">
        <v>9.86</v>
      </c>
      <c r="V8" s="32">
        <v>8.84</v>
      </c>
      <c r="W8" s="44"/>
      <c r="X8" s="44"/>
      <c r="Y8" s="44"/>
      <c r="Z8" s="44"/>
      <c r="AA8" s="44"/>
      <c r="AB8" s="24">
        <v>25</v>
      </c>
      <c r="AC8" s="24"/>
      <c r="AD8" s="24"/>
      <c r="AE8" s="27">
        <v>31.536000000000001</v>
      </c>
      <c r="AF8" s="26"/>
      <c r="AG8" s="26"/>
      <c r="AH8" s="26"/>
      <c r="AI8" s="26"/>
      <c r="AJ8" s="26"/>
      <c r="AL8" t="s">
        <v>83</v>
      </c>
      <c r="AM8" t="str">
        <f t="shared" si="2"/>
        <v>P-RNW-SOL-PV02</v>
      </c>
      <c r="AN8" t="str">
        <f t="shared" si="0"/>
        <v>PWR Commercial solar PV &gt;2 MW without tracking new</v>
      </c>
      <c r="AO8" t="s">
        <v>84</v>
      </c>
      <c r="AP8" t="s">
        <v>2</v>
      </c>
      <c r="AQ8" t="s">
        <v>91</v>
      </c>
      <c r="AR8" s="1"/>
      <c r="AW8" s="24" t="s">
        <v>4</v>
      </c>
    </row>
    <row r="9" spans="1:49">
      <c r="A9" s="24" t="s">
        <v>2771</v>
      </c>
      <c r="B9" s="24" t="s">
        <v>2941</v>
      </c>
      <c r="C9" s="24"/>
      <c r="D9" s="25" t="str">
        <f t="shared" si="1"/>
        <v>PWR Commercial solar PV &gt;2 MW with tracking new</v>
      </c>
      <c r="E9" s="29" t="s">
        <v>2815</v>
      </c>
      <c r="F9" s="24" t="s">
        <v>82</v>
      </c>
      <c r="G9" s="26">
        <v>1</v>
      </c>
      <c r="H9" s="26"/>
      <c r="I9" s="26"/>
      <c r="J9" s="26"/>
      <c r="K9" s="26"/>
      <c r="L9" s="24">
        <v>2019</v>
      </c>
      <c r="M9" s="28">
        <f>+M8</f>
        <v>200</v>
      </c>
      <c r="N9" s="28"/>
      <c r="O9" s="28"/>
      <c r="P9" s="28"/>
      <c r="Q9" s="28">
        <f t="shared" si="3"/>
        <v>670</v>
      </c>
      <c r="R9" s="32">
        <v>21.75</v>
      </c>
      <c r="S9" s="32">
        <v>16.5</v>
      </c>
      <c r="T9" s="32">
        <v>13.35</v>
      </c>
      <c r="U9" s="32">
        <v>11.85</v>
      </c>
      <c r="V9" s="32">
        <v>10.65</v>
      </c>
      <c r="W9" s="44"/>
      <c r="X9" s="44"/>
      <c r="Y9" s="44"/>
      <c r="Z9" s="44"/>
      <c r="AA9" s="44"/>
      <c r="AB9" s="24">
        <v>25</v>
      </c>
      <c r="AC9" s="24"/>
      <c r="AD9" s="24"/>
      <c r="AE9" s="27">
        <v>31.536000000000001</v>
      </c>
      <c r="AF9" s="26"/>
      <c r="AG9" s="26"/>
      <c r="AH9" s="26"/>
      <c r="AI9" s="26"/>
      <c r="AJ9" s="26"/>
      <c r="AL9" t="s">
        <v>83</v>
      </c>
      <c r="AM9" t="str">
        <f t="shared" si="2"/>
        <v>P-RNW-SOL-PV03</v>
      </c>
      <c r="AN9" t="str">
        <f t="shared" si="0"/>
        <v>PWR Commercial solar PV &gt;2 MW with tracking new</v>
      </c>
      <c r="AO9" t="s">
        <v>84</v>
      </c>
      <c r="AP9" t="s">
        <v>2</v>
      </c>
      <c r="AQ9" t="s">
        <v>91</v>
      </c>
      <c r="AR9" s="1"/>
      <c r="AW9" s="24" t="s">
        <v>5</v>
      </c>
    </row>
    <row r="10" spans="1:49">
      <c r="A10" s="24" t="s">
        <v>2772</v>
      </c>
      <c r="B10" s="24" t="s">
        <v>2942</v>
      </c>
      <c r="C10" s="24"/>
      <c r="D10" s="25" t="str">
        <f t="shared" si="1"/>
        <v>PWR Solar thermal electricity power plants without thermal storage (power/heat=0.38) new</v>
      </c>
      <c r="E10" s="29" t="s">
        <v>2815</v>
      </c>
      <c r="F10" s="24" t="s">
        <v>82</v>
      </c>
      <c r="G10" s="26">
        <v>0.36</v>
      </c>
      <c r="H10" s="26"/>
      <c r="I10" s="26"/>
      <c r="J10" s="26"/>
      <c r="K10" s="26"/>
      <c r="L10" s="24">
        <v>2019</v>
      </c>
      <c r="M10" s="28">
        <v>5600</v>
      </c>
      <c r="N10" s="28">
        <v>4500</v>
      </c>
      <c r="O10" s="28">
        <v>3800</v>
      </c>
      <c r="P10" s="28">
        <v>3500</v>
      </c>
      <c r="Q10" s="24">
        <v>3400</v>
      </c>
      <c r="R10" s="32">
        <v>224</v>
      </c>
      <c r="S10" s="32">
        <v>180</v>
      </c>
      <c r="T10" s="32">
        <v>152</v>
      </c>
      <c r="U10" s="32">
        <v>140</v>
      </c>
      <c r="V10" s="32">
        <v>136</v>
      </c>
      <c r="W10" s="44">
        <v>0.44800000000000001</v>
      </c>
      <c r="X10" s="44">
        <v>0.36</v>
      </c>
      <c r="Y10" s="44">
        <v>0.30399999999999999</v>
      </c>
      <c r="Z10" s="44">
        <v>0.28000000000000003</v>
      </c>
      <c r="AA10" s="44">
        <v>0.27200000000000002</v>
      </c>
      <c r="AB10" s="24">
        <v>30</v>
      </c>
      <c r="AC10" s="24"/>
      <c r="AD10" s="24"/>
      <c r="AE10" s="27">
        <v>31.536000000000001</v>
      </c>
      <c r="AF10" s="26">
        <v>0.42</v>
      </c>
      <c r="AG10" s="26"/>
      <c r="AH10" s="26"/>
      <c r="AI10" s="26"/>
      <c r="AJ10" s="26"/>
      <c r="AL10" t="s">
        <v>83</v>
      </c>
      <c r="AM10" t="str">
        <f t="shared" si="2"/>
        <v>P-RNW-SOL-CSP04</v>
      </c>
      <c r="AN10" t="str">
        <f t="shared" si="0"/>
        <v>PWR Solar thermal electricity power plants without thermal storage (power/heat=0.38) new</v>
      </c>
      <c r="AO10" t="s">
        <v>84</v>
      </c>
      <c r="AP10" t="s">
        <v>2</v>
      </c>
      <c r="AQ10" t="s">
        <v>91</v>
      </c>
      <c r="AR10" s="1"/>
      <c r="AW10" s="24" t="s">
        <v>81</v>
      </c>
    </row>
    <row r="11" spans="1:49">
      <c r="A11" s="24" t="s">
        <v>2773</v>
      </c>
      <c r="B11" s="24" t="s">
        <v>2941</v>
      </c>
      <c r="C11" s="24"/>
      <c r="D11" s="25" t="str">
        <f t="shared" si="1"/>
        <v>PWR Hydropower dam and reservoir, &gt;100 MW new</v>
      </c>
      <c r="E11" s="25" t="s">
        <v>2816</v>
      </c>
      <c r="F11" s="24" t="s">
        <v>82</v>
      </c>
      <c r="G11" s="26">
        <v>1</v>
      </c>
      <c r="H11" s="26"/>
      <c r="I11" s="26"/>
      <c r="J11" s="26"/>
      <c r="K11" s="26"/>
      <c r="L11" s="24">
        <v>2019</v>
      </c>
      <c r="M11" s="28">
        <f>VLOOKUP($A11,ETRI_Cost!$A:$I,5,FALSE)</f>
        <v>3500</v>
      </c>
      <c r="N11" s="28">
        <f>VLOOKUP($A11,ETRI_Cost!$A:$I,6,FALSE)</f>
        <v>3500</v>
      </c>
      <c r="O11" s="28">
        <f>VLOOKUP($A11,ETRI_Cost!$A:$I,7,FALSE)</f>
        <v>3490</v>
      </c>
      <c r="P11" s="28">
        <f>VLOOKUP($A11,ETRI_Cost!$A:$I,8,FALSE)</f>
        <v>3480</v>
      </c>
      <c r="Q11" s="28">
        <f>VLOOKUP($A11,ETRI_Cost!$A:$I,9,FALSE)</f>
        <v>3470</v>
      </c>
      <c r="R11" s="32">
        <v>22</v>
      </c>
      <c r="S11" s="32">
        <v>22</v>
      </c>
      <c r="T11" s="32">
        <v>22</v>
      </c>
      <c r="U11" s="32">
        <v>22</v>
      </c>
      <c r="V11" s="32">
        <v>22</v>
      </c>
      <c r="W11" s="44">
        <v>6.6000000000000003E-2</v>
      </c>
      <c r="X11" s="44">
        <v>6.6000000000000003E-2</v>
      </c>
      <c r="Y11" s="44">
        <v>6.6000000000000003E-2</v>
      </c>
      <c r="Z11" s="44">
        <v>6.6000000000000003E-2</v>
      </c>
      <c r="AA11" s="44">
        <v>6.6000000000000003E-2</v>
      </c>
      <c r="AB11" s="24">
        <v>60</v>
      </c>
      <c r="AC11" s="24"/>
      <c r="AD11" s="24"/>
      <c r="AE11" s="27">
        <v>31.536000000000001</v>
      </c>
      <c r="AF11" s="26">
        <v>0.35</v>
      </c>
      <c r="AG11" s="26"/>
      <c r="AH11" s="26"/>
      <c r="AI11" s="26"/>
      <c r="AJ11" s="26"/>
      <c r="AL11" t="s">
        <v>83</v>
      </c>
      <c r="AM11" t="str">
        <f t="shared" si="2"/>
        <v>P-RNW-HYD-DAM01</v>
      </c>
      <c r="AN11" t="str">
        <f t="shared" si="0"/>
        <v>PWR Hydropower dam and reservoir, &gt;100 MW new</v>
      </c>
      <c r="AO11" t="s">
        <v>84</v>
      </c>
      <c r="AP11" t="s">
        <v>2</v>
      </c>
      <c r="AQ11" t="s">
        <v>91</v>
      </c>
      <c r="AR11" s="1"/>
      <c r="AW11" s="24" t="s">
        <v>6</v>
      </c>
    </row>
    <row r="12" spans="1:49">
      <c r="A12" s="24" t="s">
        <v>2774</v>
      </c>
      <c r="B12" s="24" t="s">
        <v>2941</v>
      </c>
      <c r="C12" s="24"/>
      <c r="D12" s="25" t="str">
        <f t="shared" si="1"/>
        <v>PWR Hydropower dam and reservoir, 10-100 MW new</v>
      </c>
      <c r="E12" s="25" t="s">
        <v>2816</v>
      </c>
      <c r="F12" s="24" t="s">
        <v>82</v>
      </c>
      <c r="G12" s="26">
        <v>1</v>
      </c>
      <c r="H12" s="26"/>
      <c r="I12" s="26"/>
      <c r="J12" s="26"/>
      <c r="K12" s="26"/>
      <c r="L12" s="24">
        <v>2019</v>
      </c>
      <c r="M12" s="28">
        <f>VLOOKUP($A12,ETRI_Cost!$A:$I,5,FALSE)</f>
        <v>4000</v>
      </c>
      <c r="N12" s="28">
        <f>VLOOKUP($A12,ETRI_Cost!$A:$I,6,FALSE)</f>
        <v>4000</v>
      </c>
      <c r="O12" s="28">
        <f>VLOOKUP($A12,ETRI_Cost!$A:$I,7,FALSE)</f>
        <v>3980</v>
      </c>
      <c r="P12" s="28">
        <f>VLOOKUP($A12,ETRI_Cost!$A:$I,8,FALSE)</f>
        <v>3970</v>
      </c>
      <c r="Q12" s="28">
        <f>VLOOKUP($A12,ETRI_Cost!$A:$I,9,FALSE)</f>
        <v>3970</v>
      </c>
      <c r="R12" s="32">
        <v>49.5</v>
      </c>
      <c r="S12" s="32">
        <v>50.4</v>
      </c>
      <c r="T12" s="32">
        <v>50.55</v>
      </c>
      <c r="U12" s="32">
        <v>50.55</v>
      </c>
      <c r="V12" s="32">
        <v>50.55</v>
      </c>
      <c r="W12" s="44">
        <v>0.16500000000000001</v>
      </c>
      <c r="X12" s="44">
        <v>0.16800000000000001</v>
      </c>
      <c r="Y12" s="44">
        <v>0.16850000000000001</v>
      </c>
      <c r="Z12" s="44">
        <v>0.16850000000000001</v>
      </c>
      <c r="AA12" s="44">
        <v>0.16850000000000001</v>
      </c>
      <c r="AB12" s="24">
        <v>60</v>
      </c>
      <c r="AC12" s="24"/>
      <c r="AD12" s="24"/>
      <c r="AE12" s="27">
        <v>31.536000000000001</v>
      </c>
      <c r="AF12" s="26">
        <v>0.4</v>
      </c>
      <c r="AG12" s="26"/>
      <c r="AH12" s="26"/>
      <c r="AI12" s="26"/>
      <c r="AJ12" s="26"/>
      <c r="AL12" t="s">
        <v>83</v>
      </c>
      <c r="AM12" t="str">
        <f t="shared" si="2"/>
        <v>P-RNW-HYD-DAM02</v>
      </c>
      <c r="AN12" t="str">
        <f t="shared" si="0"/>
        <v>PWR Hydropower dam and reservoir, 10-100 MW new</v>
      </c>
      <c r="AO12" t="s">
        <v>84</v>
      </c>
      <c r="AP12" t="s">
        <v>2</v>
      </c>
      <c r="AQ12" t="s">
        <v>91</v>
      </c>
      <c r="AR12" s="1"/>
      <c r="AW12" s="24" t="s">
        <v>7</v>
      </c>
    </row>
    <row r="13" spans="1:49">
      <c r="A13" s="24" t="s">
        <v>2775</v>
      </c>
      <c r="B13" s="24" t="s">
        <v>2941</v>
      </c>
      <c r="C13" s="24"/>
      <c r="D13" s="25" t="str">
        <f t="shared" si="1"/>
        <v>PWR Hydropower dam and reservoir, &lt;10 MW new</v>
      </c>
      <c r="E13" s="25" t="s">
        <v>2816</v>
      </c>
      <c r="F13" s="24" t="s">
        <v>82</v>
      </c>
      <c r="G13" s="26">
        <v>1</v>
      </c>
      <c r="H13" s="26"/>
      <c r="I13" s="26"/>
      <c r="J13" s="26"/>
      <c r="K13" s="26"/>
      <c r="L13" s="24">
        <v>2019</v>
      </c>
      <c r="M13" s="28">
        <f>VLOOKUP($A13,ETRI_Cost!$A:$I,5,FALSE)</f>
        <v>5000</v>
      </c>
      <c r="N13" s="28">
        <f>VLOOKUP($A13,ETRI_Cost!$A:$I,6,FALSE)</f>
        <v>5000</v>
      </c>
      <c r="O13" s="28">
        <f>VLOOKUP($A13,ETRI_Cost!$A:$I,7,FALSE)</f>
        <v>4980</v>
      </c>
      <c r="P13" s="28">
        <f>VLOOKUP($A13,ETRI_Cost!$A:$I,8,FALSE)</f>
        <v>4970</v>
      </c>
      <c r="Q13" s="28">
        <f>VLOOKUP($A13,ETRI_Cost!$A:$I,9,FALSE)</f>
        <v>4960</v>
      </c>
      <c r="R13" s="32">
        <v>66</v>
      </c>
      <c r="S13" s="32">
        <v>67.2</v>
      </c>
      <c r="T13" s="32">
        <v>67.5</v>
      </c>
      <c r="U13" s="32">
        <v>67.5</v>
      </c>
      <c r="V13" s="32">
        <v>67.5</v>
      </c>
      <c r="W13" s="44">
        <v>0.22</v>
      </c>
      <c r="X13" s="44">
        <v>0.224</v>
      </c>
      <c r="Y13" s="44">
        <v>0.22500000000000001</v>
      </c>
      <c r="Z13" s="44">
        <v>0.22500000000000001</v>
      </c>
      <c r="AA13" s="44">
        <v>0.22500000000000001</v>
      </c>
      <c r="AB13" s="24">
        <v>60</v>
      </c>
      <c r="AC13" s="24"/>
      <c r="AD13" s="24"/>
      <c r="AE13" s="27">
        <v>31.536000000000001</v>
      </c>
      <c r="AF13" s="26">
        <v>0.37</v>
      </c>
      <c r="AG13" s="26"/>
      <c r="AH13" s="26"/>
      <c r="AI13" s="26"/>
      <c r="AJ13" s="26"/>
      <c r="AL13" t="s">
        <v>83</v>
      </c>
      <c r="AM13" t="str">
        <f t="shared" si="2"/>
        <v>P-RNW-HYD-DAM03</v>
      </c>
      <c r="AN13" t="str">
        <f t="shared" si="0"/>
        <v>PWR Hydropower dam and reservoir, &lt;10 MW new</v>
      </c>
      <c r="AO13" t="s">
        <v>84</v>
      </c>
      <c r="AP13" t="s">
        <v>2</v>
      </c>
      <c r="AQ13" t="s">
        <v>91</v>
      </c>
      <c r="AR13" s="1"/>
      <c r="AW13" s="24" t="s">
        <v>8</v>
      </c>
    </row>
    <row r="14" spans="1:49">
      <c r="A14" s="24" t="s">
        <v>2776</v>
      </c>
      <c r="B14" s="24" t="s">
        <v>2941</v>
      </c>
      <c r="C14" s="24"/>
      <c r="D14" s="25" t="str">
        <f t="shared" si="1"/>
        <v>PWR Hydropower run-of-a-river new</v>
      </c>
      <c r="E14" s="25" t="s">
        <v>2816</v>
      </c>
      <c r="F14" s="24" t="s">
        <v>82</v>
      </c>
      <c r="G14" s="26">
        <v>1</v>
      </c>
      <c r="H14" s="26"/>
      <c r="I14" s="26"/>
      <c r="J14" s="26"/>
      <c r="K14" s="26"/>
      <c r="L14" s="24">
        <v>2019</v>
      </c>
      <c r="M14" s="28">
        <f>VLOOKUP($A14,ETRI_Cost!$A:$I,5,FALSE)</f>
        <v>3000</v>
      </c>
      <c r="N14" s="28">
        <f>VLOOKUP($A14,ETRI_Cost!$A:$I,6,FALSE)</f>
        <v>3000</v>
      </c>
      <c r="O14" s="28">
        <f>VLOOKUP($A14,ETRI_Cost!$A:$I,7,FALSE)</f>
        <v>2990</v>
      </c>
      <c r="P14" s="28">
        <f>VLOOKUP($A14,ETRI_Cost!$A:$I,8,FALSE)</f>
        <v>2980</v>
      </c>
      <c r="Q14" s="28">
        <f>VLOOKUP($A14,ETRI_Cost!$A:$I,9,FALSE)</f>
        <v>2970</v>
      </c>
      <c r="R14" s="32">
        <v>82.5</v>
      </c>
      <c r="S14" s="32">
        <v>84</v>
      </c>
      <c r="T14" s="32">
        <v>84.3</v>
      </c>
      <c r="U14" s="32">
        <v>84.3</v>
      </c>
      <c r="V14" s="32">
        <v>84.3</v>
      </c>
      <c r="W14" s="44">
        <v>0.27500000000000002</v>
      </c>
      <c r="X14" s="44">
        <v>0.28000000000000003</v>
      </c>
      <c r="Y14" s="44">
        <v>0.28100000000000003</v>
      </c>
      <c r="Z14" s="44">
        <v>0.28100000000000003</v>
      </c>
      <c r="AA14" s="44">
        <v>0.28100000000000003</v>
      </c>
      <c r="AB14" s="24">
        <v>60</v>
      </c>
      <c r="AC14" s="24"/>
      <c r="AD14" s="24"/>
      <c r="AE14" s="27">
        <v>31.536000000000001</v>
      </c>
      <c r="AF14" s="26">
        <v>0.37</v>
      </c>
      <c r="AG14" s="26"/>
      <c r="AH14" s="26"/>
      <c r="AI14" s="26"/>
      <c r="AJ14" s="26"/>
      <c r="AL14" t="s">
        <v>83</v>
      </c>
      <c r="AM14" t="str">
        <f t="shared" si="2"/>
        <v>P-RNW-HYD-ROR04</v>
      </c>
      <c r="AN14" t="str">
        <f t="shared" si="0"/>
        <v>PWR Hydropower run-of-a-river new</v>
      </c>
      <c r="AO14" t="s">
        <v>84</v>
      </c>
      <c r="AP14" t="s">
        <v>2</v>
      </c>
      <c r="AQ14" t="s">
        <v>91</v>
      </c>
      <c r="AR14" s="1"/>
      <c r="AW14" s="24" t="s">
        <v>9</v>
      </c>
    </row>
    <row r="15" spans="1:49">
      <c r="A15" s="24" t="s">
        <v>2777</v>
      </c>
      <c r="B15" s="24" t="s">
        <v>2941</v>
      </c>
      <c r="C15" s="24" t="s">
        <v>2942</v>
      </c>
      <c r="D15" s="25" t="str">
        <f t="shared" si="1"/>
        <v>PWR Flash power plant extracting fluid from hydrothermal system at 2.5 km depth new</v>
      </c>
      <c r="E15" s="25" t="s">
        <v>2817</v>
      </c>
      <c r="F15" s="24" t="s">
        <v>82</v>
      </c>
      <c r="G15" s="26">
        <v>0.1</v>
      </c>
      <c r="H15" s="26">
        <v>0.1</v>
      </c>
      <c r="I15" s="26">
        <v>0.1</v>
      </c>
      <c r="J15" s="26">
        <v>0.1</v>
      </c>
      <c r="K15" s="26">
        <v>0.1</v>
      </c>
      <c r="L15" s="24">
        <v>2019</v>
      </c>
      <c r="M15" s="28">
        <f>VLOOKUP($A15,ETRI_Cost!$A:$I,5,FALSE)</f>
        <v>3540</v>
      </c>
      <c r="N15" s="28">
        <f>VLOOKUP($A15,ETRI_Cost!$A:$I,6,FALSE)</f>
        <v>3350</v>
      </c>
      <c r="O15" s="28">
        <f>VLOOKUP($A15,ETRI_Cost!$A:$I,7,FALSE)</f>
        <v>3150</v>
      </c>
      <c r="P15" s="28">
        <f>VLOOKUP($A15,ETRI_Cost!$A:$I,8,FALSE)</f>
        <v>3020</v>
      </c>
      <c r="Q15" s="28">
        <f>VLOOKUP($A15,ETRI_Cost!$A:$I,9,FALSE)</f>
        <v>2910</v>
      </c>
      <c r="R15" s="32">
        <v>77.419999999999987</v>
      </c>
      <c r="S15" s="32">
        <v>79.52</v>
      </c>
      <c r="T15" s="32">
        <v>80.459999999999994</v>
      </c>
      <c r="U15" s="32">
        <v>80.400000000000006</v>
      </c>
      <c r="V15" s="32">
        <v>79.420000000000016</v>
      </c>
      <c r="W15" s="44"/>
      <c r="X15" s="44"/>
      <c r="Y15" s="44"/>
      <c r="Z15" s="44"/>
      <c r="AA15" s="44"/>
      <c r="AB15" s="24">
        <v>30</v>
      </c>
      <c r="AC15" s="24"/>
      <c r="AD15" s="24"/>
      <c r="AE15" s="27">
        <v>31.536000000000001</v>
      </c>
      <c r="AF15" s="26">
        <v>0.95</v>
      </c>
      <c r="AG15" s="26"/>
      <c r="AH15" s="26"/>
      <c r="AI15" s="26"/>
      <c r="AJ15" s="26"/>
      <c r="AL15" t="s">
        <v>83</v>
      </c>
      <c r="AM15" t="str">
        <f t="shared" si="2"/>
        <v>P-RNW-GEO01</v>
      </c>
      <c r="AN15" t="str">
        <f t="shared" si="0"/>
        <v>PWR Flash power plant extracting fluid from hydrothermal system at 2.5 km depth new</v>
      </c>
      <c r="AO15" t="s">
        <v>84</v>
      </c>
      <c r="AP15" t="s">
        <v>2</v>
      </c>
      <c r="AQ15" t="s">
        <v>91</v>
      </c>
      <c r="AR15" s="1"/>
      <c r="AW15" s="24" t="s">
        <v>10</v>
      </c>
    </row>
    <row r="16" spans="1:49">
      <c r="A16" s="24" t="s">
        <v>2778</v>
      </c>
      <c r="B16" s="24" t="s">
        <v>2941</v>
      </c>
      <c r="C16" s="24" t="s">
        <v>2942</v>
      </c>
      <c r="D16" s="25" t="str">
        <f t="shared" si="1"/>
        <v>PWR Organic Rankine Cycle hydrothermal system. new</v>
      </c>
      <c r="E16" s="25" t="s">
        <v>2817</v>
      </c>
      <c r="F16" s="24" t="s">
        <v>82</v>
      </c>
      <c r="G16" s="26">
        <v>0.1</v>
      </c>
      <c r="H16" s="26">
        <v>0.1</v>
      </c>
      <c r="I16" s="26">
        <v>0.1</v>
      </c>
      <c r="J16" s="26">
        <v>0.1</v>
      </c>
      <c r="K16" s="26">
        <v>0.1</v>
      </c>
      <c r="L16" s="24">
        <v>2019</v>
      </c>
      <c r="M16" s="28">
        <f>VLOOKUP($A16,ETRI_Cost!$A:$I,5,FALSE)</f>
        <v>6970</v>
      </c>
      <c r="N16" s="28">
        <f>VLOOKUP($A16,ETRI_Cost!$A:$I,6,FALSE)</f>
        <v>6600</v>
      </c>
      <c r="O16" s="28">
        <f>VLOOKUP($A16,ETRI_Cost!$A:$I,7,FALSE)</f>
        <v>6190</v>
      </c>
      <c r="P16" s="28">
        <f>VLOOKUP($A16,ETRI_Cost!$A:$I,8,FALSE)</f>
        <v>5950</v>
      </c>
      <c r="Q16" s="28">
        <f>VLOOKUP($A16,ETRI_Cost!$A:$I,9,FALSE)</f>
        <v>5720</v>
      </c>
      <c r="R16" s="32">
        <v>146.37</v>
      </c>
      <c r="S16" s="32">
        <v>145.20000000000002</v>
      </c>
      <c r="T16" s="32">
        <v>143.51999999999998</v>
      </c>
      <c r="U16" s="32">
        <v>146.75</v>
      </c>
      <c r="V16" s="32">
        <v>148.77000000000001</v>
      </c>
      <c r="W16" s="44"/>
      <c r="X16" s="44"/>
      <c r="Y16" s="44"/>
      <c r="Z16" s="44"/>
      <c r="AA16" s="44"/>
      <c r="AB16" s="24">
        <v>30</v>
      </c>
      <c r="AC16" s="24"/>
      <c r="AD16" s="24"/>
      <c r="AE16" s="27">
        <v>31.536000000000001</v>
      </c>
      <c r="AF16" s="26">
        <v>0.95</v>
      </c>
      <c r="AG16" s="26"/>
      <c r="AH16" s="26"/>
      <c r="AI16" s="26"/>
      <c r="AJ16" s="26"/>
      <c r="AL16" t="s">
        <v>83</v>
      </c>
      <c r="AM16" t="str">
        <f t="shared" si="2"/>
        <v>P-RNW-GEO02</v>
      </c>
      <c r="AN16" t="str">
        <f t="shared" si="0"/>
        <v>PWR Organic Rankine Cycle hydrothermal system. new</v>
      </c>
      <c r="AO16" t="s">
        <v>84</v>
      </c>
      <c r="AP16" t="s">
        <v>2</v>
      </c>
      <c r="AQ16" t="s">
        <v>91</v>
      </c>
      <c r="AR16" s="1"/>
      <c r="AW16" s="24" t="s">
        <v>11</v>
      </c>
    </row>
    <row r="17" spans="1:49">
      <c r="A17" s="24" t="s">
        <v>2779</v>
      </c>
      <c r="B17" s="24" t="s">
        <v>2942</v>
      </c>
      <c r="C17" s="24" t="s">
        <v>2942</v>
      </c>
      <c r="D17" s="25" t="str">
        <f t="shared" si="1"/>
        <v>PWR Organic Rankine Cycle Enhanced Geothermal System at 5.5 km depth new</v>
      </c>
      <c r="E17" s="25" t="s">
        <v>2817</v>
      </c>
      <c r="F17" s="24" t="s">
        <v>82</v>
      </c>
      <c r="G17" s="26">
        <v>0.1</v>
      </c>
      <c r="H17" s="26">
        <v>0.1</v>
      </c>
      <c r="I17" s="26">
        <v>0.1</v>
      </c>
      <c r="J17" s="26">
        <v>0.1</v>
      </c>
      <c r="K17" s="26">
        <v>0.1</v>
      </c>
      <c r="L17" s="24">
        <v>2019</v>
      </c>
      <c r="M17" s="24">
        <v>12600</v>
      </c>
      <c r="N17" s="24">
        <v>10300</v>
      </c>
      <c r="O17" s="24">
        <v>9000</v>
      </c>
      <c r="P17" s="24">
        <v>8600</v>
      </c>
      <c r="Q17" s="24">
        <v>8200</v>
      </c>
      <c r="R17" s="32">
        <v>226.8</v>
      </c>
      <c r="S17" s="32">
        <v>185.4</v>
      </c>
      <c r="T17" s="32">
        <v>171</v>
      </c>
      <c r="U17" s="32">
        <v>163.4</v>
      </c>
      <c r="V17" s="32">
        <v>155.80000000000001</v>
      </c>
      <c r="W17" s="44"/>
      <c r="X17" s="44"/>
      <c r="Y17" s="44"/>
      <c r="Z17" s="44"/>
      <c r="AA17" s="44"/>
      <c r="AB17" s="24">
        <v>30</v>
      </c>
      <c r="AC17" s="24"/>
      <c r="AD17" s="24"/>
      <c r="AE17" s="27">
        <v>31.536000000000001</v>
      </c>
      <c r="AF17" s="26">
        <v>0.95</v>
      </c>
      <c r="AG17" s="26"/>
      <c r="AH17" s="26"/>
      <c r="AI17" s="26"/>
      <c r="AJ17" s="26"/>
      <c r="AL17" t="s">
        <v>83</v>
      </c>
      <c r="AM17" t="str">
        <f t="shared" si="2"/>
        <v>P-RNW-GEO03</v>
      </c>
      <c r="AN17" t="str">
        <f t="shared" si="0"/>
        <v>PWR Organic Rankine Cycle Enhanced Geothermal System at 5.5 km depth new</v>
      </c>
      <c r="AO17" t="s">
        <v>84</v>
      </c>
      <c r="AP17" t="s">
        <v>2</v>
      </c>
      <c r="AQ17" t="s">
        <v>91</v>
      </c>
      <c r="AR17" s="1"/>
      <c r="AW17" s="24" t="s">
        <v>12</v>
      </c>
    </row>
    <row r="18" spans="1:49">
      <c r="A18" s="24" t="s">
        <v>2780</v>
      </c>
      <c r="B18" s="24" t="s">
        <v>2941</v>
      </c>
      <c r="C18" s="24"/>
      <c r="D18" s="25" t="str">
        <f t="shared" si="1"/>
        <v>PWR Wave energy new</v>
      </c>
      <c r="E18" s="25" t="s">
        <v>2818</v>
      </c>
      <c r="F18" s="24" t="s">
        <v>133</v>
      </c>
      <c r="G18" s="26">
        <v>1</v>
      </c>
      <c r="H18" s="26"/>
      <c r="I18" s="26"/>
      <c r="J18" s="26"/>
      <c r="K18" s="26"/>
      <c r="L18" s="24">
        <v>2019</v>
      </c>
      <c r="M18" s="28">
        <f>VLOOKUP($A18,ETRI_Cost!$A:$I,5,FALSE)</f>
        <v>7910</v>
      </c>
      <c r="N18" s="28">
        <f>VLOOKUP($A18,ETRI_Cost!$A:$I,6,FALSE)</f>
        <v>6310</v>
      </c>
      <c r="O18" s="28">
        <f>VLOOKUP($A18,ETRI_Cost!$A:$I,7,FALSE)</f>
        <v>5320</v>
      </c>
      <c r="P18" s="28">
        <f>VLOOKUP($A18,ETRI_Cost!$A:$I,8,FALSE)</f>
        <v>4040</v>
      </c>
      <c r="Q18" s="28">
        <f>VLOOKUP($A18,ETRI_Cost!$A:$I,9,FALSE)</f>
        <v>3240</v>
      </c>
      <c r="R18" s="32">
        <v>326.88</v>
      </c>
      <c r="S18" s="32">
        <v>237.38999999999996</v>
      </c>
      <c r="T18" s="32">
        <v>210.56</v>
      </c>
      <c r="U18" s="32">
        <v>153.69999999999999</v>
      </c>
      <c r="V18" s="32">
        <v>133.4</v>
      </c>
      <c r="W18" s="44"/>
      <c r="X18" s="44"/>
      <c r="Y18" s="44"/>
      <c r="Z18" s="44"/>
      <c r="AA18" s="44"/>
      <c r="AB18" s="24">
        <v>20</v>
      </c>
      <c r="AC18" s="24"/>
      <c r="AD18" s="24"/>
      <c r="AE18" s="27">
        <v>31.536000000000001</v>
      </c>
      <c r="AF18" s="26">
        <v>0.36</v>
      </c>
      <c r="AG18" s="26"/>
      <c r="AH18" s="26"/>
      <c r="AI18" s="26"/>
      <c r="AJ18" s="26"/>
      <c r="AL18" t="s">
        <v>83</v>
      </c>
      <c r="AM18" t="str">
        <f t="shared" si="2"/>
        <v>P-RNW-OCE-WAV01</v>
      </c>
      <c r="AN18" t="str">
        <f t="shared" si="0"/>
        <v>PWR Wave energy new</v>
      </c>
      <c r="AO18" t="s">
        <v>84</v>
      </c>
      <c r="AP18" t="s">
        <v>2</v>
      </c>
      <c r="AQ18" t="s">
        <v>91</v>
      </c>
      <c r="AR18" s="1"/>
      <c r="AW18" s="24" t="s">
        <v>13</v>
      </c>
    </row>
    <row r="19" spans="1:49">
      <c r="A19" s="24" t="s">
        <v>2781</v>
      </c>
      <c r="B19" s="24" t="s">
        <v>2941</v>
      </c>
      <c r="C19" s="24"/>
      <c r="D19" s="25" t="str">
        <f t="shared" si="1"/>
        <v>PWR Tidal energy new</v>
      </c>
      <c r="E19" s="25" t="s">
        <v>2818</v>
      </c>
      <c r="F19" s="24" t="s">
        <v>133</v>
      </c>
      <c r="G19" s="26">
        <v>1</v>
      </c>
      <c r="H19" s="26"/>
      <c r="I19" s="26"/>
      <c r="J19" s="26"/>
      <c r="K19" s="26"/>
      <c r="L19" s="24">
        <v>2019</v>
      </c>
      <c r="M19" s="28">
        <f>VLOOKUP($A19,ETRI_Cost!$A:$I,5,FALSE)</f>
        <v>7840</v>
      </c>
      <c r="N19" s="28">
        <f>VLOOKUP($A19,ETRI_Cost!$A:$I,6,FALSE)</f>
        <v>6260</v>
      </c>
      <c r="O19" s="28">
        <f>VLOOKUP($A19,ETRI_Cost!$A:$I,7,FALSE)</f>
        <v>5270</v>
      </c>
      <c r="P19" s="28">
        <f>VLOOKUP($A19,ETRI_Cost!$A:$I,8,FALSE)</f>
        <v>4000</v>
      </c>
      <c r="Q19" s="28">
        <f>VLOOKUP($A19,ETRI_Cost!$A:$I,9,FALSE)</f>
        <v>3210</v>
      </c>
      <c r="R19" s="32">
        <v>363.8</v>
      </c>
      <c r="S19" s="32">
        <v>158.4</v>
      </c>
      <c r="T19" s="32">
        <v>117.8</v>
      </c>
      <c r="U19" s="32">
        <v>90.3</v>
      </c>
      <c r="V19" s="32">
        <v>93.1</v>
      </c>
      <c r="W19" s="44"/>
      <c r="X19" s="44"/>
      <c r="Y19" s="44"/>
      <c r="Z19" s="44"/>
      <c r="AA19" s="44"/>
      <c r="AB19" s="24">
        <v>20</v>
      </c>
      <c r="AC19" s="24"/>
      <c r="AD19" s="24"/>
      <c r="AE19" s="27">
        <v>31.536000000000001</v>
      </c>
      <c r="AF19" s="26">
        <v>0.36</v>
      </c>
      <c r="AG19" s="26"/>
      <c r="AH19" s="26"/>
      <c r="AI19" s="26"/>
      <c r="AJ19" s="26"/>
      <c r="AL19" t="s">
        <v>83</v>
      </c>
      <c r="AM19" t="str">
        <f t="shared" si="2"/>
        <v>P-RNW-OCE-TID02</v>
      </c>
      <c r="AN19" t="str">
        <f t="shared" si="0"/>
        <v>PWR Tidal energy new</v>
      </c>
      <c r="AO19" t="s">
        <v>84</v>
      </c>
      <c r="AP19" t="s">
        <v>2</v>
      </c>
      <c r="AQ19" t="s">
        <v>91</v>
      </c>
      <c r="AR19" s="1"/>
      <c r="AW19" s="24" t="s">
        <v>14</v>
      </c>
    </row>
    <row r="20" spans="1:49">
      <c r="A20" s="24" t="s">
        <v>2766</v>
      </c>
      <c r="B20" s="24" t="s">
        <v>2942</v>
      </c>
      <c r="C20" s="24"/>
      <c r="D20" s="25" t="str">
        <f t="shared" si="1"/>
        <v>PWR Open-Cycle Gas Turbine conventional new</v>
      </c>
      <c r="E20" s="25" t="s">
        <v>2819</v>
      </c>
      <c r="F20" s="24" t="s">
        <v>82</v>
      </c>
      <c r="G20" s="26">
        <v>0.38</v>
      </c>
      <c r="H20" s="26"/>
      <c r="I20" s="26"/>
      <c r="J20" s="26"/>
      <c r="K20" s="26"/>
      <c r="L20" s="24">
        <v>2019</v>
      </c>
      <c r="M20" s="24">
        <v>770</v>
      </c>
      <c r="N20" s="24"/>
      <c r="O20" s="24"/>
      <c r="P20" s="24"/>
      <c r="Q20" s="24"/>
      <c r="R20" s="32">
        <v>7.7</v>
      </c>
      <c r="S20" s="32"/>
      <c r="T20" s="32"/>
      <c r="U20" s="32"/>
      <c r="V20" s="32"/>
      <c r="W20" s="44"/>
      <c r="X20" s="44"/>
      <c r="Y20" s="44"/>
      <c r="Z20" s="44"/>
      <c r="AA20" s="44"/>
      <c r="AB20" s="24">
        <v>30</v>
      </c>
      <c r="AC20" s="24"/>
      <c r="AD20" s="24"/>
      <c r="AE20" s="27">
        <v>31.536000000000001</v>
      </c>
      <c r="AF20" s="26">
        <v>0.95</v>
      </c>
      <c r="AG20" s="26"/>
      <c r="AH20" s="26"/>
      <c r="AI20" s="26"/>
      <c r="AJ20" s="26"/>
      <c r="AL20" t="s">
        <v>83</v>
      </c>
      <c r="AM20" t="str">
        <f t="shared" si="2"/>
        <v>P-TH-OCGT-GAS01</v>
      </c>
      <c r="AN20" t="str">
        <f t="shared" si="0"/>
        <v>PWR Open-Cycle Gas Turbine conventional new</v>
      </c>
      <c r="AO20" t="s">
        <v>84</v>
      </c>
      <c r="AP20" t="s">
        <v>2</v>
      </c>
      <c r="AQ20" t="s">
        <v>91</v>
      </c>
      <c r="AR20" s="1"/>
      <c r="AW20" s="24" t="s">
        <v>15</v>
      </c>
    </row>
    <row r="21" spans="1:49">
      <c r="A21" s="24" t="s">
        <v>2767</v>
      </c>
      <c r="B21" s="24" t="s">
        <v>2942</v>
      </c>
      <c r="C21" s="24"/>
      <c r="D21" s="25" t="str">
        <f t="shared" si="1"/>
        <v>PWR Open Cycle Gas Turbine advanced new</v>
      </c>
      <c r="E21" s="25" t="s">
        <v>2819</v>
      </c>
      <c r="F21" s="24" t="s">
        <v>82</v>
      </c>
      <c r="G21" s="26">
        <v>0.4</v>
      </c>
      <c r="H21" s="26">
        <v>0.4</v>
      </c>
      <c r="I21" s="26">
        <v>0.43</v>
      </c>
      <c r="J21" s="26">
        <v>0.44</v>
      </c>
      <c r="K21" s="26">
        <v>0.45</v>
      </c>
      <c r="L21" s="24">
        <v>2019</v>
      </c>
      <c r="M21" s="24">
        <v>550</v>
      </c>
      <c r="N21" s="24">
        <v>550</v>
      </c>
      <c r="O21" s="24">
        <v>550</v>
      </c>
      <c r="P21" s="24">
        <v>550</v>
      </c>
      <c r="Q21" s="24">
        <v>550</v>
      </c>
      <c r="R21" s="32">
        <v>16.5</v>
      </c>
      <c r="S21" s="32">
        <v>16.5</v>
      </c>
      <c r="T21" s="32">
        <v>16.5</v>
      </c>
      <c r="U21" s="32">
        <v>16.5</v>
      </c>
      <c r="V21" s="32">
        <v>16.5</v>
      </c>
      <c r="W21" s="44">
        <v>6.0499999999999998E-2</v>
      </c>
      <c r="X21" s="44">
        <v>6.0499999999999998E-2</v>
      </c>
      <c r="Y21" s="44">
        <v>6.0499999999999998E-2</v>
      </c>
      <c r="Z21" s="44">
        <v>6.0499999999999998E-2</v>
      </c>
      <c r="AA21" s="44">
        <v>6.0499999999999998E-2</v>
      </c>
      <c r="AB21" s="24">
        <v>30</v>
      </c>
      <c r="AC21" s="24"/>
      <c r="AD21" s="24"/>
      <c r="AE21" s="27">
        <v>31.536000000000001</v>
      </c>
      <c r="AF21" s="26">
        <v>0.95</v>
      </c>
      <c r="AG21" s="26"/>
      <c r="AH21" s="26"/>
      <c r="AI21" s="26"/>
      <c r="AJ21" s="26"/>
      <c r="AL21" t="s">
        <v>83</v>
      </c>
      <c r="AM21" t="str">
        <f t="shared" si="2"/>
        <v>P-TH-OCGT-GAS02</v>
      </c>
      <c r="AN21" t="str">
        <f t="shared" si="0"/>
        <v>PWR Open Cycle Gas Turbine advanced new</v>
      </c>
      <c r="AO21" t="s">
        <v>84</v>
      </c>
      <c r="AP21" t="s">
        <v>2</v>
      </c>
      <c r="AQ21" t="s">
        <v>91</v>
      </c>
      <c r="AR21" s="1"/>
      <c r="AW21" s="24" t="s">
        <v>16</v>
      </c>
    </row>
    <row r="22" spans="1:49">
      <c r="A22" s="24" t="s">
        <v>2768</v>
      </c>
      <c r="B22" s="24" t="s">
        <v>2942</v>
      </c>
      <c r="C22" s="24" t="s">
        <v>2942</v>
      </c>
      <c r="D22" s="25" t="str">
        <f t="shared" si="1"/>
        <v>PWR Combined Cycle Gas Turbine advanced new</v>
      </c>
      <c r="E22" s="25" t="s">
        <v>2819</v>
      </c>
      <c r="F22" s="24" t="s">
        <v>82</v>
      </c>
      <c r="G22" s="26">
        <v>0.57999999999999996</v>
      </c>
      <c r="H22" s="26">
        <v>0.6</v>
      </c>
      <c r="I22" s="26">
        <v>0.62</v>
      </c>
      <c r="J22" s="26">
        <v>0.62</v>
      </c>
      <c r="K22" s="26">
        <v>0.63</v>
      </c>
      <c r="L22" s="24">
        <v>2019</v>
      </c>
      <c r="M22" s="24">
        <v>850</v>
      </c>
      <c r="N22" s="24">
        <v>850</v>
      </c>
      <c r="O22" s="24">
        <v>850</v>
      </c>
      <c r="P22" s="24">
        <v>850</v>
      </c>
      <c r="Q22" s="24">
        <v>850</v>
      </c>
      <c r="R22" s="32">
        <v>21.25</v>
      </c>
      <c r="S22" s="32">
        <v>21.25</v>
      </c>
      <c r="T22" s="32">
        <v>21.25</v>
      </c>
      <c r="U22" s="32">
        <v>21.25</v>
      </c>
      <c r="V22" s="32">
        <v>21.25</v>
      </c>
      <c r="W22" s="44">
        <v>1.7000000000000001E-2</v>
      </c>
      <c r="X22" s="44">
        <v>1.7000000000000001E-2</v>
      </c>
      <c r="Y22" s="44">
        <v>1.7000000000000001E-2</v>
      </c>
      <c r="Z22" s="44">
        <v>1.7000000000000001E-2</v>
      </c>
      <c r="AA22" s="44">
        <v>1.7000000000000001E-2</v>
      </c>
      <c r="AB22" s="24">
        <v>30</v>
      </c>
      <c r="AC22" s="24"/>
      <c r="AD22" s="24"/>
      <c r="AE22" s="27">
        <v>31.536000000000001</v>
      </c>
      <c r="AF22" s="26">
        <v>0.9</v>
      </c>
      <c r="AG22" s="26"/>
      <c r="AH22" s="26"/>
      <c r="AI22" s="26"/>
      <c r="AJ22" s="26"/>
      <c r="AL22" t="s">
        <v>83</v>
      </c>
      <c r="AM22" t="str">
        <f t="shared" si="2"/>
        <v>P-TH-CCGT-GAS03</v>
      </c>
      <c r="AN22" t="str">
        <f t="shared" si="0"/>
        <v>PWR Combined Cycle Gas Turbine advanced new</v>
      </c>
      <c r="AO22" t="s">
        <v>84</v>
      </c>
      <c r="AP22" t="s">
        <v>2</v>
      </c>
      <c r="AQ22" t="s">
        <v>91</v>
      </c>
      <c r="AR22" s="1"/>
      <c r="AW22" s="24" t="s">
        <v>117</v>
      </c>
    </row>
    <row r="23" spans="1:49">
      <c r="A23" s="24" t="s">
        <v>2782</v>
      </c>
      <c r="B23" s="24" t="s">
        <v>2942</v>
      </c>
      <c r="C23" s="24" t="s">
        <v>2942</v>
      </c>
      <c r="D23" s="25" t="str">
        <f t="shared" si="1"/>
        <v>PWR Pulverised coal supercritical new</v>
      </c>
      <c r="E23" s="25" t="s">
        <v>2820</v>
      </c>
      <c r="F23" s="24" t="s">
        <v>82</v>
      </c>
      <c r="G23" s="26">
        <v>0.45</v>
      </c>
      <c r="H23" s="26">
        <v>0.46</v>
      </c>
      <c r="I23" s="26">
        <v>0.48</v>
      </c>
      <c r="J23" s="26">
        <v>0.48</v>
      </c>
      <c r="K23" s="26">
        <v>0.48</v>
      </c>
      <c r="L23" s="24">
        <v>2019</v>
      </c>
      <c r="M23" s="24">
        <v>1600</v>
      </c>
      <c r="N23" s="24">
        <v>1600</v>
      </c>
      <c r="O23" s="24">
        <v>1600</v>
      </c>
      <c r="P23" s="24">
        <v>1600</v>
      </c>
      <c r="Q23" s="24">
        <v>1600</v>
      </c>
      <c r="R23" s="32">
        <v>40</v>
      </c>
      <c r="S23" s="32">
        <v>40</v>
      </c>
      <c r="T23" s="32">
        <v>40</v>
      </c>
      <c r="U23" s="32">
        <v>40</v>
      </c>
      <c r="V23" s="32">
        <v>40</v>
      </c>
      <c r="W23" s="44">
        <v>5.7599999999999998E-2</v>
      </c>
      <c r="X23" s="44">
        <v>5.7599999999999998E-2</v>
      </c>
      <c r="Y23" s="44">
        <v>5.7599999999999998E-2</v>
      </c>
      <c r="Z23" s="44">
        <v>5.7599999999999998E-2</v>
      </c>
      <c r="AA23" s="44">
        <v>5.7599999999999998E-2</v>
      </c>
      <c r="AB23" s="24">
        <v>40</v>
      </c>
      <c r="AC23" s="24"/>
      <c r="AD23" s="24"/>
      <c r="AE23" s="27">
        <v>31.536000000000001</v>
      </c>
      <c r="AF23" s="26">
        <v>0.9</v>
      </c>
      <c r="AG23" s="26"/>
      <c r="AH23" s="26"/>
      <c r="AI23" s="26"/>
      <c r="AJ23" s="26"/>
      <c r="AL23" t="s">
        <v>83</v>
      </c>
      <c r="AM23" t="str">
        <f t="shared" si="2"/>
        <v>P-TH-SC-COA01</v>
      </c>
      <c r="AN23" t="str">
        <f t="shared" si="0"/>
        <v>PWR Pulverised coal supercritical new</v>
      </c>
      <c r="AO23" t="s">
        <v>84</v>
      </c>
      <c r="AP23" t="s">
        <v>2</v>
      </c>
      <c r="AQ23" t="s">
        <v>91</v>
      </c>
      <c r="AR23" s="1"/>
      <c r="AW23" s="24" t="s">
        <v>2755</v>
      </c>
    </row>
    <row r="24" spans="1:49">
      <c r="A24" s="24" t="s">
        <v>2784</v>
      </c>
      <c r="B24" s="24" t="s">
        <v>2942</v>
      </c>
      <c r="C24" s="24" t="s">
        <v>2942</v>
      </c>
      <c r="D24" s="25" t="str">
        <f t="shared" si="1"/>
        <v>PWR Pulverised peat supercritical new</v>
      </c>
      <c r="E24" s="25" t="s">
        <v>2821</v>
      </c>
      <c r="F24" s="24" t="s">
        <v>82</v>
      </c>
      <c r="G24" s="26">
        <v>0.42</v>
      </c>
      <c r="H24" s="26">
        <v>0.45</v>
      </c>
      <c r="I24" s="26">
        <v>0.47</v>
      </c>
      <c r="J24" s="26">
        <v>0.47</v>
      </c>
      <c r="K24" s="26">
        <v>0.47</v>
      </c>
      <c r="L24" s="24">
        <v>2019</v>
      </c>
      <c r="M24" s="24">
        <v>2000</v>
      </c>
      <c r="N24" s="24">
        <v>2000</v>
      </c>
      <c r="O24" s="24">
        <v>2000</v>
      </c>
      <c r="P24" s="24">
        <v>2000</v>
      </c>
      <c r="Q24" s="24">
        <v>2000</v>
      </c>
      <c r="R24" s="32">
        <v>50</v>
      </c>
      <c r="S24" s="32">
        <v>50</v>
      </c>
      <c r="T24" s="32">
        <v>50</v>
      </c>
      <c r="U24" s="32">
        <v>50</v>
      </c>
      <c r="V24" s="32">
        <v>50</v>
      </c>
      <c r="W24" s="44">
        <v>0.09</v>
      </c>
      <c r="X24" s="44">
        <v>0.09</v>
      </c>
      <c r="Y24" s="44">
        <v>0.09</v>
      </c>
      <c r="Z24" s="44">
        <v>0.09</v>
      </c>
      <c r="AA24" s="44">
        <v>0.09</v>
      </c>
      <c r="AB24" s="24">
        <v>40</v>
      </c>
      <c r="AC24" s="24"/>
      <c r="AD24" s="24"/>
      <c r="AE24" s="27">
        <v>31.536000000000001</v>
      </c>
      <c r="AF24" s="26">
        <v>0.9</v>
      </c>
      <c r="AG24" s="26"/>
      <c r="AH24" s="26"/>
      <c r="AI24" s="26"/>
      <c r="AJ24" s="26"/>
      <c r="AL24" t="s">
        <v>83</v>
      </c>
      <c r="AM24" t="str">
        <f t="shared" si="2"/>
        <v>P-TH-FB-PEA01</v>
      </c>
      <c r="AN24" t="str">
        <f t="shared" si="0"/>
        <v>PWR Pulverised peat supercritical new</v>
      </c>
      <c r="AO24" t="s">
        <v>84</v>
      </c>
      <c r="AP24" t="s">
        <v>2</v>
      </c>
      <c r="AQ24" t="s">
        <v>91</v>
      </c>
      <c r="AR24" s="1"/>
      <c r="AW24" s="24" t="s">
        <v>2756</v>
      </c>
    </row>
    <row r="25" spans="1:49">
      <c r="A25" s="24" t="s">
        <v>2783</v>
      </c>
      <c r="B25" s="24" t="s">
        <v>2942</v>
      </c>
      <c r="C25" s="24" t="s">
        <v>2942</v>
      </c>
      <c r="D25" s="25" t="str">
        <f t="shared" si="1"/>
        <v>PWR Supercritical fluidized bed peat new</v>
      </c>
      <c r="E25" s="25" t="s">
        <v>2821</v>
      </c>
      <c r="F25" s="24" t="s">
        <v>82</v>
      </c>
      <c r="G25" s="26">
        <v>0.42</v>
      </c>
      <c r="H25" s="26">
        <v>0.43</v>
      </c>
      <c r="I25" s="26">
        <v>0.45</v>
      </c>
      <c r="J25" s="26">
        <v>0.45</v>
      </c>
      <c r="K25" s="26">
        <v>0.45</v>
      </c>
      <c r="L25" s="24">
        <v>2019</v>
      </c>
      <c r="M25" s="24">
        <v>1900</v>
      </c>
      <c r="N25" s="24">
        <v>1900</v>
      </c>
      <c r="O25" s="24">
        <v>1900</v>
      </c>
      <c r="P25" s="24">
        <v>1900</v>
      </c>
      <c r="Q25" s="24">
        <v>1900</v>
      </c>
      <c r="R25" s="32">
        <v>38</v>
      </c>
      <c r="S25" s="32">
        <v>38</v>
      </c>
      <c r="T25" s="32">
        <v>38</v>
      </c>
      <c r="U25" s="32">
        <v>38</v>
      </c>
      <c r="V25" s="32">
        <v>38</v>
      </c>
      <c r="W25" s="44">
        <v>0.114</v>
      </c>
      <c r="X25" s="44">
        <v>0.114</v>
      </c>
      <c r="Y25" s="44">
        <v>0.114</v>
      </c>
      <c r="Z25" s="44">
        <v>0.114</v>
      </c>
      <c r="AA25" s="44">
        <v>0.114</v>
      </c>
      <c r="AB25" s="24">
        <v>40</v>
      </c>
      <c r="AC25" s="24"/>
      <c r="AD25" s="24"/>
      <c r="AE25" s="27">
        <v>31.536000000000001</v>
      </c>
      <c r="AF25" s="26">
        <v>0.85</v>
      </c>
      <c r="AG25" s="26"/>
      <c r="AH25" s="26"/>
      <c r="AI25" s="26"/>
      <c r="AJ25" s="26"/>
      <c r="AL25" t="s">
        <v>83</v>
      </c>
      <c r="AM25" t="str">
        <f t="shared" si="2"/>
        <v>P-TH-SC-PEA02</v>
      </c>
      <c r="AN25" t="str">
        <f t="shared" si="0"/>
        <v>PWR Supercritical fluidized bed peat new</v>
      </c>
      <c r="AO25" t="s">
        <v>84</v>
      </c>
      <c r="AP25" t="s">
        <v>2</v>
      </c>
      <c r="AQ25" t="s">
        <v>91</v>
      </c>
      <c r="AR25" s="1"/>
      <c r="AW25" s="24" t="s">
        <v>2757</v>
      </c>
    </row>
    <row r="26" spans="1:49">
      <c r="A26" s="24" t="s">
        <v>2785</v>
      </c>
      <c r="B26" s="24" t="s">
        <v>2942</v>
      </c>
      <c r="C26" s="24" t="s">
        <v>2942</v>
      </c>
      <c r="D26" s="25" t="str">
        <f t="shared" si="1"/>
        <v>PWR Integrated Gasification Combined Cycle coal new</v>
      </c>
      <c r="E26" s="25" t="s">
        <v>2820</v>
      </c>
      <c r="F26" s="24" t="s">
        <v>82</v>
      </c>
      <c r="G26" s="26">
        <v>0.45</v>
      </c>
      <c r="H26" s="26">
        <v>0.46</v>
      </c>
      <c r="I26" s="26">
        <v>0.46</v>
      </c>
      <c r="J26" s="26">
        <v>0.47</v>
      </c>
      <c r="K26" s="26">
        <v>0.5</v>
      </c>
      <c r="L26" s="24">
        <v>2019</v>
      </c>
      <c r="M26" s="24">
        <v>2500</v>
      </c>
      <c r="N26" s="24">
        <v>2300</v>
      </c>
      <c r="O26" s="24">
        <v>2300</v>
      </c>
      <c r="P26" s="24">
        <v>2300</v>
      </c>
      <c r="Q26" s="24">
        <v>2200</v>
      </c>
      <c r="R26" s="32">
        <v>62.5</v>
      </c>
      <c r="S26" s="32">
        <v>57.5</v>
      </c>
      <c r="T26" s="32">
        <v>57.5</v>
      </c>
      <c r="U26" s="32">
        <v>57.5</v>
      </c>
      <c r="V26" s="32">
        <v>55</v>
      </c>
      <c r="W26" s="44">
        <v>0.125</v>
      </c>
      <c r="X26" s="44">
        <v>0.115</v>
      </c>
      <c r="Y26" s="44">
        <v>0.115</v>
      </c>
      <c r="Z26" s="44">
        <v>0.115</v>
      </c>
      <c r="AA26" s="44">
        <v>0.11</v>
      </c>
      <c r="AB26" s="24">
        <v>35</v>
      </c>
      <c r="AC26" s="24"/>
      <c r="AD26" s="24"/>
      <c r="AE26" s="27">
        <v>31.536000000000001</v>
      </c>
      <c r="AF26" s="26">
        <v>0.9</v>
      </c>
      <c r="AG26" s="26"/>
      <c r="AH26" s="26"/>
      <c r="AI26" s="26"/>
      <c r="AJ26" s="26"/>
      <c r="AL26" t="s">
        <v>83</v>
      </c>
      <c r="AM26" t="str">
        <f t="shared" si="2"/>
        <v>P-TH-IGCC-COA03</v>
      </c>
      <c r="AN26" t="str">
        <f t="shared" si="0"/>
        <v>PWR Integrated Gasification Combined Cycle coal new</v>
      </c>
      <c r="AO26" t="s">
        <v>84</v>
      </c>
      <c r="AP26" t="s">
        <v>2</v>
      </c>
      <c r="AQ26" t="s">
        <v>91</v>
      </c>
      <c r="AR26" s="1"/>
      <c r="AW26" s="24" t="s">
        <v>2758</v>
      </c>
    </row>
    <row r="27" spans="1:49">
      <c r="A27" s="24" t="s">
        <v>2786</v>
      </c>
      <c r="B27" s="24" t="s">
        <v>2942</v>
      </c>
      <c r="C27" s="24" t="s">
        <v>2942</v>
      </c>
      <c r="D27" s="25" t="str">
        <f t="shared" si="1"/>
        <v>PWR Integrated Gasification Combined Cycle peat new</v>
      </c>
      <c r="E27" s="25" t="s">
        <v>2821</v>
      </c>
      <c r="F27" s="24" t="s">
        <v>82</v>
      </c>
      <c r="G27" s="26">
        <v>0.43</v>
      </c>
      <c r="H27" s="26">
        <v>0.45</v>
      </c>
      <c r="I27" s="26">
        <v>0.46</v>
      </c>
      <c r="J27" s="26">
        <v>0.47</v>
      </c>
      <c r="K27" s="26">
        <v>0.47</v>
      </c>
      <c r="L27" s="24">
        <v>2019</v>
      </c>
      <c r="M27" s="24">
        <v>3100</v>
      </c>
      <c r="N27" s="24">
        <v>3000</v>
      </c>
      <c r="O27" s="24">
        <v>3000</v>
      </c>
      <c r="P27" s="24">
        <v>3000</v>
      </c>
      <c r="Q27" s="24">
        <v>3000</v>
      </c>
      <c r="R27" s="32">
        <v>93</v>
      </c>
      <c r="S27" s="32">
        <v>90</v>
      </c>
      <c r="T27" s="32">
        <v>90</v>
      </c>
      <c r="U27" s="32">
        <v>90</v>
      </c>
      <c r="V27" s="32">
        <v>90</v>
      </c>
      <c r="W27" s="44">
        <v>0.217</v>
      </c>
      <c r="X27" s="44">
        <v>0.21</v>
      </c>
      <c r="Y27" s="44">
        <v>0.21</v>
      </c>
      <c r="Z27" s="44">
        <v>0.21</v>
      </c>
      <c r="AA27" s="44">
        <v>0.21</v>
      </c>
      <c r="AB27" s="24">
        <v>35</v>
      </c>
      <c r="AC27" s="24"/>
      <c r="AD27" s="24"/>
      <c r="AE27" s="27">
        <v>31.536000000000001</v>
      </c>
      <c r="AF27" s="26">
        <v>0.9</v>
      </c>
      <c r="AG27" s="26"/>
      <c r="AH27" s="26"/>
      <c r="AI27" s="26"/>
      <c r="AJ27" s="26"/>
      <c r="AL27" t="s">
        <v>83</v>
      </c>
      <c r="AM27" t="str">
        <f t="shared" si="2"/>
        <v>P-TH-IGCC-PEA03</v>
      </c>
      <c r="AN27" t="str">
        <f t="shared" si="0"/>
        <v>PWR Integrated Gasification Combined Cycle peat new</v>
      </c>
      <c r="AO27" t="s">
        <v>84</v>
      </c>
      <c r="AP27" t="s">
        <v>2</v>
      </c>
      <c r="AQ27" t="s">
        <v>91</v>
      </c>
      <c r="AR27" s="1"/>
      <c r="AW27" s="24" t="s">
        <v>2759</v>
      </c>
    </row>
    <row r="28" spans="1:49">
      <c r="A28" s="108" t="s">
        <v>2797</v>
      </c>
      <c r="B28" s="24" t="s">
        <v>2941</v>
      </c>
      <c r="C28" s="24" t="s">
        <v>2942</v>
      </c>
      <c r="D28" s="108" t="str">
        <f t="shared" si="1"/>
        <v>PWR CCGT advanced CCS post combustion new</v>
      </c>
      <c r="E28" s="109" t="s">
        <v>2819</v>
      </c>
      <c r="F28" s="108" t="s">
        <v>82</v>
      </c>
      <c r="G28" s="110">
        <v>0.5</v>
      </c>
      <c r="H28" s="110">
        <v>0.52</v>
      </c>
      <c r="I28" s="110">
        <v>0.55000000000000004</v>
      </c>
      <c r="J28" s="110">
        <v>0.55000000000000004</v>
      </c>
      <c r="K28" s="110">
        <v>0.55000000000000004</v>
      </c>
      <c r="L28" s="108">
        <v>2030</v>
      </c>
      <c r="M28" s="28"/>
      <c r="N28" s="28"/>
      <c r="O28" s="28">
        <f>VLOOKUP($A28,ETRI_Cost!$A:$I,7,FALSE)</f>
        <v>1390</v>
      </c>
      <c r="P28" s="28">
        <f>VLOOKUP($A28,ETRI_Cost!$A:$I,8,FALSE)</f>
        <v>1310</v>
      </c>
      <c r="Q28" s="28">
        <f>VLOOKUP($A28,ETRI_Cost!$A:$I,9,FALSE)</f>
        <v>1280</v>
      </c>
      <c r="R28" s="111">
        <v>37.5</v>
      </c>
      <c r="S28" s="111">
        <v>37.5</v>
      </c>
      <c r="T28" s="111">
        <v>37.5</v>
      </c>
      <c r="U28" s="111">
        <v>37.5</v>
      </c>
      <c r="V28" s="111">
        <v>37.5</v>
      </c>
      <c r="W28" s="112">
        <v>0.06</v>
      </c>
      <c r="X28" s="112">
        <v>0.06</v>
      </c>
      <c r="Y28" s="112">
        <v>0.06</v>
      </c>
      <c r="Z28" s="112">
        <v>0.06</v>
      </c>
      <c r="AA28" s="112">
        <v>0.06</v>
      </c>
      <c r="AB28" s="108">
        <v>30</v>
      </c>
      <c r="AC28" s="108"/>
      <c r="AD28" s="108"/>
      <c r="AE28" s="113">
        <v>31.536000000000001</v>
      </c>
      <c r="AF28" s="110">
        <v>0.9</v>
      </c>
      <c r="AG28" s="110"/>
      <c r="AH28" s="110"/>
      <c r="AI28" s="110"/>
      <c r="AJ28" s="110"/>
      <c r="AL28" t="s">
        <v>83</v>
      </c>
      <c r="AM28" t="str">
        <f t="shared" si="2"/>
        <v>*P-TH-CCGT-GAS-CCS04</v>
      </c>
      <c r="AN28" t="str">
        <f t="shared" si="0"/>
        <v>PWR CCGT advanced CCS post combustion new</v>
      </c>
      <c r="AO28" t="s">
        <v>84</v>
      </c>
      <c r="AP28" t="s">
        <v>2</v>
      </c>
      <c r="AQ28" t="s">
        <v>91</v>
      </c>
      <c r="AR28" s="1"/>
      <c r="AW28" s="24" t="s">
        <v>2760</v>
      </c>
    </row>
    <row r="29" spans="1:49">
      <c r="A29" s="108" t="s">
        <v>2798</v>
      </c>
      <c r="B29" s="24" t="s">
        <v>2941</v>
      </c>
      <c r="C29" s="24" t="s">
        <v>2942</v>
      </c>
      <c r="D29" s="108" t="str">
        <f t="shared" si="1"/>
        <v>PWR Pulverised coal supercritical CCS post-combustion new</v>
      </c>
      <c r="E29" s="109" t="s">
        <v>2820</v>
      </c>
      <c r="F29" s="108" t="s">
        <v>82</v>
      </c>
      <c r="G29" s="110">
        <v>0.34</v>
      </c>
      <c r="H29" s="110">
        <v>0.35</v>
      </c>
      <c r="I29" s="110">
        <v>0.35</v>
      </c>
      <c r="J29" s="110">
        <v>0.38</v>
      </c>
      <c r="K29" s="110">
        <v>0.38</v>
      </c>
      <c r="L29" s="108">
        <v>2030</v>
      </c>
      <c r="M29" s="28"/>
      <c r="N29" s="28"/>
      <c r="O29" s="28">
        <f>VLOOKUP($A29,ETRI_Cost!$A:$I,7,FALSE)</f>
        <v>2740</v>
      </c>
      <c r="P29" s="28">
        <f>VLOOKUP($A29,ETRI_Cost!$A:$I,8,FALSE)</f>
        <v>2590</v>
      </c>
      <c r="Q29" s="28">
        <f>VLOOKUP($A29,ETRI_Cost!$A:$I,9,FALSE)</f>
        <v>2570</v>
      </c>
      <c r="R29" s="111">
        <v>75</v>
      </c>
      <c r="S29" s="111">
        <v>67.5</v>
      </c>
      <c r="T29" s="111">
        <v>63.75</v>
      </c>
      <c r="U29" s="111">
        <v>63.75</v>
      </c>
      <c r="V29" s="111">
        <v>63.75</v>
      </c>
      <c r="W29" s="112">
        <v>0.16500000000000001</v>
      </c>
      <c r="X29" s="112">
        <v>0.14849999999999999</v>
      </c>
      <c r="Y29" s="112">
        <v>0.14025000000000001</v>
      </c>
      <c r="Z29" s="112">
        <v>0.14025000000000001</v>
      </c>
      <c r="AA29" s="112">
        <v>0.14025000000000001</v>
      </c>
      <c r="AB29" s="108">
        <v>40</v>
      </c>
      <c r="AC29" s="108"/>
      <c r="AD29" s="108"/>
      <c r="AE29" s="113">
        <v>31.536000000000001</v>
      </c>
      <c r="AF29" s="110">
        <v>0.9</v>
      </c>
      <c r="AG29" s="110"/>
      <c r="AH29" s="110"/>
      <c r="AI29" s="110"/>
      <c r="AJ29" s="110"/>
      <c r="AL29" t="s">
        <v>83</v>
      </c>
      <c r="AM29" t="str">
        <f t="shared" si="2"/>
        <v>*P-TH-SC-COA-CCS04</v>
      </c>
      <c r="AN29" t="str">
        <f t="shared" si="0"/>
        <v>PWR Pulverised coal supercritical CCS post-combustion new</v>
      </c>
      <c r="AO29" t="s">
        <v>84</v>
      </c>
      <c r="AP29" t="s">
        <v>2</v>
      </c>
      <c r="AQ29" t="s">
        <v>91</v>
      </c>
      <c r="AR29" s="1"/>
      <c r="AW29" s="24" t="s">
        <v>2761</v>
      </c>
    </row>
    <row r="30" spans="1:49">
      <c r="A30" s="108" t="s">
        <v>2799</v>
      </c>
      <c r="B30" s="24" t="s">
        <v>2942</v>
      </c>
      <c r="C30" s="24" t="s">
        <v>2942</v>
      </c>
      <c r="D30" s="108" t="str">
        <f t="shared" si="1"/>
        <v>PWR Fluidised bed peat CCS post combustion new</v>
      </c>
      <c r="E30" s="109" t="s">
        <v>2821</v>
      </c>
      <c r="F30" s="108" t="s">
        <v>82</v>
      </c>
      <c r="G30" s="110">
        <v>0.31</v>
      </c>
      <c r="H30" s="110">
        <v>0.32</v>
      </c>
      <c r="I30" s="110">
        <v>0.34</v>
      </c>
      <c r="J30" s="110">
        <v>0.34</v>
      </c>
      <c r="K30" s="110">
        <v>0.34</v>
      </c>
      <c r="L30" s="108">
        <v>2030</v>
      </c>
      <c r="M30" s="108">
        <v>3500</v>
      </c>
      <c r="N30" s="108">
        <v>3500</v>
      </c>
      <c r="O30" s="108">
        <v>3500</v>
      </c>
      <c r="P30" s="108">
        <v>3500</v>
      </c>
      <c r="Q30" s="108">
        <v>3500</v>
      </c>
      <c r="R30" s="111">
        <v>87.5</v>
      </c>
      <c r="S30" s="111">
        <v>87.5</v>
      </c>
      <c r="T30" s="111">
        <v>87.5</v>
      </c>
      <c r="U30" s="111">
        <v>87.5</v>
      </c>
      <c r="V30" s="111">
        <v>87.5</v>
      </c>
      <c r="W30" s="112">
        <v>0.35</v>
      </c>
      <c r="X30" s="112">
        <v>0.35</v>
      </c>
      <c r="Y30" s="112">
        <v>0.35</v>
      </c>
      <c r="Z30" s="112">
        <v>0.35</v>
      </c>
      <c r="AA30" s="112">
        <v>0.35</v>
      </c>
      <c r="AB30" s="108">
        <v>40</v>
      </c>
      <c r="AC30" s="108"/>
      <c r="AD30" s="108"/>
      <c r="AE30" s="113">
        <v>31.536000000000001</v>
      </c>
      <c r="AF30" s="110">
        <v>0.85</v>
      </c>
      <c r="AG30" s="110"/>
      <c r="AH30" s="110"/>
      <c r="AI30" s="110"/>
      <c r="AJ30" s="110"/>
      <c r="AL30" t="s">
        <v>83</v>
      </c>
      <c r="AM30" t="str">
        <f t="shared" si="2"/>
        <v>*P-TH-FB-PEA-CCS04</v>
      </c>
      <c r="AN30" t="str">
        <f t="shared" si="0"/>
        <v>PWR Fluidised bed peat CCS post combustion new</v>
      </c>
      <c r="AO30" t="s">
        <v>84</v>
      </c>
      <c r="AP30" t="s">
        <v>2</v>
      </c>
      <c r="AQ30" t="s">
        <v>91</v>
      </c>
      <c r="AR30" s="1"/>
      <c r="AW30" s="24" t="s">
        <v>2762</v>
      </c>
    </row>
    <row r="31" spans="1:49">
      <c r="A31" s="108" t="s">
        <v>2800</v>
      </c>
      <c r="B31" s="24" t="s">
        <v>2941</v>
      </c>
      <c r="C31" s="24" t="s">
        <v>2942</v>
      </c>
      <c r="D31" s="108" t="str">
        <f t="shared" si="1"/>
        <v>PWR Pulverised coal supercritical CCS oxyfuel new</v>
      </c>
      <c r="E31" s="109" t="s">
        <v>2820</v>
      </c>
      <c r="F31" s="108" t="s">
        <v>82</v>
      </c>
      <c r="G31" s="110">
        <v>0.36</v>
      </c>
      <c r="H31" s="110">
        <v>0.37</v>
      </c>
      <c r="I31" s="110">
        <v>0.39</v>
      </c>
      <c r="J31" s="110">
        <v>0.4</v>
      </c>
      <c r="K31" s="110">
        <v>0.4</v>
      </c>
      <c r="L31" s="108">
        <v>2030</v>
      </c>
      <c r="M31" s="28"/>
      <c r="N31" s="28"/>
      <c r="O31" s="28">
        <f>VLOOKUP($A31,ETRI_Cost!$A:$I,7,FALSE)</f>
        <v>2690</v>
      </c>
      <c r="P31" s="28">
        <f>VLOOKUP($A31,ETRI_Cost!$A:$I,8,FALSE)</f>
        <v>2490</v>
      </c>
      <c r="Q31" s="28">
        <f>VLOOKUP($A31,ETRI_Cost!$A:$I,9,FALSE)</f>
        <v>2470</v>
      </c>
      <c r="R31" s="111">
        <v>75</v>
      </c>
      <c r="S31" s="111">
        <v>67.5</v>
      </c>
      <c r="T31" s="111">
        <v>63.75</v>
      </c>
      <c r="U31" s="111">
        <v>63.75</v>
      </c>
      <c r="V31" s="111">
        <v>63.75</v>
      </c>
      <c r="W31" s="112">
        <v>0.09</v>
      </c>
      <c r="X31" s="112">
        <v>8.1000000000000003E-2</v>
      </c>
      <c r="Y31" s="112">
        <v>7.6499999999999999E-2</v>
      </c>
      <c r="Z31" s="112">
        <v>7.6499999999999999E-2</v>
      </c>
      <c r="AA31" s="112">
        <v>7.6499999999999999E-2</v>
      </c>
      <c r="AB31" s="108">
        <v>40</v>
      </c>
      <c r="AC31" s="108"/>
      <c r="AD31" s="108"/>
      <c r="AE31" s="113">
        <v>31.536000000000001</v>
      </c>
      <c r="AF31" s="110">
        <v>0.9</v>
      </c>
      <c r="AG31" s="110"/>
      <c r="AH31" s="110"/>
      <c r="AI31" s="110"/>
      <c r="AJ31" s="110"/>
      <c r="AL31" t="s">
        <v>83</v>
      </c>
      <c r="AM31" t="str">
        <f t="shared" si="2"/>
        <v>*P-TH-SC-COA-CCS05</v>
      </c>
      <c r="AN31" t="str">
        <f t="shared" si="0"/>
        <v>PWR Pulverised coal supercritical CCS oxyfuel new</v>
      </c>
      <c r="AO31" t="s">
        <v>84</v>
      </c>
      <c r="AP31" t="s">
        <v>2</v>
      </c>
      <c r="AQ31" t="s">
        <v>91</v>
      </c>
      <c r="AR31" s="1"/>
      <c r="AW31" s="24" t="s">
        <v>2763</v>
      </c>
    </row>
    <row r="32" spans="1:49">
      <c r="A32" s="108" t="s">
        <v>2801</v>
      </c>
      <c r="B32" s="24" t="s">
        <v>2941</v>
      </c>
      <c r="C32" s="24" t="s">
        <v>2942</v>
      </c>
      <c r="D32" s="108" t="str">
        <f t="shared" si="1"/>
        <v>PWR IGCC coal CCS pre-combustion new</v>
      </c>
      <c r="E32" s="109" t="s">
        <v>2820</v>
      </c>
      <c r="F32" s="108" t="s">
        <v>82</v>
      </c>
      <c r="G32" s="110">
        <v>0.35</v>
      </c>
      <c r="H32" s="110">
        <v>0.37</v>
      </c>
      <c r="I32" s="110">
        <v>0.4</v>
      </c>
      <c r="J32" s="110">
        <v>0.41</v>
      </c>
      <c r="K32" s="110">
        <v>0.44</v>
      </c>
      <c r="L32" s="108">
        <v>2030</v>
      </c>
      <c r="M32" s="28"/>
      <c r="N32" s="28"/>
      <c r="O32" s="28">
        <f>VLOOKUP($A32,ETRI_Cost!$A:$I,7,FALSE)</f>
        <v>2540</v>
      </c>
      <c r="P32" s="28">
        <f>VLOOKUP($A32,ETRI_Cost!$A:$I,8,FALSE)</f>
        <v>2220</v>
      </c>
      <c r="Q32" s="28">
        <f>VLOOKUP($A32,ETRI_Cost!$A:$I,9,FALSE)</f>
        <v>2180</v>
      </c>
      <c r="R32" s="111">
        <v>93</v>
      </c>
      <c r="S32" s="111">
        <v>86.55</v>
      </c>
      <c r="T32" s="111">
        <v>84.75</v>
      </c>
      <c r="U32" s="111">
        <v>84.75</v>
      </c>
      <c r="V32" s="111">
        <v>84.75</v>
      </c>
      <c r="W32" s="112">
        <v>0.186</v>
      </c>
      <c r="X32" s="112">
        <v>0.1731</v>
      </c>
      <c r="Y32" s="112">
        <v>0.16950000000000001</v>
      </c>
      <c r="Z32" s="112">
        <v>0.16950000000000001</v>
      </c>
      <c r="AA32" s="112">
        <v>0.16950000000000001</v>
      </c>
      <c r="AB32" s="108">
        <v>35</v>
      </c>
      <c r="AC32" s="108"/>
      <c r="AD32" s="108"/>
      <c r="AE32" s="113">
        <v>31.536000000000001</v>
      </c>
      <c r="AF32" s="110">
        <v>0.9</v>
      </c>
      <c r="AG32" s="110"/>
      <c r="AH32" s="110"/>
      <c r="AI32" s="110"/>
      <c r="AJ32" s="110"/>
      <c r="AL32" t="s">
        <v>83</v>
      </c>
      <c r="AM32" t="str">
        <f t="shared" si="2"/>
        <v>*P-TH-IGCC-COA-CCS06</v>
      </c>
      <c r="AN32" t="str">
        <f t="shared" si="0"/>
        <v>PWR IGCC coal CCS pre-combustion new</v>
      </c>
      <c r="AO32" t="s">
        <v>84</v>
      </c>
      <c r="AP32" t="s">
        <v>2</v>
      </c>
      <c r="AQ32" t="s">
        <v>91</v>
      </c>
      <c r="AR32" s="1"/>
      <c r="AW32" s="24" t="s">
        <v>2764</v>
      </c>
    </row>
    <row r="33" spans="1:49">
      <c r="A33" s="108" t="s">
        <v>2802</v>
      </c>
      <c r="B33" s="24" t="s">
        <v>2941</v>
      </c>
      <c r="C33" s="24" t="s">
        <v>2942</v>
      </c>
      <c r="D33" s="108" t="str">
        <f t="shared" si="1"/>
        <v>PWR IGCC peat CCS pre combustion new</v>
      </c>
      <c r="E33" s="109" t="s">
        <v>2821</v>
      </c>
      <c r="F33" s="108" t="s">
        <v>82</v>
      </c>
      <c r="G33" s="110">
        <v>0.35</v>
      </c>
      <c r="H33" s="110">
        <v>0.37</v>
      </c>
      <c r="I33" s="110">
        <v>0.4</v>
      </c>
      <c r="J33" s="110">
        <v>0.41</v>
      </c>
      <c r="K33" s="110">
        <v>0.41</v>
      </c>
      <c r="L33" s="108">
        <v>2030</v>
      </c>
      <c r="M33" s="28"/>
      <c r="N33" s="28"/>
      <c r="O33" s="28">
        <f>VLOOKUP($A33,ETRI_Cost!$A:$I,7,FALSE)</f>
        <v>3870</v>
      </c>
      <c r="P33" s="28">
        <f>VLOOKUP($A33,ETRI_Cost!$A:$I,8,FALSE)</f>
        <v>3380</v>
      </c>
      <c r="Q33" s="28">
        <f>VLOOKUP($A33,ETRI_Cost!$A:$I,9,FALSE)</f>
        <v>3310</v>
      </c>
      <c r="R33" s="111">
        <v>103.5</v>
      </c>
      <c r="S33" s="111">
        <v>100.51</v>
      </c>
      <c r="T33" s="111">
        <v>100.51</v>
      </c>
      <c r="U33" s="111">
        <v>100.51</v>
      </c>
      <c r="V33" s="111">
        <v>100.51</v>
      </c>
      <c r="W33" s="112">
        <v>0.36</v>
      </c>
      <c r="X33" s="112">
        <v>0.34960000000000002</v>
      </c>
      <c r="Y33" s="112">
        <v>0.34960000000000002</v>
      </c>
      <c r="Z33" s="112">
        <v>0.34960000000000002</v>
      </c>
      <c r="AA33" s="112">
        <v>0.34960000000000002</v>
      </c>
      <c r="AB33" s="108">
        <v>35</v>
      </c>
      <c r="AC33" s="108"/>
      <c r="AD33" s="108"/>
      <c r="AE33" s="113">
        <v>31.536000000000001</v>
      </c>
      <c r="AF33" s="110">
        <v>0.9</v>
      </c>
      <c r="AG33" s="110"/>
      <c r="AH33" s="110"/>
      <c r="AI33" s="110"/>
      <c r="AJ33" s="110"/>
      <c r="AL33" t="s">
        <v>83</v>
      </c>
      <c r="AM33" t="str">
        <f t="shared" si="2"/>
        <v>*P-TH-IGCC-PEA-CCS05</v>
      </c>
      <c r="AN33" t="str">
        <f t="shared" si="0"/>
        <v>PWR IGCC peat CCS pre combustion new</v>
      </c>
      <c r="AO33" t="s">
        <v>84</v>
      </c>
      <c r="AP33" t="s">
        <v>2</v>
      </c>
      <c r="AQ33" t="s">
        <v>91</v>
      </c>
      <c r="AR33" s="1"/>
      <c r="AW33" s="24" t="s">
        <v>2765</v>
      </c>
    </row>
    <row r="34" spans="1:49">
      <c r="A34" s="24" t="s">
        <v>2788</v>
      </c>
      <c r="B34" s="24" t="s">
        <v>2942</v>
      </c>
      <c r="C34" s="24" t="s">
        <v>2942</v>
      </c>
      <c r="D34" s="25" t="str">
        <f t="shared" si="1"/>
        <v>PWR Biomass grate furnace steam turbine new</v>
      </c>
      <c r="E34" s="25" t="s">
        <v>2822</v>
      </c>
      <c r="F34" s="24" t="s">
        <v>82</v>
      </c>
      <c r="G34" s="26">
        <v>0.34</v>
      </c>
      <c r="H34" s="26">
        <v>0.35</v>
      </c>
      <c r="I34" s="26">
        <v>0.36</v>
      </c>
      <c r="J34" s="26">
        <v>0.38</v>
      </c>
      <c r="K34" s="26">
        <v>0.38</v>
      </c>
      <c r="L34" s="24">
        <v>2019</v>
      </c>
      <c r="M34" s="24">
        <v>2890</v>
      </c>
      <c r="N34" s="24">
        <v>2620</v>
      </c>
      <c r="O34" s="24">
        <v>2370</v>
      </c>
      <c r="P34" s="24">
        <v>2150</v>
      </c>
      <c r="Q34" s="24">
        <v>1950</v>
      </c>
      <c r="R34" s="32">
        <v>63.580000000000013</v>
      </c>
      <c r="S34" s="32">
        <v>57.640000000000008</v>
      </c>
      <c r="T34" s="32">
        <v>52.14</v>
      </c>
      <c r="U34" s="32">
        <v>47.3</v>
      </c>
      <c r="V34" s="32">
        <v>42.9</v>
      </c>
      <c r="W34" s="44">
        <v>0.10115</v>
      </c>
      <c r="X34" s="44">
        <v>9.1700000000000004E-2</v>
      </c>
      <c r="Y34" s="44">
        <v>8.2949999999999996E-2</v>
      </c>
      <c r="Z34" s="44">
        <v>7.5249999999999997E-2</v>
      </c>
      <c r="AA34" s="44">
        <v>6.8250000000000005E-2</v>
      </c>
      <c r="AB34" s="24">
        <v>25</v>
      </c>
      <c r="AC34" s="24"/>
      <c r="AD34" s="24"/>
      <c r="AE34" s="27">
        <v>31.536000000000001</v>
      </c>
      <c r="AF34" s="26">
        <v>0.9</v>
      </c>
      <c r="AG34" s="26"/>
      <c r="AH34" s="26"/>
      <c r="AI34" s="26"/>
      <c r="AJ34" s="26"/>
      <c r="AL34" t="s">
        <v>83</v>
      </c>
      <c r="AM34" t="str">
        <f t="shared" si="2"/>
        <v>P-RNW-FB-BIO01</v>
      </c>
      <c r="AN34" t="s">
        <v>134</v>
      </c>
      <c r="AO34" t="s">
        <v>84</v>
      </c>
      <c r="AP34" t="s">
        <v>2</v>
      </c>
      <c r="AQ34" t="s">
        <v>91</v>
      </c>
      <c r="AR34" s="1"/>
      <c r="AW34" s="24" t="s">
        <v>135</v>
      </c>
    </row>
    <row r="35" spans="1:49">
      <c r="A35" s="24" t="s">
        <v>2787</v>
      </c>
      <c r="B35" s="24" t="s">
        <v>2942</v>
      </c>
      <c r="C35" s="24" t="s">
        <v>2942</v>
      </c>
      <c r="D35" s="25" t="str">
        <f t="shared" si="1"/>
        <v>PWR Fluidised bed boiler (circulating or bubbling) plus steam turbine new</v>
      </c>
      <c r="E35" s="25" t="s">
        <v>2822</v>
      </c>
      <c r="F35" s="24" t="s">
        <v>82</v>
      </c>
      <c r="G35" s="26">
        <v>0.35</v>
      </c>
      <c r="H35" s="26">
        <v>0.36</v>
      </c>
      <c r="I35" s="26">
        <v>0.37</v>
      </c>
      <c r="J35" s="26">
        <v>0.38</v>
      </c>
      <c r="K35" s="26">
        <v>0.39</v>
      </c>
      <c r="L35" s="24">
        <v>2019</v>
      </c>
      <c r="M35" s="24">
        <v>2960</v>
      </c>
      <c r="N35" s="24">
        <v>2620</v>
      </c>
      <c r="O35" s="24">
        <v>2330</v>
      </c>
      <c r="P35" s="24">
        <v>2060</v>
      </c>
      <c r="Q35" s="24">
        <v>1830</v>
      </c>
      <c r="R35" s="32">
        <v>53.28</v>
      </c>
      <c r="S35" s="32">
        <v>47.16</v>
      </c>
      <c r="T35" s="32">
        <v>41.94</v>
      </c>
      <c r="U35" s="32">
        <v>37.08</v>
      </c>
      <c r="V35" s="32">
        <v>32.94</v>
      </c>
      <c r="W35" s="44">
        <v>0.11248000000000001</v>
      </c>
      <c r="X35" s="44">
        <v>9.9559999999999996E-2</v>
      </c>
      <c r="Y35" s="44">
        <v>8.8540000000000008E-2</v>
      </c>
      <c r="Z35" s="44">
        <v>7.8280000000000002E-2</v>
      </c>
      <c r="AA35" s="44">
        <v>6.9540000000000005E-2</v>
      </c>
      <c r="AB35" s="24">
        <v>25</v>
      </c>
      <c r="AC35" s="24"/>
      <c r="AD35" s="24"/>
      <c r="AE35" s="27">
        <v>31.536000000000001</v>
      </c>
      <c r="AF35" s="26">
        <v>0.9</v>
      </c>
      <c r="AG35" s="26"/>
      <c r="AH35" s="26"/>
      <c r="AI35" s="26"/>
      <c r="AJ35" s="26"/>
      <c r="AL35" t="s">
        <v>83</v>
      </c>
      <c r="AM35" t="str">
        <f t="shared" si="2"/>
        <v>P-RNW-ST-BIO02</v>
      </c>
      <c r="AN35" t="s">
        <v>136</v>
      </c>
      <c r="AO35" t="s">
        <v>84</v>
      </c>
      <c r="AP35" t="s">
        <v>2</v>
      </c>
      <c r="AQ35" t="s">
        <v>91</v>
      </c>
      <c r="AR35" s="1"/>
      <c r="AW35" s="24" t="s">
        <v>137</v>
      </c>
    </row>
    <row r="36" spans="1:49">
      <c r="A36" s="24" t="s">
        <v>2789</v>
      </c>
      <c r="B36" s="24" t="s">
        <v>2942</v>
      </c>
      <c r="C36" s="24" t="s">
        <v>2942</v>
      </c>
      <c r="D36" s="25" t="str">
        <f t="shared" si="1"/>
        <v>PWR Biomass IGCC new</v>
      </c>
      <c r="E36" s="25" t="s">
        <v>2822</v>
      </c>
      <c r="F36" s="24" t="s">
        <v>82</v>
      </c>
      <c r="G36" s="26">
        <v>0.35</v>
      </c>
      <c r="H36" s="26">
        <v>0.37</v>
      </c>
      <c r="I36" s="26">
        <v>0.43</v>
      </c>
      <c r="J36" s="26">
        <v>0.47</v>
      </c>
      <c r="K36" s="26">
        <v>0.48</v>
      </c>
      <c r="L36" s="24">
        <v>2019</v>
      </c>
      <c r="M36" s="24">
        <v>4810</v>
      </c>
      <c r="N36" s="24">
        <v>3810</v>
      </c>
      <c r="O36" s="24">
        <v>3140</v>
      </c>
      <c r="P36" s="24">
        <v>2840</v>
      </c>
      <c r="Q36" s="24">
        <v>2560</v>
      </c>
      <c r="R36" s="32">
        <v>105.82</v>
      </c>
      <c r="S36" s="32">
        <v>83.82</v>
      </c>
      <c r="T36" s="32">
        <v>69.080000000000013</v>
      </c>
      <c r="U36" s="32">
        <v>62.480000000000011</v>
      </c>
      <c r="V36" s="32">
        <v>56.32</v>
      </c>
      <c r="W36" s="44">
        <v>0.39441999999999999</v>
      </c>
      <c r="X36" s="44">
        <v>0.31241999999999998</v>
      </c>
      <c r="Y36" s="44">
        <v>0.25747999999999999</v>
      </c>
      <c r="Z36" s="44">
        <v>0.23287999999999998</v>
      </c>
      <c r="AA36" s="44">
        <v>0.20992</v>
      </c>
      <c r="AB36" s="24">
        <v>25</v>
      </c>
      <c r="AC36" s="24"/>
      <c r="AD36" s="24"/>
      <c r="AE36" s="27">
        <v>31.536000000000001</v>
      </c>
      <c r="AF36" s="26">
        <v>0.9</v>
      </c>
      <c r="AG36" s="26"/>
      <c r="AH36" s="26"/>
      <c r="AI36" s="26"/>
      <c r="AJ36" s="26"/>
      <c r="AL36" t="s">
        <v>83</v>
      </c>
      <c r="AM36" t="str">
        <f t="shared" si="2"/>
        <v>P-RNW-IGCC-BIO03</v>
      </c>
      <c r="AN36" t="s">
        <v>138</v>
      </c>
      <c r="AO36" t="s">
        <v>84</v>
      </c>
      <c r="AP36" t="s">
        <v>2</v>
      </c>
      <c r="AQ36" t="s">
        <v>91</v>
      </c>
      <c r="AR36" s="1"/>
      <c r="AW36" s="24" t="s">
        <v>139</v>
      </c>
    </row>
    <row r="37" spans="1:49">
      <c r="A37" s="24" t="s">
        <v>2790</v>
      </c>
      <c r="B37" s="24" t="s">
        <v>2941</v>
      </c>
      <c r="C37" s="24" t="s">
        <v>2942</v>
      </c>
      <c r="D37" s="25" t="str">
        <f t="shared" si="1"/>
        <v>PWR Anaerobic digestion new</v>
      </c>
      <c r="E37" s="25" t="s">
        <v>2822</v>
      </c>
      <c r="F37" s="24" t="s">
        <v>82</v>
      </c>
      <c r="G37" s="26">
        <v>0.36</v>
      </c>
      <c r="H37" s="26">
        <v>0.38</v>
      </c>
      <c r="I37" s="26">
        <v>0.4</v>
      </c>
      <c r="J37" s="26">
        <v>0.42</v>
      </c>
      <c r="K37" s="26">
        <v>0.45</v>
      </c>
      <c r="L37" s="24">
        <v>2019</v>
      </c>
      <c r="M37" s="28">
        <f>VLOOKUP($A37,ETRI_Cost!$A:$I,5,FALSE)</f>
        <v>3100</v>
      </c>
      <c r="N37" s="28">
        <f>VLOOKUP($A37,ETRI_Cost!$A:$I,6,FALSE)</f>
        <v>2860</v>
      </c>
      <c r="O37" s="28">
        <f>VLOOKUP($A37,ETRI_Cost!$A:$I,7,FALSE)</f>
        <v>2740</v>
      </c>
      <c r="P37" s="28">
        <f>VLOOKUP($A37,ETRI_Cost!$A:$I,8,FALSE)</f>
        <v>2630</v>
      </c>
      <c r="Q37" s="28">
        <f>VLOOKUP($A37,ETRI_Cost!$A:$I,9,FALSE)</f>
        <v>2510</v>
      </c>
      <c r="R37" s="32">
        <v>159.07999999999998</v>
      </c>
      <c r="S37" s="32">
        <v>130.38</v>
      </c>
      <c r="T37" s="32">
        <v>113.15999999999998</v>
      </c>
      <c r="U37" s="32">
        <v>103.32</v>
      </c>
      <c r="V37" s="32">
        <v>94.3</v>
      </c>
      <c r="W37" s="44">
        <v>0.12028</v>
      </c>
      <c r="X37" s="44">
        <v>9.8580000000000001E-2</v>
      </c>
      <c r="Y37" s="44">
        <v>8.5559999999999997E-2</v>
      </c>
      <c r="Z37" s="44">
        <v>7.8120000000000009E-2</v>
      </c>
      <c r="AA37" s="44">
        <v>7.1300000000000002E-2</v>
      </c>
      <c r="AB37" s="24">
        <v>20</v>
      </c>
      <c r="AC37" s="24"/>
      <c r="AD37" s="24"/>
      <c r="AE37" s="27">
        <v>31.536000000000001</v>
      </c>
      <c r="AF37" s="26">
        <v>0.9</v>
      </c>
      <c r="AG37" s="26"/>
      <c r="AH37" s="26"/>
      <c r="AI37" s="26"/>
      <c r="AJ37" s="26"/>
      <c r="AL37" t="s">
        <v>83</v>
      </c>
      <c r="AM37" t="str">
        <f t="shared" si="2"/>
        <v>P-RNW-AB-BIO04</v>
      </c>
      <c r="AN37" t="s">
        <v>140</v>
      </c>
      <c r="AO37" t="s">
        <v>84</v>
      </c>
      <c r="AP37" t="s">
        <v>2</v>
      </c>
      <c r="AQ37" t="s">
        <v>91</v>
      </c>
      <c r="AR37" s="1"/>
      <c r="AW37" s="24" t="s">
        <v>141</v>
      </c>
    </row>
    <row r="38" spans="1:49">
      <c r="A38" s="24" t="s">
        <v>2791</v>
      </c>
      <c r="B38" s="24" t="s">
        <v>2942</v>
      </c>
      <c r="C38" s="24" t="s">
        <v>2942</v>
      </c>
      <c r="D38" s="25" t="str">
        <f t="shared" si="1"/>
        <v>PWR Municipal solid waste incinerator new</v>
      </c>
      <c r="E38" s="25" t="s">
        <v>2823</v>
      </c>
      <c r="F38" s="24" t="s">
        <v>82</v>
      </c>
      <c r="G38" s="26">
        <v>0.27</v>
      </c>
      <c r="H38" s="26">
        <v>0.31</v>
      </c>
      <c r="I38" s="26">
        <v>0.34</v>
      </c>
      <c r="J38" s="26">
        <v>0.37</v>
      </c>
      <c r="K38" s="26">
        <v>0.42</v>
      </c>
      <c r="L38" s="24">
        <v>2019</v>
      </c>
      <c r="M38" s="24">
        <v>6080</v>
      </c>
      <c r="N38" s="24">
        <v>5630</v>
      </c>
      <c r="O38" s="24">
        <v>5240</v>
      </c>
      <c r="P38" s="24">
        <v>4870</v>
      </c>
      <c r="Q38" s="24">
        <v>4540</v>
      </c>
      <c r="R38" s="32">
        <v>182.4</v>
      </c>
      <c r="S38" s="32">
        <v>168.9</v>
      </c>
      <c r="T38" s="32">
        <v>157.19999999999999</v>
      </c>
      <c r="U38" s="32">
        <v>146.1</v>
      </c>
      <c r="V38" s="32">
        <v>136.19999999999999</v>
      </c>
      <c r="W38" s="44">
        <v>0.41952</v>
      </c>
      <c r="X38" s="44">
        <v>0.38847000000000004</v>
      </c>
      <c r="Y38" s="44">
        <v>0.36155999999999999</v>
      </c>
      <c r="Z38" s="44">
        <v>0.33603</v>
      </c>
      <c r="AA38" s="44">
        <v>0.31325999999999998</v>
      </c>
      <c r="AB38" s="24">
        <v>25</v>
      </c>
      <c r="AC38" s="24"/>
      <c r="AD38" s="24"/>
      <c r="AE38" s="27">
        <v>31.536000000000001</v>
      </c>
      <c r="AF38" s="26">
        <v>0.9</v>
      </c>
      <c r="AG38" s="26"/>
      <c r="AH38" s="26"/>
      <c r="AI38" s="26"/>
      <c r="AJ38" s="26"/>
      <c r="AL38" t="s">
        <v>83</v>
      </c>
      <c r="AM38" t="str">
        <f t="shared" si="2"/>
        <v>P-RNW-ST-MSW04</v>
      </c>
      <c r="AN38" t="s">
        <v>142</v>
      </c>
      <c r="AO38" t="s">
        <v>84</v>
      </c>
      <c r="AP38" t="s">
        <v>2</v>
      </c>
      <c r="AQ38" t="s">
        <v>91</v>
      </c>
      <c r="AR38" s="1"/>
      <c r="AW38" s="24" t="s">
        <v>143</v>
      </c>
    </row>
    <row r="39" spans="1:49">
      <c r="A39" s="24"/>
      <c r="B39" s="25"/>
      <c r="C39" s="25"/>
      <c r="D39" s="24"/>
      <c r="E39" s="26"/>
      <c r="F39" s="26"/>
      <c r="G39" s="26"/>
      <c r="H39" s="26"/>
      <c r="I39" s="26"/>
      <c r="J39" s="24"/>
      <c r="K39" s="24"/>
      <c r="L39" s="24"/>
      <c r="M39" s="24"/>
      <c r="N39" s="24"/>
      <c r="O39" s="24"/>
      <c r="P39" s="32"/>
      <c r="Q39" s="32"/>
      <c r="R39" s="32"/>
      <c r="S39" s="32"/>
      <c r="T39" s="32"/>
      <c r="U39" s="44"/>
      <c r="V39" s="44"/>
      <c r="W39" s="44"/>
      <c r="X39" s="44"/>
      <c r="Y39" s="44"/>
      <c r="Z39" s="24"/>
      <c r="AA39" s="24"/>
      <c r="AB39" s="24"/>
      <c r="AC39" s="27"/>
      <c r="AD39" s="26"/>
      <c r="AE39" s="26"/>
      <c r="AF39" s="26"/>
      <c r="AG39" s="26"/>
      <c r="AH39" s="26"/>
      <c r="AP39" s="1"/>
      <c r="AU39" s="24"/>
    </row>
    <row r="40" spans="1:49">
      <c r="A40" s="52"/>
      <c r="B40" s="53"/>
      <c r="C40" s="53"/>
      <c r="D40" s="52"/>
      <c r="E40" s="54"/>
      <c r="F40" s="54"/>
      <c r="G40" s="54"/>
      <c r="H40" s="54"/>
      <c r="I40" s="54"/>
      <c r="J40" s="52"/>
      <c r="K40" s="52"/>
      <c r="L40" s="52"/>
      <c r="M40" s="52"/>
      <c r="N40" s="52"/>
      <c r="O40" s="52"/>
      <c r="P40" s="55"/>
      <c r="Q40" s="55"/>
      <c r="R40" s="55"/>
      <c r="S40" s="55"/>
      <c r="T40" s="55"/>
      <c r="U40" s="56"/>
      <c r="V40" s="56"/>
      <c r="W40" s="56"/>
      <c r="X40" s="56"/>
      <c r="Y40" s="56"/>
      <c r="Z40" s="52"/>
      <c r="AA40" s="52"/>
      <c r="AB40" s="52"/>
      <c r="AC40" s="57"/>
      <c r="AD40" s="54"/>
      <c r="AE40" s="54"/>
      <c r="AF40" s="54"/>
      <c r="AG40" s="54"/>
      <c r="AH40" s="54"/>
    </row>
    <row r="41" spans="1:49">
      <c r="A41" t="s">
        <v>126</v>
      </c>
      <c r="B41" s="18"/>
      <c r="C41" s="18"/>
      <c r="E41" s="17"/>
      <c r="F41" s="17"/>
      <c r="G41" s="17"/>
      <c r="H41" s="17"/>
      <c r="I41" s="17"/>
      <c r="P41" s="58"/>
      <c r="Q41" s="58"/>
      <c r="R41" s="58"/>
      <c r="S41" s="58"/>
      <c r="T41" s="58"/>
      <c r="U41" s="59"/>
      <c r="V41" s="59"/>
      <c r="W41" s="59"/>
      <c r="X41" s="59"/>
      <c r="Y41" s="59"/>
      <c r="AC41" s="60"/>
      <c r="AD41" s="17"/>
      <c r="AE41" s="17"/>
      <c r="AF41" s="17"/>
      <c r="AG41" s="17"/>
      <c r="AH41" s="17"/>
    </row>
    <row r="42" spans="1:49">
      <c r="A42" s="1"/>
      <c r="B42" s="1"/>
      <c r="C42" s="1"/>
      <c r="D42" s="3" t="s">
        <v>2968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"/>
      <c r="Q42" s="1"/>
      <c r="R42" s="1"/>
      <c r="S42" s="1"/>
      <c r="U42" s="1"/>
      <c r="V42" s="1"/>
      <c r="W42" s="1"/>
      <c r="Y42" s="1"/>
      <c r="Z42" s="1"/>
      <c r="AJ42" s="3" t="s">
        <v>37</v>
      </c>
      <c r="AK42" s="8"/>
      <c r="AL42" s="9"/>
      <c r="AM42" s="9"/>
      <c r="AN42" s="9"/>
      <c r="AO42" s="9"/>
      <c r="AP42" s="9"/>
      <c r="AQ42" s="9"/>
    </row>
    <row r="43" spans="1:49" ht="26">
      <c r="A43" s="4" t="s">
        <v>17</v>
      </c>
      <c r="B43" s="5" t="s">
        <v>18</v>
      </c>
      <c r="C43" s="4" t="s">
        <v>19</v>
      </c>
      <c r="D43" s="4" t="s">
        <v>20</v>
      </c>
      <c r="E43" s="6" t="s">
        <v>75</v>
      </c>
      <c r="F43" s="6" t="s">
        <v>76</v>
      </c>
      <c r="G43" s="6" t="s">
        <v>77</v>
      </c>
      <c r="H43" s="6" t="s">
        <v>78</v>
      </c>
      <c r="I43" s="6" t="s">
        <v>79</v>
      </c>
      <c r="J43" s="7" t="s">
        <v>31</v>
      </c>
      <c r="K43" s="7" t="s">
        <v>21</v>
      </c>
      <c r="L43" s="7" t="s">
        <v>22</v>
      </c>
      <c r="M43" s="7" t="s">
        <v>23</v>
      </c>
      <c r="N43" s="7" t="s">
        <v>66</v>
      </c>
      <c r="O43" s="7" t="s">
        <v>67</v>
      </c>
      <c r="P43" s="7" t="s">
        <v>24</v>
      </c>
      <c r="Q43" s="7" t="s">
        <v>25</v>
      </c>
      <c r="R43" s="7" t="s">
        <v>26</v>
      </c>
      <c r="S43" s="7" t="s">
        <v>68</v>
      </c>
      <c r="T43" s="7" t="s">
        <v>69</v>
      </c>
      <c r="U43" s="7" t="s">
        <v>27</v>
      </c>
      <c r="V43" s="7" t="s">
        <v>28</v>
      </c>
      <c r="W43" s="7" t="s">
        <v>29</v>
      </c>
      <c r="X43" s="7" t="s">
        <v>70</v>
      </c>
      <c r="Y43" s="7" t="s">
        <v>71</v>
      </c>
      <c r="Z43" s="7" t="s">
        <v>30</v>
      </c>
      <c r="AA43" s="7" t="s">
        <v>72</v>
      </c>
      <c r="AB43" s="7" t="s">
        <v>73</v>
      </c>
      <c r="AC43" s="7" t="s">
        <v>32</v>
      </c>
      <c r="AD43" s="7" t="s">
        <v>128</v>
      </c>
      <c r="AE43" s="7" t="s">
        <v>129</v>
      </c>
      <c r="AF43" s="7" t="s">
        <v>130</v>
      </c>
      <c r="AG43" s="7" t="s">
        <v>131</v>
      </c>
      <c r="AH43" s="7" t="s">
        <v>132</v>
      </c>
      <c r="AJ43" s="5" t="s">
        <v>38</v>
      </c>
      <c r="AK43" s="5" t="s">
        <v>17</v>
      </c>
      <c r="AL43" s="5" t="s">
        <v>39</v>
      </c>
      <c r="AM43" s="5" t="s">
        <v>40</v>
      </c>
      <c r="AN43" s="5" t="s">
        <v>41</v>
      </c>
      <c r="AO43" s="5" t="s">
        <v>42</v>
      </c>
      <c r="AP43" s="5" t="s">
        <v>43</v>
      </c>
      <c r="AQ43" s="5" t="s">
        <v>44</v>
      </c>
    </row>
    <row r="44" spans="1:49" ht="26">
      <c r="A44" s="67" t="s">
        <v>33</v>
      </c>
      <c r="B44" s="67" t="s">
        <v>34</v>
      </c>
      <c r="C44" s="67" t="s">
        <v>35</v>
      </c>
      <c r="D44" s="67" t="s">
        <v>36</v>
      </c>
      <c r="E44" s="68" t="s">
        <v>80</v>
      </c>
      <c r="F44" s="68"/>
      <c r="G44" s="68"/>
      <c r="H44" s="68"/>
      <c r="I44" s="68"/>
      <c r="J44" s="69"/>
      <c r="K44" s="30" t="s">
        <v>127</v>
      </c>
      <c r="L44" s="69"/>
      <c r="M44" s="69"/>
      <c r="N44" s="69"/>
      <c r="O44" s="69"/>
      <c r="P44" s="30" t="s">
        <v>89</v>
      </c>
      <c r="Q44" s="69"/>
      <c r="R44" s="69"/>
      <c r="S44" s="69"/>
      <c r="T44" s="69"/>
      <c r="U44" s="31" t="s">
        <v>90</v>
      </c>
      <c r="V44" s="31"/>
      <c r="W44" s="31"/>
      <c r="X44" s="31"/>
      <c r="Y44" s="31"/>
      <c r="Z44" s="302" t="s">
        <v>74</v>
      </c>
      <c r="AA44" s="302"/>
      <c r="AB44" s="302"/>
      <c r="AC44" s="69"/>
      <c r="AD44" s="30" t="s">
        <v>1</v>
      </c>
      <c r="AE44" s="30"/>
      <c r="AF44" s="30"/>
      <c r="AG44" s="30"/>
      <c r="AH44" s="30"/>
      <c r="AJ44" s="10" t="s">
        <v>45</v>
      </c>
      <c r="AK44" s="10" t="s">
        <v>46</v>
      </c>
      <c r="AL44" s="10" t="s">
        <v>34</v>
      </c>
      <c r="AM44" s="10" t="s">
        <v>47</v>
      </c>
      <c r="AN44" s="10" t="s">
        <v>48</v>
      </c>
      <c r="AO44" s="10" t="s">
        <v>85</v>
      </c>
      <c r="AP44" s="10" t="s">
        <v>49</v>
      </c>
      <c r="AQ44" s="10" t="s">
        <v>50</v>
      </c>
    </row>
    <row r="45" spans="1:49">
      <c r="A45" s="61" t="s">
        <v>2826</v>
      </c>
      <c r="B45" s="62" t="s">
        <v>124</v>
      </c>
      <c r="C45" s="62" t="s">
        <v>2824</v>
      </c>
      <c r="D45" s="61" t="s">
        <v>82</v>
      </c>
      <c r="E45" s="63"/>
      <c r="F45" s="63">
        <v>0.42735000000000001</v>
      </c>
      <c r="G45" s="63"/>
      <c r="H45" s="63"/>
      <c r="I45" s="63"/>
      <c r="J45" s="61">
        <v>2030</v>
      </c>
      <c r="K45" s="64">
        <v>520.82330184680677</v>
      </c>
      <c r="L45" s="64">
        <v>515.50765998241911</v>
      </c>
      <c r="M45" s="64">
        <v>509.75361466529853</v>
      </c>
      <c r="N45" s="64">
        <v>504.71197495886901</v>
      </c>
      <c r="O45" s="61"/>
      <c r="P45" s="64"/>
      <c r="Q45" s="64"/>
      <c r="R45" s="64"/>
      <c r="S45" s="64"/>
      <c r="T45" s="64"/>
      <c r="U45" s="65"/>
      <c r="V45" s="65"/>
      <c r="W45" s="65"/>
      <c r="X45" s="65"/>
      <c r="Y45" s="65"/>
      <c r="Z45" s="61">
        <v>30</v>
      </c>
      <c r="AA45" s="61"/>
      <c r="AB45" s="61"/>
      <c r="AC45" s="66">
        <v>31.536000000000001</v>
      </c>
      <c r="AD45" s="63">
        <v>0.91200000000000003</v>
      </c>
      <c r="AE45" s="63"/>
      <c r="AF45" s="63"/>
      <c r="AG45" s="63"/>
      <c r="AH45" s="63"/>
      <c r="AJ45" t="s">
        <v>83</v>
      </c>
      <c r="AK45" t="str">
        <f>A45</f>
        <v>P-TH-OCGT-H2-01</v>
      </c>
      <c r="AL45" t="str">
        <f t="shared" ref="AL45:AL46" si="4">B45</f>
        <v>New Power Plant - Hydrogen Open Cycle Gas Turbine</v>
      </c>
      <c r="AM45" t="s">
        <v>84</v>
      </c>
      <c r="AN45" t="s">
        <v>2</v>
      </c>
      <c r="AO45" t="s">
        <v>91</v>
      </c>
      <c r="AP45" s="1"/>
    </row>
    <row r="46" spans="1:49">
      <c r="A46" s="61" t="s">
        <v>2827</v>
      </c>
      <c r="B46" s="47" t="s">
        <v>123</v>
      </c>
      <c r="C46" s="47" t="s">
        <v>2824</v>
      </c>
      <c r="D46" s="46" t="s">
        <v>82</v>
      </c>
      <c r="E46" s="48"/>
      <c r="F46" s="48">
        <v>0.59</v>
      </c>
      <c r="G46" s="48"/>
      <c r="H46" s="48"/>
      <c r="I46" s="48"/>
      <c r="J46" s="46">
        <v>2030</v>
      </c>
      <c r="K46" s="49">
        <v>700.29671746046984</v>
      </c>
      <c r="L46" s="49">
        <v>690.76686594620696</v>
      </c>
      <c r="M46" s="49">
        <v>680.45104729674722</v>
      </c>
      <c r="N46" s="49">
        <v>671.41242524198253</v>
      </c>
      <c r="O46" s="46"/>
      <c r="P46" s="49"/>
      <c r="Q46" s="49"/>
      <c r="R46" s="49"/>
      <c r="S46" s="49"/>
      <c r="T46" s="49"/>
      <c r="U46" s="45"/>
      <c r="V46" s="45"/>
      <c r="W46" s="45"/>
      <c r="X46" s="45"/>
      <c r="Y46" s="45"/>
      <c r="Z46" s="46">
        <v>35</v>
      </c>
      <c r="AA46" s="46"/>
      <c r="AB46" s="46"/>
      <c r="AC46" s="50">
        <v>31.536000000000001</v>
      </c>
      <c r="AD46" s="48">
        <v>0.91200000000000003</v>
      </c>
      <c r="AE46" s="48"/>
      <c r="AF46" s="48"/>
      <c r="AG46" s="48"/>
      <c r="AH46" s="48"/>
      <c r="AK46" t="str">
        <f>A46</f>
        <v>P-TH-CCGT-H2-02</v>
      </c>
      <c r="AL46" t="str">
        <f t="shared" si="4"/>
        <v>New Power Plant - Hydrogen Combined Cycle Gas Turbine</v>
      </c>
      <c r="AM46" t="s">
        <v>84</v>
      </c>
      <c r="AN46" t="s">
        <v>2</v>
      </c>
      <c r="AO46" t="s">
        <v>91</v>
      </c>
      <c r="AP46" s="1"/>
    </row>
  </sheetData>
  <mergeCells count="2">
    <mergeCell ref="AB5:AD5"/>
    <mergeCell ref="Z44:AB44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44F8-CE07-4512-B3E1-98625EE6EA5C}">
  <sheetPr codeName="Sheet6"/>
  <dimension ref="A1:AS16"/>
  <sheetViews>
    <sheetView zoomScaleNormal="100" workbookViewId="0">
      <selection activeCell="A7" sqref="A7"/>
    </sheetView>
  </sheetViews>
  <sheetFormatPr defaultColWidth="9.1796875" defaultRowHeight="14.5"/>
  <cols>
    <col min="1" max="1" width="12.1796875" bestFit="1" customWidth="1"/>
    <col min="2" max="2" width="14.81640625" bestFit="1" customWidth="1"/>
    <col min="3" max="3" width="46" bestFit="1" customWidth="1"/>
    <col min="4" max="4" width="8.453125" bestFit="1" customWidth="1"/>
    <col min="5" max="5" width="10.1796875" bestFit="1" customWidth="1"/>
    <col min="6" max="6" width="5" bestFit="1" customWidth="1"/>
    <col min="7" max="7" width="7.81640625" customWidth="1"/>
    <col min="8" max="8" width="11" bestFit="1" customWidth="1"/>
    <col min="9" max="9" width="10.1796875" bestFit="1" customWidth="1"/>
    <col min="10" max="10" width="11" bestFit="1" customWidth="1"/>
    <col min="11" max="11" width="12.81640625" bestFit="1" customWidth="1"/>
    <col min="12" max="12" width="13.81640625" customWidth="1"/>
    <col min="13" max="13" width="10" bestFit="1" customWidth="1"/>
    <col min="14" max="14" width="11.1796875" customWidth="1"/>
    <col min="15" max="15" width="13.1796875" customWidth="1"/>
    <col min="16" max="16" width="8.453125" bestFit="1" customWidth="1"/>
    <col min="17" max="17" width="10.81640625" customWidth="1"/>
    <col min="19" max="19" width="11.453125" customWidth="1"/>
    <col min="20" max="20" width="10.81640625" bestFit="1" customWidth="1"/>
    <col min="21" max="21" width="15" bestFit="1" customWidth="1"/>
    <col min="22" max="22" width="46" bestFit="1" customWidth="1"/>
    <col min="23" max="23" width="6.81640625" bestFit="1" customWidth="1"/>
    <col min="24" max="24" width="7.54296875" bestFit="1" customWidth="1"/>
    <col min="25" max="25" width="15.81640625" customWidth="1"/>
    <col min="26" max="26" width="16.1796875" customWidth="1"/>
    <col min="27" max="27" width="25.81640625" bestFit="1" customWidth="1"/>
  </cols>
  <sheetData>
    <row r="1" spans="1:45" ht="17.5">
      <c r="S1" s="135"/>
      <c r="T1" s="135"/>
      <c r="U1" s="136"/>
      <c r="V1" s="136"/>
      <c r="W1" s="137"/>
      <c r="X1" s="137"/>
      <c r="Y1" s="137"/>
      <c r="Z1" s="137"/>
      <c r="AA1" s="137"/>
    </row>
    <row r="2" spans="1:45" ht="19" thickBot="1">
      <c r="A2" s="138" t="s">
        <v>2841</v>
      </c>
      <c r="B2" s="139"/>
      <c r="C2" s="139"/>
      <c r="D2" s="1"/>
      <c r="G2" s="2" t="s">
        <v>2969</v>
      </c>
      <c r="H2" s="140"/>
      <c r="I2" s="140"/>
      <c r="J2" s="140"/>
      <c r="K2" s="140"/>
      <c r="L2" s="140"/>
      <c r="M2" s="140"/>
      <c r="N2" s="1"/>
      <c r="O2" s="1"/>
      <c r="P2" s="1"/>
      <c r="Q2" s="1"/>
      <c r="S2" s="137" t="s">
        <v>37</v>
      </c>
      <c r="T2" s="137"/>
      <c r="U2" s="137"/>
      <c r="V2" s="137"/>
      <c r="W2" s="137"/>
      <c r="X2" s="137"/>
      <c r="Y2" s="137"/>
      <c r="Z2" s="137"/>
      <c r="AA2" s="137"/>
    </row>
    <row r="3" spans="1:45">
      <c r="A3" s="141" t="s">
        <v>2842</v>
      </c>
      <c r="B3" s="141" t="s">
        <v>17</v>
      </c>
      <c r="C3" s="141" t="s">
        <v>18</v>
      </c>
      <c r="D3" s="70" t="s">
        <v>19</v>
      </c>
      <c r="E3" s="70" t="s">
        <v>20</v>
      </c>
      <c r="F3" s="70" t="s">
        <v>2830</v>
      </c>
      <c r="G3" s="70" t="s">
        <v>54</v>
      </c>
      <c r="H3" s="70" t="s">
        <v>2972</v>
      </c>
      <c r="I3" s="70" t="s">
        <v>2971</v>
      </c>
      <c r="J3" s="70" t="s">
        <v>2970</v>
      </c>
      <c r="K3" s="142" t="s">
        <v>2843</v>
      </c>
      <c r="L3" s="142" t="s">
        <v>2844</v>
      </c>
      <c r="M3" s="142" t="s">
        <v>2845</v>
      </c>
      <c r="N3" s="142" t="s">
        <v>2846</v>
      </c>
      <c r="O3" s="142" t="s">
        <v>2847</v>
      </c>
      <c r="P3" s="142" t="s">
        <v>2978</v>
      </c>
      <c r="Q3" s="142" t="s">
        <v>2979</v>
      </c>
      <c r="S3" s="295" t="s">
        <v>38</v>
      </c>
      <c r="T3" s="296" t="s">
        <v>2842</v>
      </c>
      <c r="U3" s="143" t="s">
        <v>17</v>
      </c>
      <c r="V3" s="143" t="s">
        <v>39</v>
      </c>
      <c r="W3" s="143" t="s">
        <v>40</v>
      </c>
      <c r="X3" s="143" t="s">
        <v>41</v>
      </c>
      <c r="Y3" s="143" t="s">
        <v>42</v>
      </c>
      <c r="Z3" s="143" t="s">
        <v>43</v>
      </c>
      <c r="AA3" s="144" t="s">
        <v>44</v>
      </c>
    </row>
    <row r="4" spans="1:45" ht="26.5" thickBot="1">
      <c r="A4" s="145" t="s">
        <v>2848</v>
      </c>
      <c r="B4" s="145" t="s">
        <v>46</v>
      </c>
      <c r="C4" s="146" t="s">
        <v>34</v>
      </c>
      <c r="D4" s="146"/>
      <c r="E4" s="146"/>
      <c r="F4" s="146"/>
      <c r="G4" s="146"/>
      <c r="H4" s="146"/>
      <c r="I4" s="146"/>
      <c r="J4" s="146"/>
      <c r="K4" s="147" t="s">
        <v>2849</v>
      </c>
      <c r="L4" s="147" t="s">
        <v>2849</v>
      </c>
      <c r="M4" s="147" t="s">
        <v>2849</v>
      </c>
      <c r="N4" s="147" t="s">
        <v>2849</v>
      </c>
      <c r="O4" s="147" t="s">
        <v>2849</v>
      </c>
      <c r="P4" s="147" t="s">
        <v>2</v>
      </c>
      <c r="Q4" s="147" t="s">
        <v>2</v>
      </c>
      <c r="S4" s="141" t="s">
        <v>45</v>
      </c>
      <c r="T4" s="141" t="s">
        <v>2850</v>
      </c>
      <c r="U4" s="141" t="s">
        <v>46</v>
      </c>
      <c r="V4" s="141" t="s">
        <v>34</v>
      </c>
      <c r="W4" s="141" t="s">
        <v>47</v>
      </c>
      <c r="X4" s="141" t="s">
        <v>48</v>
      </c>
      <c r="Y4" s="141" t="s">
        <v>2851</v>
      </c>
      <c r="Z4" s="141" t="s">
        <v>2852</v>
      </c>
      <c r="AA4" s="141" t="s">
        <v>50</v>
      </c>
    </row>
    <row r="5" spans="1:45">
      <c r="A5" s="1" t="str">
        <f t="shared" ref="A5:C8" si="0">T5</f>
        <v>IE,National</v>
      </c>
      <c r="B5" s="1" t="str">
        <f t="shared" si="0"/>
        <v>IMPELC_FR-CI</v>
      </c>
      <c r="C5" s="1" t="str">
        <f t="shared" si="0"/>
        <v>Import of Electricity - France Celtic Interconnector</v>
      </c>
      <c r="D5" s="1"/>
      <c r="E5" s="1" t="s">
        <v>82</v>
      </c>
      <c r="F5" s="1">
        <v>2026</v>
      </c>
      <c r="G5" s="1" t="s">
        <v>2973</v>
      </c>
      <c r="H5" s="1">
        <v>2026</v>
      </c>
      <c r="I5" s="1">
        <v>100</v>
      </c>
      <c r="J5" s="1">
        <v>31.536000000000001</v>
      </c>
      <c r="K5" s="148">
        <v>12.775231427006712</v>
      </c>
      <c r="L5" s="148">
        <v>13.844655136887908</v>
      </c>
      <c r="M5" s="148">
        <v>20.699646648446279</v>
      </c>
      <c r="N5" s="148">
        <v>24.100186765447592</v>
      </c>
      <c r="O5" s="148">
        <v>27.970361406895258</v>
      </c>
      <c r="P5" s="60">
        <v>0.7</v>
      </c>
      <c r="Q5" s="60">
        <v>5</v>
      </c>
      <c r="S5" s="1" t="s">
        <v>2947</v>
      </c>
      <c r="T5" s="1" t="s">
        <v>2853</v>
      </c>
      <c r="U5" s="1" t="s">
        <v>2974</v>
      </c>
      <c r="V5" s="1" t="s">
        <v>2977</v>
      </c>
      <c r="W5" s="1" t="s">
        <v>84</v>
      </c>
      <c r="X5" s="1" t="s">
        <v>2</v>
      </c>
      <c r="Y5" s="1" t="s">
        <v>91</v>
      </c>
      <c r="Z5" s="1"/>
      <c r="AA5" s="1"/>
    </row>
    <row r="6" spans="1:45">
      <c r="A6" s="19" t="str">
        <f t="shared" si="0"/>
        <v>IE,National</v>
      </c>
      <c r="B6" s="19" t="str">
        <f t="shared" si="0"/>
        <v>EXPELC_FR-CI</v>
      </c>
      <c r="C6" s="19" t="str">
        <f t="shared" si="0"/>
        <v>Export of Electricity - France Celtic Interconnector</v>
      </c>
      <c r="D6" s="19" t="s">
        <v>82</v>
      </c>
      <c r="E6" s="19"/>
      <c r="F6" s="19">
        <v>2026</v>
      </c>
      <c r="G6" s="19" t="s">
        <v>2973</v>
      </c>
      <c r="H6" s="19">
        <v>2026</v>
      </c>
      <c r="I6" s="19">
        <v>100</v>
      </c>
      <c r="J6" s="19">
        <v>31.536000000000001</v>
      </c>
      <c r="K6" s="149">
        <v>8.9426619989046987</v>
      </c>
      <c r="L6" s="149">
        <v>9.6912585958215356</v>
      </c>
      <c r="M6" s="149">
        <v>14.489752653912394</v>
      </c>
      <c r="N6" s="149">
        <v>16.870130735813312</v>
      </c>
      <c r="O6" s="149">
        <v>19.579252984826677</v>
      </c>
      <c r="P6" s="124">
        <v>0.7</v>
      </c>
      <c r="Q6" s="124">
        <v>5</v>
      </c>
      <c r="S6" s="1" t="s">
        <v>2948</v>
      </c>
      <c r="T6" s="1" t="s">
        <v>2853</v>
      </c>
      <c r="U6" s="1" t="s">
        <v>2975</v>
      </c>
      <c r="V6" s="1" t="s">
        <v>2976</v>
      </c>
      <c r="W6" s="1" t="s">
        <v>84</v>
      </c>
      <c r="X6" s="1" t="s">
        <v>2</v>
      </c>
      <c r="Y6" s="1" t="s">
        <v>91</v>
      </c>
      <c r="Z6" s="1"/>
      <c r="AA6" s="1"/>
    </row>
    <row r="7" spans="1:45">
      <c r="A7" t="str">
        <f t="shared" si="0"/>
        <v>IE,National</v>
      </c>
      <c r="B7" t="str">
        <f t="shared" si="0"/>
        <v>IMPELC_UK-GL</v>
      </c>
      <c r="C7" t="str">
        <f t="shared" si="0"/>
        <v>Import of Electricity - UK Greenlink</v>
      </c>
      <c r="E7" t="s">
        <v>82</v>
      </c>
      <c r="F7">
        <v>2024</v>
      </c>
      <c r="G7" t="s">
        <v>2973</v>
      </c>
      <c r="H7">
        <v>2024</v>
      </c>
      <c r="I7">
        <v>100</v>
      </c>
      <c r="J7">
        <v>31.536000000000001</v>
      </c>
      <c r="K7" s="148">
        <v>12.775231427006712</v>
      </c>
      <c r="L7" s="148">
        <v>13.844655136887908</v>
      </c>
      <c r="M7" s="148">
        <v>20.699646648446279</v>
      </c>
      <c r="N7" s="148">
        <v>24.100186765447592</v>
      </c>
      <c r="O7" s="148">
        <v>27.970361406895258</v>
      </c>
      <c r="P7" s="60">
        <v>0.5</v>
      </c>
      <c r="Q7" s="60">
        <v>5</v>
      </c>
      <c r="S7" s="1" t="s">
        <v>2947</v>
      </c>
      <c r="T7" s="1" t="s">
        <v>2853</v>
      </c>
      <c r="U7" s="1" t="s">
        <v>2980</v>
      </c>
      <c r="V7" s="1" t="s">
        <v>2982</v>
      </c>
      <c r="W7" s="1" t="s">
        <v>84</v>
      </c>
      <c r="X7" s="1" t="s">
        <v>2</v>
      </c>
      <c r="Y7" s="1" t="s">
        <v>91</v>
      </c>
      <c r="Z7" s="1"/>
      <c r="AA7" s="1"/>
    </row>
    <row r="8" spans="1:45">
      <c r="A8" s="118" t="str">
        <f t="shared" si="0"/>
        <v>IE,National</v>
      </c>
      <c r="B8" s="118" t="str">
        <f t="shared" si="0"/>
        <v>EXPELC_UK-GL</v>
      </c>
      <c r="C8" s="118" t="str">
        <f t="shared" si="0"/>
        <v>Export of Electricity - UK Greenlink</v>
      </c>
      <c r="D8" s="118" t="s">
        <v>82</v>
      </c>
      <c r="E8" s="118"/>
      <c r="F8" s="118">
        <v>2024</v>
      </c>
      <c r="G8" s="118" t="s">
        <v>2973</v>
      </c>
      <c r="H8" s="118">
        <v>2024</v>
      </c>
      <c r="I8" s="118">
        <v>100</v>
      </c>
      <c r="J8" s="118">
        <v>31.536000000000001</v>
      </c>
      <c r="K8" s="149">
        <v>8.9426619989046987</v>
      </c>
      <c r="L8" s="149">
        <v>9.6912585958215356</v>
      </c>
      <c r="M8" s="149">
        <v>14.489752653912394</v>
      </c>
      <c r="N8" s="149">
        <v>16.870130735813312</v>
      </c>
      <c r="O8" s="149">
        <v>19.579252984826677</v>
      </c>
      <c r="P8" s="124">
        <v>0.5</v>
      </c>
      <c r="Q8" s="124">
        <v>5</v>
      </c>
      <c r="S8" s="1" t="s">
        <v>2948</v>
      </c>
      <c r="T8" s="1" t="s">
        <v>2853</v>
      </c>
      <c r="U8" s="1" t="s">
        <v>2981</v>
      </c>
      <c r="V8" s="1" t="s">
        <v>2983</v>
      </c>
      <c r="W8" s="1" t="s">
        <v>84</v>
      </c>
      <c r="X8" s="1" t="s">
        <v>2</v>
      </c>
      <c r="Y8" s="1" t="s">
        <v>91</v>
      </c>
      <c r="Z8" s="1"/>
      <c r="AA8" s="1"/>
    </row>
    <row r="10" spans="1:45">
      <c r="AL10" s="150"/>
      <c r="AM10" s="150"/>
      <c r="AN10" s="150"/>
      <c r="AO10" s="150"/>
      <c r="AP10" s="150"/>
      <c r="AQ10" s="150"/>
      <c r="AR10" s="150"/>
      <c r="AS10" s="150"/>
    </row>
    <row r="11" spans="1:45">
      <c r="AL11" s="151"/>
      <c r="AM11" s="151"/>
      <c r="AN11" s="151"/>
      <c r="AO11" s="151"/>
      <c r="AP11" s="151"/>
      <c r="AQ11" s="151"/>
      <c r="AR11" s="151"/>
      <c r="AS11" s="151"/>
    </row>
    <row r="12" spans="1:45">
      <c r="AL12" s="150"/>
      <c r="AM12" s="150"/>
      <c r="AN12" s="150"/>
      <c r="AO12" s="150"/>
      <c r="AP12" s="150"/>
      <c r="AQ12" s="150"/>
      <c r="AR12" s="150"/>
      <c r="AS12" s="150"/>
    </row>
    <row r="13" spans="1:45">
      <c r="AL13" s="150"/>
      <c r="AM13" s="150"/>
      <c r="AN13" s="150"/>
      <c r="AO13" s="150"/>
      <c r="AP13" s="150"/>
      <c r="AQ13" s="150"/>
      <c r="AR13" s="150"/>
      <c r="AS13" s="150"/>
    </row>
    <row r="14" spans="1:45">
      <c r="B14" s="150"/>
      <c r="C14" s="150"/>
      <c r="D14" s="150"/>
      <c r="E14" s="152"/>
      <c r="F14" s="152"/>
      <c r="G14" s="152"/>
      <c r="H14" s="152"/>
      <c r="I14" s="152"/>
      <c r="AL14" s="153"/>
      <c r="AM14" s="153"/>
      <c r="AN14" s="153"/>
      <c r="AO14" s="153"/>
      <c r="AP14" s="153"/>
      <c r="AQ14" s="153"/>
      <c r="AR14" s="153"/>
      <c r="AS14" s="153"/>
    </row>
    <row r="15" spans="1:45">
      <c r="B15" s="150"/>
      <c r="C15" s="150"/>
      <c r="D15" s="150"/>
      <c r="E15" s="152"/>
      <c r="F15" s="152"/>
      <c r="G15" s="152"/>
      <c r="H15" s="152"/>
      <c r="I15" s="152"/>
      <c r="AL15" s="153"/>
      <c r="AM15" s="153"/>
      <c r="AN15" s="153"/>
      <c r="AO15" s="153"/>
      <c r="AP15" s="153"/>
      <c r="AQ15" s="153"/>
      <c r="AR15" s="153"/>
      <c r="AS15" s="153"/>
    </row>
    <row r="16" spans="1:45">
      <c r="AL16" s="150"/>
      <c r="AM16" s="150"/>
      <c r="AN16" s="150"/>
      <c r="AO16" s="150"/>
      <c r="AP16" s="150"/>
      <c r="AQ16" s="150"/>
      <c r="AR16" s="150"/>
      <c r="AS16" s="15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3896-D2FC-4AFC-BD8E-F06AF6C56E4C}">
  <sheetPr codeName="Sheet3"/>
  <dimension ref="A1:AQ9"/>
  <sheetViews>
    <sheetView workbookViewId="0">
      <selection activeCell="T9" sqref="T9"/>
    </sheetView>
  </sheetViews>
  <sheetFormatPr defaultRowHeight="14.5"/>
  <cols>
    <col min="1" max="1" width="18.453125" customWidth="1"/>
    <col min="2" max="2" width="43.1796875" customWidth="1"/>
  </cols>
  <sheetData>
    <row r="1" spans="1:43">
      <c r="A1" s="1"/>
      <c r="B1" s="1"/>
      <c r="C1" s="1"/>
      <c r="D1" s="3" t="s">
        <v>2985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U1" s="1"/>
      <c r="V1" s="1"/>
      <c r="W1" s="1"/>
      <c r="Y1" s="1"/>
      <c r="Z1" s="1"/>
      <c r="AJ1" s="3" t="s">
        <v>37</v>
      </c>
      <c r="AK1" s="8"/>
      <c r="AL1" s="9"/>
      <c r="AM1" s="9"/>
      <c r="AN1" s="9"/>
      <c r="AO1" s="9"/>
      <c r="AP1" s="9"/>
      <c r="AQ1" s="9"/>
    </row>
    <row r="2" spans="1:43" ht="26">
      <c r="A2" s="70" t="s">
        <v>17</v>
      </c>
      <c r="B2" s="71" t="s">
        <v>18</v>
      </c>
      <c r="C2" s="70" t="s">
        <v>19</v>
      </c>
      <c r="D2" s="70" t="s">
        <v>20</v>
      </c>
      <c r="E2" s="72" t="s">
        <v>75</v>
      </c>
      <c r="F2" s="72" t="s">
        <v>76</v>
      </c>
      <c r="G2" s="72" t="s">
        <v>77</v>
      </c>
      <c r="H2" s="72" t="s">
        <v>78</v>
      </c>
      <c r="I2" s="72" t="s">
        <v>79</v>
      </c>
      <c r="J2" s="43" t="s">
        <v>31</v>
      </c>
      <c r="K2" s="43" t="s">
        <v>21</v>
      </c>
      <c r="L2" s="43" t="s">
        <v>2984</v>
      </c>
      <c r="M2" s="43" t="s">
        <v>23</v>
      </c>
      <c r="N2" s="43" t="s">
        <v>66</v>
      </c>
      <c r="O2" s="43" t="s">
        <v>67</v>
      </c>
      <c r="P2" s="43" t="s">
        <v>2987</v>
      </c>
      <c r="Q2" s="43" t="s">
        <v>25</v>
      </c>
      <c r="R2" s="43" t="s">
        <v>26</v>
      </c>
      <c r="S2" s="43" t="s">
        <v>68</v>
      </c>
      <c r="T2" s="43" t="s">
        <v>69</v>
      </c>
      <c r="U2" s="43" t="s">
        <v>27</v>
      </c>
      <c r="V2" s="43" t="s">
        <v>28</v>
      </c>
      <c r="W2" s="43" t="s">
        <v>29</v>
      </c>
      <c r="X2" s="43" t="s">
        <v>70</v>
      </c>
      <c r="Y2" s="43" t="s">
        <v>71</v>
      </c>
      <c r="Z2" s="43" t="s">
        <v>30</v>
      </c>
      <c r="AA2" s="43" t="s">
        <v>72</v>
      </c>
      <c r="AB2" s="43" t="s">
        <v>73</v>
      </c>
      <c r="AC2" s="43" t="s">
        <v>32</v>
      </c>
      <c r="AD2" s="43" t="s">
        <v>144</v>
      </c>
      <c r="AE2" s="43" t="s">
        <v>145</v>
      </c>
      <c r="AF2" s="43" t="s">
        <v>146</v>
      </c>
      <c r="AG2" s="43" t="s">
        <v>147</v>
      </c>
      <c r="AH2" s="43" t="s">
        <v>148</v>
      </c>
      <c r="AJ2" s="71" t="s">
        <v>38</v>
      </c>
      <c r="AK2" s="71" t="s">
        <v>17</v>
      </c>
      <c r="AL2" s="71" t="s">
        <v>39</v>
      </c>
      <c r="AM2" s="71" t="s">
        <v>40</v>
      </c>
      <c r="AN2" s="71" t="s">
        <v>41</v>
      </c>
      <c r="AO2" s="71" t="s">
        <v>42</v>
      </c>
      <c r="AP2" s="71" t="s">
        <v>43</v>
      </c>
      <c r="AQ2" s="71" t="s">
        <v>44</v>
      </c>
    </row>
    <row r="3" spans="1:43" ht="52">
      <c r="A3" s="38" t="s">
        <v>33</v>
      </c>
      <c r="B3" s="38" t="s">
        <v>34</v>
      </c>
      <c r="C3" s="38" t="s">
        <v>35</v>
      </c>
      <c r="D3" s="38" t="s">
        <v>36</v>
      </c>
      <c r="E3" s="39" t="s">
        <v>80</v>
      </c>
      <c r="F3" s="39"/>
      <c r="G3" s="39"/>
      <c r="H3" s="39"/>
      <c r="I3" s="39"/>
      <c r="J3" s="40"/>
      <c r="K3" s="16" t="s">
        <v>88</v>
      </c>
      <c r="L3" s="40"/>
      <c r="M3" s="40"/>
      <c r="N3" s="40"/>
      <c r="O3" s="40"/>
      <c r="P3" s="16" t="s">
        <v>89</v>
      </c>
      <c r="Q3" s="40"/>
      <c r="R3" s="40"/>
      <c r="S3" s="40"/>
      <c r="T3" s="40"/>
      <c r="U3" s="31" t="s">
        <v>90</v>
      </c>
      <c r="V3" s="31"/>
      <c r="W3" s="31"/>
      <c r="X3" s="31"/>
      <c r="Y3" s="31"/>
      <c r="Z3" s="297" t="s">
        <v>74</v>
      </c>
      <c r="AA3" s="297"/>
      <c r="AB3" s="297"/>
      <c r="AC3" s="40"/>
      <c r="AD3" s="30" t="s">
        <v>1</v>
      </c>
      <c r="AE3" s="30"/>
      <c r="AF3" s="30"/>
      <c r="AG3" s="30"/>
      <c r="AH3" s="30"/>
      <c r="AJ3" s="73" t="s">
        <v>45</v>
      </c>
      <c r="AK3" s="73" t="s">
        <v>46</v>
      </c>
      <c r="AL3" s="73" t="s">
        <v>34</v>
      </c>
      <c r="AM3" s="73" t="s">
        <v>47</v>
      </c>
      <c r="AN3" s="73" t="s">
        <v>48</v>
      </c>
      <c r="AO3" s="73" t="s">
        <v>85</v>
      </c>
      <c r="AP3" s="73" t="s">
        <v>49</v>
      </c>
      <c r="AQ3" s="73" t="s">
        <v>50</v>
      </c>
    </row>
    <row r="4" spans="1:43">
      <c r="A4" s="1" t="s">
        <v>2792</v>
      </c>
      <c r="B4" t="s">
        <v>149</v>
      </c>
      <c r="C4" t="s">
        <v>2825</v>
      </c>
      <c r="D4" t="s">
        <v>82</v>
      </c>
      <c r="E4">
        <v>1</v>
      </c>
      <c r="J4">
        <v>2019</v>
      </c>
      <c r="L4">
        <v>1526</v>
      </c>
      <c r="O4">
        <v>1317</v>
      </c>
      <c r="P4">
        <v>37.800000000000004</v>
      </c>
      <c r="T4">
        <f>P4*O4/L4</f>
        <v>32.622935779816515</v>
      </c>
      <c r="Z4">
        <v>20</v>
      </c>
      <c r="AA4">
        <v>22</v>
      </c>
      <c r="AB4">
        <v>25</v>
      </c>
      <c r="AC4">
        <v>31.536000000000001</v>
      </c>
      <c r="AJ4" t="s">
        <v>83</v>
      </c>
      <c r="AK4" s="1" t="s">
        <v>2792</v>
      </c>
      <c r="AL4" t="s">
        <v>149</v>
      </c>
      <c r="AM4" t="s">
        <v>84</v>
      </c>
      <c r="AN4" t="s">
        <v>2</v>
      </c>
      <c r="AO4" t="s">
        <v>91</v>
      </c>
      <c r="AP4" s="1"/>
    </row>
    <row r="5" spans="1:43">
      <c r="A5" s="1" t="s">
        <v>2793</v>
      </c>
      <c r="B5" t="s">
        <v>150</v>
      </c>
      <c r="C5" t="s">
        <v>2825</v>
      </c>
      <c r="D5" t="s">
        <v>82</v>
      </c>
      <c r="E5">
        <v>1</v>
      </c>
      <c r="J5">
        <v>2019</v>
      </c>
      <c r="L5">
        <v>1575</v>
      </c>
      <c r="O5">
        <v>1366</v>
      </c>
      <c r="P5">
        <v>37.800000000000004</v>
      </c>
      <c r="T5">
        <f t="shared" ref="T5:T8" si="0">P5*O5/L5</f>
        <v>32.783999999999999</v>
      </c>
      <c r="Z5">
        <v>20</v>
      </c>
      <c r="AA5">
        <v>22</v>
      </c>
      <c r="AB5">
        <v>25</v>
      </c>
      <c r="AC5">
        <v>31.536000000000001</v>
      </c>
      <c r="AJ5" t="s">
        <v>83</v>
      </c>
      <c r="AK5" s="1" t="s">
        <v>2793</v>
      </c>
      <c r="AL5" t="s">
        <v>150</v>
      </c>
      <c r="AM5" t="s">
        <v>84</v>
      </c>
      <c r="AN5" t="s">
        <v>2</v>
      </c>
      <c r="AO5" t="s">
        <v>91</v>
      </c>
      <c r="AP5" s="1"/>
    </row>
    <row r="6" spans="1:43">
      <c r="A6" s="1" t="s">
        <v>2794</v>
      </c>
      <c r="B6" t="s">
        <v>151</v>
      </c>
      <c r="C6" t="s">
        <v>2825</v>
      </c>
      <c r="D6" t="s">
        <v>82</v>
      </c>
      <c r="E6">
        <v>1</v>
      </c>
      <c r="J6">
        <v>2019</v>
      </c>
      <c r="L6">
        <v>1662</v>
      </c>
      <c r="O6">
        <v>1451</v>
      </c>
      <c r="P6">
        <v>37.800000000000004</v>
      </c>
      <c r="T6">
        <f t="shared" si="0"/>
        <v>33.001083032490975</v>
      </c>
      <c r="Z6">
        <v>20</v>
      </c>
      <c r="AA6">
        <v>22</v>
      </c>
      <c r="AB6">
        <v>25</v>
      </c>
      <c r="AC6">
        <v>31.536000000000001</v>
      </c>
      <c r="AJ6" t="s">
        <v>83</v>
      </c>
      <c r="AK6" s="1" t="s">
        <v>2794</v>
      </c>
      <c r="AL6" t="s">
        <v>151</v>
      </c>
      <c r="AM6" t="s">
        <v>84</v>
      </c>
      <c r="AN6" t="s">
        <v>2</v>
      </c>
      <c r="AO6" t="s">
        <v>91</v>
      </c>
      <c r="AP6" s="1"/>
    </row>
    <row r="7" spans="1:43">
      <c r="A7" s="1" t="s">
        <v>2795</v>
      </c>
      <c r="B7" t="s">
        <v>152</v>
      </c>
      <c r="C7" t="s">
        <v>2825</v>
      </c>
      <c r="D7" t="s">
        <v>82</v>
      </c>
      <c r="E7">
        <v>1</v>
      </c>
      <c r="J7">
        <v>2019</v>
      </c>
      <c r="L7">
        <v>1853</v>
      </c>
      <c r="O7">
        <v>1641</v>
      </c>
      <c r="P7">
        <v>37.800000000000004</v>
      </c>
      <c r="T7">
        <f t="shared" si="0"/>
        <v>33.475337290879658</v>
      </c>
      <c r="Z7">
        <v>20</v>
      </c>
      <c r="AA7">
        <v>22</v>
      </c>
      <c r="AB7">
        <v>25</v>
      </c>
      <c r="AC7">
        <v>31.536000000000001</v>
      </c>
      <c r="AJ7" t="s">
        <v>83</v>
      </c>
      <c r="AK7" s="1" t="s">
        <v>2795</v>
      </c>
      <c r="AL7" t="s">
        <v>152</v>
      </c>
      <c r="AM7" t="s">
        <v>84</v>
      </c>
      <c r="AN7" t="s">
        <v>2</v>
      </c>
      <c r="AO7" t="s">
        <v>91</v>
      </c>
      <c r="AP7" s="1"/>
    </row>
    <row r="8" spans="1:43">
      <c r="A8" s="1" t="s">
        <v>2796</v>
      </c>
      <c r="B8" t="s">
        <v>153</v>
      </c>
      <c r="C8" t="s">
        <v>2825</v>
      </c>
      <c r="D8" t="s">
        <v>82</v>
      </c>
      <c r="E8">
        <v>1</v>
      </c>
      <c r="J8">
        <v>2019</v>
      </c>
      <c r="L8">
        <v>2303</v>
      </c>
      <c r="O8">
        <v>2088</v>
      </c>
      <c r="P8">
        <v>37.800000000000004</v>
      </c>
      <c r="T8">
        <f t="shared" si="0"/>
        <v>34.271124620060796</v>
      </c>
      <c r="Z8">
        <v>20</v>
      </c>
      <c r="AA8">
        <v>22</v>
      </c>
      <c r="AB8">
        <v>25</v>
      </c>
      <c r="AC8">
        <v>31.536000000000001</v>
      </c>
      <c r="AJ8" t="s">
        <v>83</v>
      </c>
      <c r="AK8" s="1" t="s">
        <v>2796</v>
      </c>
      <c r="AL8" t="s">
        <v>153</v>
      </c>
      <c r="AM8" t="s">
        <v>84</v>
      </c>
      <c r="AN8" t="s">
        <v>2</v>
      </c>
      <c r="AO8" t="s">
        <v>91</v>
      </c>
      <c r="AP8" s="1"/>
    </row>
    <row r="9" spans="1:43">
      <c r="A9" t="s">
        <v>2882</v>
      </c>
      <c r="B9" t="s">
        <v>2986</v>
      </c>
      <c r="C9" t="s">
        <v>2814</v>
      </c>
      <c r="D9" t="s">
        <v>82</v>
      </c>
      <c r="E9">
        <v>1</v>
      </c>
      <c r="J9">
        <v>2019</v>
      </c>
      <c r="L9" s="28">
        <f>3118</f>
        <v>3118</v>
      </c>
      <c r="N9" s="28"/>
      <c r="O9" s="28">
        <v>2827</v>
      </c>
      <c r="P9">
        <v>128.38999999999999</v>
      </c>
      <c r="Q9">
        <f>+P9</f>
        <v>128.38999999999999</v>
      </c>
      <c r="T9">
        <f>+Q9*O9/L9</f>
        <v>116.40748236048748</v>
      </c>
      <c r="Z9">
        <v>20</v>
      </c>
      <c r="AA9">
        <v>25</v>
      </c>
      <c r="AB9">
        <v>30</v>
      </c>
      <c r="AC9">
        <v>31.536000000000001</v>
      </c>
    </row>
  </sheetData>
  <mergeCells count="1">
    <mergeCell ref="Z3:AB3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4F4B-CACA-4597-95EE-C23E6F08AF0F}">
  <sheetPr codeName="Sheet4"/>
  <dimension ref="A1:AK1938"/>
  <sheetViews>
    <sheetView zoomScaleNormal="100" workbookViewId="0">
      <selection activeCell="U14" sqref="U14"/>
    </sheetView>
  </sheetViews>
  <sheetFormatPr defaultRowHeight="14.5"/>
  <cols>
    <col min="16" max="16" width="16.81640625" customWidth="1"/>
    <col min="17" max="17" width="14.81640625" customWidth="1"/>
    <col min="18" max="18" width="19" customWidth="1"/>
    <col min="19" max="19" width="11.1796875" bestFit="1" customWidth="1"/>
    <col min="24" max="24" width="20.81640625" customWidth="1"/>
    <col min="25" max="25" width="16.1796875" customWidth="1"/>
    <col min="31" max="31" width="25.81640625" customWidth="1"/>
  </cols>
  <sheetData>
    <row r="1" spans="1:37" ht="45.5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  <c r="AG1" s="104" t="s">
        <v>2754</v>
      </c>
    </row>
    <row r="2" spans="1:37" ht="29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  <c r="X2" s="99" t="s">
        <v>170</v>
      </c>
      <c r="Y2" s="100" t="s">
        <v>2749</v>
      </c>
      <c r="AG2">
        <v>2015</v>
      </c>
      <c r="AH2" s="104">
        <v>2020</v>
      </c>
      <c r="AI2">
        <v>2030</v>
      </c>
      <c r="AJ2">
        <v>2040</v>
      </c>
      <c r="AK2">
        <v>2050</v>
      </c>
    </row>
    <row r="3" spans="1:37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  <c r="X3" s="98">
        <v>3.45</v>
      </c>
      <c r="Y3" s="97">
        <v>493.72173913043474</v>
      </c>
      <c r="AA3" s="101" t="s">
        <v>2750</v>
      </c>
      <c r="AB3" s="102" t="s">
        <v>2751</v>
      </c>
      <c r="AC3" s="303" t="s">
        <v>2752</v>
      </c>
      <c r="AD3" s="303"/>
      <c r="AE3" s="103" t="s">
        <v>2753</v>
      </c>
      <c r="AG3" s="106">
        <f>ETRI_Cost!E43</f>
        <v>1350</v>
      </c>
      <c r="AH3" s="107">
        <f>ETRI_Cost!F45</f>
        <v>1290</v>
      </c>
      <c r="AI3" s="107">
        <f>ETRI_Cost!G45</f>
        <v>1190</v>
      </c>
      <c r="AJ3" s="107">
        <f>ETRI_Cost!H45</f>
        <v>1140</v>
      </c>
      <c r="AK3" s="107">
        <f>ETRI_Cost!I45</f>
        <v>1110</v>
      </c>
    </row>
    <row r="4" spans="1:37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  <c r="X4" s="98">
        <v>3.45</v>
      </c>
      <c r="Y4" s="97">
        <v>223.0173913043478</v>
      </c>
      <c r="AA4">
        <f>SUMIFS(X:X,Y:Y,"&gt;"&amp;AC4,Y:Y,"&lt;"&amp;AD4)/1000</f>
        <v>8.1111000000000004</v>
      </c>
      <c r="AB4" cm="1">
        <f t="array" ref="AB4">SUMPRODUCT(X:X,Y:Y,--(Y:Y&gt;AC4),--(Y:Y&lt;AD4))</f>
        <v>199028.82999999996</v>
      </c>
      <c r="AC4">
        <v>0</v>
      </c>
      <c r="AD4">
        <v>30</v>
      </c>
      <c r="AE4" cm="1">
        <f t="array" ref="AE4">SUMPRODUCT(X:X,Y:Y,--(Y:Y&gt;AC4),--(Y:Y&lt;AD4))/SUMIFS(X:X,Y:Y,"&gt;"&amp;AC4,Y:Y,"&lt;"&amp;AD4)</f>
        <v>24.53783457237612</v>
      </c>
      <c r="AG4" s="105">
        <f>AG3+$AE4</f>
        <v>1374.5378345723761</v>
      </c>
      <c r="AH4" s="105">
        <f t="shared" ref="AH4:AK4" si="0">AH3+$AE4</f>
        <v>1314.5378345723761</v>
      </c>
      <c r="AI4" s="105">
        <f t="shared" si="0"/>
        <v>1214.5378345723761</v>
      </c>
      <c r="AJ4" s="105">
        <f t="shared" si="0"/>
        <v>1164.5378345723761</v>
      </c>
      <c r="AK4" s="105">
        <f t="shared" si="0"/>
        <v>1134.5378345723761</v>
      </c>
    </row>
    <row r="5" spans="1:37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  <c r="X5" s="98">
        <v>3.45</v>
      </c>
      <c r="Y5" s="97">
        <v>432.62028985507243</v>
      </c>
      <c r="AA5">
        <f t="shared" ref="AA5:AA8" si="1">SUMIFS(X:X,Y:Y,"&gt;"&amp;AC5,Y:Y,"&lt;"&amp;AD5)/1000</f>
        <v>8.7322499999999987</v>
      </c>
      <c r="AB5" cm="1">
        <f t="array" ref="AB5">SUMPRODUCT(X:X,Y:Y,--(Y:Y&gt;AC5),--(Y:Y&lt;AD5))</f>
        <v>338735.63999999996</v>
      </c>
      <c r="AC5">
        <v>30</v>
      </c>
      <c r="AD5">
        <v>50</v>
      </c>
      <c r="AE5" cm="1">
        <f t="array" ref="AE5">SUMPRODUCT(X:X,Y:Y,--(Y:Y&gt;AC5),--(Y:Y&lt;AD5))/SUMIFS(X:X,Y:Y,"&gt;"&amp;AC5,Y:Y,"&lt;"&amp;AD5)</f>
        <v>38.791335566434768</v>
      </c>
      <c r="AG5" s="105">
        <f t="shared" ref="AG5:AG8" si="2">AG4+$AE5</f>
        <v>1413.3291701388109</v>
      </c>
      <c r="AH5" s="105">
        <f t="shared" ref="AH5:AH8" si="3">AH4+$AE5</f>
        <v>1353.3291701388109</v>
      </c>
      <c r="AI5" s="105">
        <f t="shared" ref="AI5:AI8" si="4">AI4+$AE5</f>
        <v>1253.3291701388109</v>
      </c>
      <c r="AJ5" s="105">
        <f t="shared" ref="AJ5:AJ8" si="5">AJ4+$AE5</f>
        <v>1203.3291701388109</v>
      </c>
      <c r="AK5" s="105">
        <f t="shared" ref="AK5:AK8" si="6">AK4+$AE5</f>
        <v>1173.3291701388109</v>
      </c>
    </row>
    <row r="6" spans="1:37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  <c r="X6" s="98">
        <v>3.45</v>
      </c>
      <c r="Y6" s="97">
        <v>463.17101449275361</v>
      </c>
      <c r="AA6">
        <f t="shared" si="1"/>
        <v>5.7896999999999919</v>
      </c>
      <c r="AB6" cm="1">
        <f t="array" ref="AB6">SUMPRODUCT(X:X,Y:Y,--(Y:Y&gt;AC6),--(Y:Y&lt;AD6))</f>
        <v>399230.18999999971</v>
      </c>
      <c r="AC6">
        <v>50</v>
      </c>
      <c r="AD6">
        <v>100</v>
      </c>
      <c r="AE6" cm="1">
        <f t="array" ref="AE6">SUMPRODUCT(X:X,Y:Y,--(Y:Y&gt;AC6),--(Y:Y&lt;AD6))/SUMIFS(X:X,Y:Y,"&gt;"&amp;AC6,Y:Y,"&lt;"&amp;AD6)</f>
        <v>68.955246385823145</v>
      </c>
      <c r="AG6" s="105">
        <f t="shared" si="2"/>
        <v>1482.284416524634</v>
      </c>
      <c r="AH6" s="105">
        <f t="shared" si="3"/>
        <v>1422.284416524634</v>
      </c>
      <c r="AI6" s="105">
        <f t="shared" si="4"/>
        <v>1322.284416524634</v>
      </c>
      <c r="AJ6" s="105">
        <f t="shared" si="5"/>
        <v>1272.284416524634</v>
      </c>
      <c r="AK6" s="105">
        <f t="shared" si="6"/>
        <v>1242.284416524634</v>
      </c>
    </row>
    <row r="7" spans="1:37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  <c r="X7" s="98">
        <v>3.45</v>
      </c>
      <c r="Y7" s="97">
        <v>402.0695652173913</v>
      </c>
      <c r="AA7">
        <f t="shared" si="1"/>
        <v>3.9776999999999654</v>
      </c>
      <c r="AB7" cm="1">
        <f t="array" ref="AB7">SUMPRODUCT(X:X,Y:Y,--(Y:Y&gt;AC7),--(Y:Y&lt;AD7))</f>
        <v>606529.78999999992</v>
      </c>
      <c r="AC7">
        <v>100</v>
      </c>
      <c r="AD7">
        <v>200</v>
      </c>
      <c r="AE7" cm="1">
        <f t="array" ref="AE7">SUMPRODUCT(X:X,Y:Y,--(Y:Y&gt;AC7),--(Y:Y&lt;AD7))/SUMIFS(X:X,Y:Y,"&gt;"&amp;AC7,Y:Y,"&lt;"&amp;AD7)</f>
        <v>152.48253764738547</v>
      </c>
      <c r="AG7" s="105">
        <f t="shared" si="2"/>
        <v>1634.7669541720195</v>
      </c>
      <c r="AH7" s="105">
        <f t="shared" si="3"/>
        <v>1574.7669541720195</v>
      </c>
      <c r="AI7" s="105">
        <f t="shared" si="4"/>
        <v>1474.7669541720195</v>
      </c>
      <c r="AJ7" s="105">
        <f t="shared" si="5"/>
        <v>1424.7669541720195</v>
      </c>
      <c r="AK7" s="105">
        <f t="shared" si="6"/>
        <v>1394.7669541720195</v>
      </c>
    </row>
    <row r="8" spans="1:37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  <c r="X8" s="98">
        <v>3.45</v>
      </c>
      <c r="Y8" s="97">
        <v>417.34492753623186</v>
      </c>
      <c r="AA8">
        <f t="shared" si="1"/>
        <v>3.9907499999999358</v>
      </c>
      <c r="AB8" cm="1">
        <f t="array" ref="AB8">SUMPRODUCT(X:X,Y:Y,--(Y:Y&gt;AC8),--(Y:Y&lt;AD8))</f>
        <v>1427308.2299999953</v>
      </c>
      <c r="AC8">
        <v>200</v>
      </c>
      <c r="AD8">
        <v>1000</v>
      </c>
      <c r="AE8" cm="1">
        <f t="array" ref="AE8">SUMPRODUCT(X:X,Y:Y,--(Y:Y&gt;AC8),--(Y:Y&lt;AD8))/SUMIFS(X:X,Y:Y,"&gt;"&amp;AC8,Y:Y,"&lt;"&amp;AD8)</f>
        <v>357.6541326818313</v>
      </c>
      <c r="AG8" s="105">
        <f t="shared" si="2"/>
        <v>1992.4210868538507</v>
      </c>
      <c r="AH8" s="105">
        <f t="shared" si="3"/>
        <v>1932.4210868538507</v>
      </c>
      <c r="AI8" s="105">
        <f t="shared" si="4"/>
        <v>1832.4210868538507</v>
      </c>
      <c r="AJ8" s="105">
        <f t="shared" si="5"/>
        <v>1782.4210868538507</v>
      </c>
      <c r="AK8" s="105">
        <f t="shared" si="6"/>
        <v>1752.4210868538507</v>
      </c>
    </row>
    <row r="9" spans="1:37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  <c r="X9" s="98">
        <v>3.45</v>
      </c>
      <c r="Y9" s="97">
        <v>388.42898550724635</v>
      </c>
    </row>
    <row r="10" spans="1:37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  <c r="X10" s="98">
        <v>3.45</v>
      </c>
      <c r="Y10" s="97">
        <v>243.38550724637682</v>
      </c>
    </row>
    <row r="11" spans="1:37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  <c r="X11" s="98">
        <v>3.45</v>
      </c>
      <c r="Y11" s="97">
        <v>223.0173913043478</v>
      </c>
    </row>
    <row r="12" spans="1:37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  <c r="X12" s="98">
        <v>3.45</v>
      </c>
      <c r="Y12" s="97">
        <v>486.94782608695647</v>
      </c>
    </row>
    <row r="13" spans="1:37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  <c r="X13" s="98">
        <v>3.45</v>
      </c>
      <c r="Y13" s="97">
        <v>502.22318840579703</v>
      </c>
    </row>
    <row r="14" spans="1:37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  <c r="X14" s="98">
        <v>3.45</v>
      </c>
      <c r="Y14" s="97">
        <v>223.0173913043478</v>
      </c>
    </row>
    <row r="15" spans="1:37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  <c r="X15" s="98">
        <v>3.45</v>
      </c>
      <c r="Y15" s="97">
        <v>386.79420289855074</v>
      </c>
    </row>
    <row r="16" spans="1:37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  <c r="X16" s="98">
        <v>3.45</v>
      </c>
      <c r="Y16" s="97">
        <v>486.94782608695647</v>
      </c>
    </row>
    <row r="17" spans="1:25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  <c r="X17" s="98">
        <v>3.45</v>
      </c>
      <c r="Y17" s="97">
        <v>432.62028985507243</v>
      </c>
    </row>
    <row r="18" spans="1:25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  <c r="X18" s="98">
        <v>3.45</v>
      </c>
      <c r="Y18" s="97">
        <v>432.62028985507243</v>
      </c>
    </row>
    <row r="19" spans="1:25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  <c r="X19" s="98">
        <v>3.45</v>
      </c>
      <c r="Y19" s="97">
        <v>478.44637681159418</v>
      </c>
    </row>
    <row r="20" spans="1:25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  <c r="X20" s="98">
        <v>3.45</v>
      </c>
      <c r="Y20" s="97">
        <v>161.91304347826085</v>
      </c>
    </row>
    <row r="21" spans="1:25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  <c r="X21" s="98">
        <v>3.45</v>
      </c>
      <c r="Y21" s="97">
        <v>263.75362318840581</v>
      </c>
    </row>
    <row r="22" spans="1:25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  <c r="X22" s="98">
        <v>3.45</v>
      </c>
      <c r="Y22" s="97">
        <v>386.79420289855074</v>
      </c>
    </row>
    <row r="23" spans="1:25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  <c r="X23" s="98">
        <v>3.45</v>
      </c>
      <c r="Y23" s="97">
        <v>463.17101449275361</v>
      </c>
    </row>
    <row r="24" spans="1:25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  <c r="X24" s="98">
        <v>3.45</v>
      </c>
      <c r="Y24" s="97">
        <v>263.75362318840581</v>
      </c>
    </row>
    <row r="25" spans="1:25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  <c r="X25" s="98">
        <v>3.45</v>
      </c>
      <c r="Y25" s="97">
        <v>202.64927536231883</v>
      </c>
    </row>
    <row r="26" spans="1:25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  <c r="X26" s="98">
        <v>3.45</v>
      </c>
      <c r="Y26" s="97">
        <v>609.15072463768115</v>
      </c>
    </row>
    <row r="27" spans="1:25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  <c r="X27" s="98">
        <v>3.45</v>
      </c>
      <c r="Y27" s="97">
        <v>578.6</v>
      </c>
    </row>
    <row r="28" spans="1:25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  <c r="X28" s="98">
        <v>3.45</v>
      </c>
      <c r="Y28" s="97">
        <v>202.64927536231883</v>
      </c>
    </row>
    <row r="29" spans="1:25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  <c r="X29" s="98">
        <v>3.45</v>
      </c>
      <c r="Y29" s="97">
        <v>447.89565217391305</v>
      </c>
    </row>
    <row r="30" spans="1:25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  <c r="X30" s="98">
        <v>3.45</v>
      </c>
      <c r="Y30" s="97">
        <v>447.89565217391305</v>
      </c>
    </row>
    <row r="31" spans="1:25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  <c r="X31" s="98">
        <v>3.45</v>
      </c>
      <c r="Y31" s="97">
        <v>447.89565217391305</v>
      </c>
    </row>
    <row r="32" spans="1:25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  <c r="X32" s="98">
        <v>3.45</v>
      </c>
      <c r="Y32" s="97">
        <v>463.17101449275361</v>
      </c>
    </row>
    <row r="33" spans="1:25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  <c r="X33" s="98">
        <v>3.45</v>
      </c>
      <c r="Y33" s="97">
        <v>447.89565217391305</v>
      </c>
    </row>
    <row r="34" spans="1:25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  <c r="X34" s="98">
        <v>3.45</v>
      </c>
      <c r="Y34" s="97">
        <v>478.44637681159418</v>
      </c>
    </row>
    <row r="35" spans="1:25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  <c r="X35" s="98">
        <v>3.45</v>
      </c>
      <c r="Y35" s="97">
        <v>432.62028985507243</v>
      </c>
    </row>
    <row r="36" spans="1:25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  <c r="X36" s="98">
        <v>3.45</v>
      </c>
      <c r="Y36" s="97">
        <v>432.62028985507243</v>
      </c>
    </row>
    <row r="37" spans="1:25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  <c r="X37" s="98">
        <v>3.45</v>
      </c>
      <c r="Y37" s="97">
        <v>493.72173913043474</v>
      </c>
    </row>
    <row r="38" spans="1:25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  <c r="X38" s="98">
        <v>3.45</v>
      </c>
      <c r="Y38" s="97">
        <v>202.64927536231883</v>
      </c>
    </row>
    <row r="39" spans="1:25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  <c r="X39" s="98">
        <v>3.45</v>
      </c>
      <c r="Y39" s="97">
        <v>161.91304347826085</v>
      </c>
    </row>
    <row r="40" spans="1:25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  <c r="X40" s="98">
        <v>3.45</v>
      </c>
      <c r="Y40" s="97">
        <v>478.44637681159418</v>
      </c>
    </row>
    <row r="41" spans="1:25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  <c r="X41" s="98">
        <v>3.45</v>
      </c>
      <c r="Y41" s="97">
        <v>402.0695652173913</v>
      </c>
    </row>
    <row r="42" spans="1:25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  <c r="X42" s="98">
        <v>3.45</v>
      </c>
      <c r="Y42" s="97">
        <v>402.0695652173913</v>
      </c>
    </row>
    <row r="43" spans="1:25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  <c r="X43" s="98">
        <v>3.45</v>
      </c>
      <c r="Y43" s="97">
        <v>493.72173913043474</v>
      </c>
    </row>
    <row r="44" spans="1:25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  <c r="X44" s="98">
        <v>3.45</v>
      </c>
      <c r="Y44" s="97">
        <v>141.54492753623188</v>
      </c>
    </row>
    <row r="45" spans="1:25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  <c r="X45" s="98">
        <v>3.45</v>
      </c>
      <c r="Y45" s="97">
        <v>161.91304347826085</v>
      </c>
    </row>
    <row r="46" spans="1:25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  <c r="X46" s="98">
        <v>3.45</v>
      </c>
      <c r="Y46" s="97">
        <v>202.64927536231883</v>
      </c>
    </row>
    <row r="47" spans="1:25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  <c r="X47" s="98">
        <v>3.45</v>
      </c>
      <c r="Y47" s="97">
        <v>202.64927536231883</v>
      </c>
    </row>
    <row r="48" spans="1:25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  <c r="X48" s="98">
        <v>3.45</v>
      </c>
      <c r="Y48" s="97">
        <v>223.0173913043478</v>
      </c>
    </row>
    <row r="49" spans="1:25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  <c r="X49" s="98">
        <v>3.45</v>
      </c>
      <c r="Y49" s="97">
        <v>417.34492753623186</v>
      </c>
    </row>
    <row r="50" spans="1:25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  <c r="X50" s="98">
        <v>3.45</v>
      </c>
      <c r="Y50" s="97">
        <v>263.75362318840581</v>
      </c>
    </row>
    <row r="51" spans="1:25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  <c r="X51" s="98">
        <v>3.45</v>
      </c>
      <c r="Y51" s="97">
        <v>202.64927536231883</v>
      </c>
    </row>
    <row r="52" spans="1:25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  <c r="X52" s="98">
        <v>3.45</v>
      </c>
      <c r="Y52" s="97">
        <v>615.92463768115942</v>
      </c>
    </row>
    <row r="53" spans="1:25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  <c r="X53" s="98">
        <v>3.45</v>
      </c>
      <c r="Y53" s="97">
        <v>493.72173913043474</v>
      </c>
    </row>
    <row r="54" spans="1:25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  <c r="X54" s="98">
        <v>3.45</v>
      </c>
      <c r="Y54" s="97">
        <v>493.72173913043474</v>
      </c>
    </row>
    <row r="55" spans="1:25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  <c r="X55" s="98">
        <v>3.45</v>
      </c>
      <c r="Y55" s="97">
        <v>432.62028985507243</v>
      </c>
    </row>
    <row r="56" spans="1:25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  <c r="X56" s="98">
        <v>3.45</v>
      </c>
      <c r="Y56" s="97">
        <v>223.0173913043478</v>
      </c>
    </row>
    <row r="57" spans="1:25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  <c r="X57" s="98">
        <v>3.45</v>
      </c>
      <c r="Y57" s="97">
        <v>202.64927536231883</v>
      </c>
    </row>
    <row r="58" spans="1:25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  <c r="X58" s="98">
        <v>3.45</v>
      </c>
      <c r="Y58" s="97">
        <v>478.44637681159418</v>
      </c>
    </row>
    <row r="59" spans="1:25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  <c r="X59" s="98">
        <v>3.45</v>
      </c>
      <c r="Y59" s="97">
        <v>493.72173913043474</v>
      </c>
    </row>
    <row r="60" spans="1:25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  <c r="X60" s="98">
        <v>3.45</v>
      </c>
      <c r="Y60" s="97">
        <v>447.89565217391305</v>
      </c>
    </row>
    <row r="61" spans="1:25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  <c r="X61" s="98">
        <v>3.45</v>
      </c>
      <c r="Y61" s="97">
        <v>386.79420289855074</v>
      </c>
    </row>
    <row r="62" spans="1:25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  <c r="X62" s="98">
        <v>3.45</v>
      </c>
      <c r="Y62" s="97">
        <v>777.17971014492753</v>
      </c>
    </row>
    <row r="63" spans="1:25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  <c r="X63" s="98">
        <v>3.45</v>
      </c>
      <c r="Y63" s="97">
        <v>777.17971014492753</v>
      </c>
    </row>
    <row r="64" spans="1:25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  <c r="X64" s="98">
        <v>3.45</v>
      </c>
      <c r="Y64" s="97">
        <v>731.35362318840578</v>
      </c>
    </row>
    <row r="65" spans="1:25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  <c r="X65" s="98">
        <v>3.45</v>
      </c>
      <c r="Y65" s="97">
        <v>182.28115942028987</v>
      </c>
    </row>
    <row r="66" spans="1:25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  <c r="X66" s="98">
        <v>3.45</v>
      </c>
      <c r="Y66" s="97">
        <v>432.62028985507243</v>
      </c>
    </row>
    <row r="67" spans="1:25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  <c r="X67" s="98">
        <v>3.45</v>
      </c>
      <c r="Y67" s="97">
        <v>432.62028985507243</v>
      </c>
    </row>
    <row r="68" spans="1:25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  <c r="X68" s="98">
        <v>3.45</v>
      </c>
      <c r="Y68" s="97">
        <v>578.6</v>
      </c>
    </row>
    <row r="69" spans="1:25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  <c r="X69" s="98">
        <v>3.45</v>
      </c>
      <c r="Y69" s="97">
        <v>223.0173913043478</v>
      </c>
    </row>
    <row r="70" spans="1:25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  <c r="X70" s="98">
        <v>3.45</v>
      </c>
      <c r="Y70" s="97">
        <v>478.44637681159418</v>
      </c>
    </row>
    <row r="71" spans="1:25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  <c r="X71" s="98">
        <v>3.45</v>
      </c>
      <c r="Y71" s="97">
        <v>493.72173913043474</v>
      </c>
    </row>
    <row r="72" spans="1:25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  <c r="X72" s="98">
        <v>3.45</v>
      </c>
      <c r="Y72" s="97">
        <v>493.72173913043474</v>
      </c>
    </row>
    <row r="73" spans="1:25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  <c r="X73" s="98">
        <v>3.45</v>
      </c>
      <c r="Y73" s="97">
        <v>508.99710144927536</v>
      </c>
    </row>
    <row r="74" spans="1:25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  <c r="X74" s="98">
        <v>3.45</v>
      </c>
      <c r="Y74" s="97">
        <v>141.54492753623188</v>
      </c>
    </row>
    <row r="75" spans="1:25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  <c r="X75" s="98">
        <v>3.45</v>
      </c>
      <c r="Y75" s="97">
        <v>463.17101449275361</v>
      </c>
    </row>
    <row r="76" spans="1:25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  <c r="X76" s="98">
        <v>3.45</v>
      </c>
      <c r="Y76" s="97">
        <v>624.42608695652166</v>
      </c>
    </row>
    <row r="77" spans="1:25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  <c r="X77" s="98">
        <v>3.45</v>
      </c>
      <c r="Y77" s="97">
        <v>639.70144927536228</v>
      </c>
    </row>
    <row r="78" spans="1:25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  <c r="X78" s="98">
        <v>3.45</v>
      </c>
      <c r="Y78" s="97">
        <v>670.25217391304352</v>
      </c>
    </row>
    <row r="79" spans="1:25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  <c r="X79" s="98">
        <v>3.45</v>
      </c>
      <c r="Y79" s="97">
        <v>263.75362318840581</v>
      </c>
    </row>
    <row r="80" spans="1:25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  <c r="X80" s="98">
        <v>3.45</v>
      </c>
      <c r="Y80" s="97">
        <v>593.87536231884053</v>
      </c>
    </row>
    <row r="81" spans="1:25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  <c r="X81" s="98">
        <v>3.45</v>
      </c>
      <c r="Y81" s="97">
        <v>593.87536231884053</v>
      </c>
    </row>
    <row r="82" spans="1:25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  <c r="X82" s="98">
        <v>3.45</v>
      </c>
      <c r="Y82" s="97">
        <v>417.34492753623186</v>
      </c>
    </row>
    <row r="83" spans="1:25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  <c r="X83" s="98">
        <v>3.45</v>
      </c>
      <c r="Y83" s="97">
        <v>386.79420289855074</v>
      </c>
    </row>
    <row r="84" spans="1:25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  <c r="X84" s="98">
        <v>3.45</v>
      </c>
      <c r="Y84" s="97">
        <v>386.79420289855074</v>
      </c>
    </row>
    <row r="85" spans="1:25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  <c r="X85" s="98">
        <v>3.45</v>
      </c>
      <c r="Y85" s="97">
        <v>202.64927536231883</v>
      </c>
    </row>
    <row r="86" spans="1:25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  <c r="X86" s="98">
        <v>3.45</v>
      </c>
      <c r="Y86" s="97">
        <v>463.17101449275361</v>
      </c>
    </row>
    <row r="87" spans="1:25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  <c r="X87" s="98">
        <v>3.45</v>
      </c>
      <c r="Y87" s="97">
        <v>402.0695652173913</v>
      </c>
    </row>
    <row r="88" spans="1:25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  <c r="X88" s="98">
        <v>3.45</v>
      </c>
      <c r="Y88" s="97">
        <v>432.62028985507243</v>
      </c>
    </row>
    <row r="89" spans="1:25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  <c r="X89" s="98">
        <v>3.45</v>
      </c>
      <c r="Y89" s="97">
        <v>182.28115942028987</v>
      </c>
    </row>
    <row r="90" spans="1:25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  <c r="X90" s="98">
        <v>3.45</v>
      </c>
      <c r="Y90" s="97">
        <v>161.91304347826085</v>
      </c>
    </row>
    <row r="91" spans="1:25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  <c r="X91" s="98">
        <v>3.45</v>
      </c>
      <c r="Y91" s="97">
        <v>202.64927536231883</v>
      </c>
    </row>
    <row r="92" spans="1:25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  <c r="X92" s="98">
        <v>3.45</v>
      </c>
      <c r="Y92" s="97">
        <v>471.6724637681159</v>
      </c>
    </row>
    <row r="93" spans="1:25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  <c r="X93" s="98">
        <v>3.45</v>
      </c>
      <c r="Y93" s="97">
        <v>471.6724637681159</v>
      </c>
    </row>
    <row r="94" spans="1:25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  <c r="X94" s="98">
        <v>3.45</v>
      </c>
      <c r="Y94" s="97">
        <v>417.34492753623186</v>
      </c>
    </row>
    <row r="95" spans="1:25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  <c r="X95" s="98">
        <v>3.45</v>
      </c>
      <c r="Y95" s="97">
        <v>141.54492753623188</v>
      </c>
    </row>
    <row r="96" spans="1:25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  <c r="X96" s="98">
        <v>3.45</v>
      </c>
      <c r="Y96" s="97">
        <v>182.28115942028987</v>
      </c>
    </row>
    <row r="97" spans="1:25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  <c r="X97" s="98">
        <v>3.45</v>
      </c>
      <c r="Y97" s="97">
        <v>223.0173913043478</v>
      </c>
    </row>
    <row r="98" spans="1:25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  <c r="X98" s="98">
        <v>3.45</v>
      </c>
      <c r="Y98" s="97">
        <v>417.34492753623186</v>
      </c>
    </row>
    <row r="99" spans="1:25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  <c r="X99" s="98">
        <v>3.45</v>
      </c>
      <c r="Y99" s="97">
        <v>578.6</v>
      </c>
    </row>
    <row r="100" spans="1:25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  <c r="X100" s="98">
        <v>3.45</v>
      </c>
      <c r="Y100" s="97">
        <v>563.32463768115952</v>
      </c>
    </row>
    <row r="101" spans="1:25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  <c r="X101" s="98">
        <v>3.45</v>
      </c>
      <c r="Y101" s="97">
        <v>402.0695652173913</v>
      </c>
    </row>
    <row r="102" spans="1:25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  <c r="X102" s="98">
        <v>6.9</v>
      </c>
      <c r="Y102" s="97">
        <v>274.02463768115945</v>
      </c>
    </row>
    <row r="103" spans="1:25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  <c r="X103" s="98">
        <v>3.45</v>
      </c>
      <c r="Y103" s="97">
        <v>578.6</v>
      </c>
    </row>
    <row r="104" spans="1:25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  <c r="X104" s="98">
        <v>3.45</v>
      </c>
      <c r="Y104" s="97">
        <v>402.0695652173913</v>
      </c>
    </row>
    <row r="105" spans="1:25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  <c r="X105" s="98">
        <v>3.45</v>
      </c>
      <c r="Y105" s="97">
        <v>243.38550724637682</v>
      </c>
    </row>
    <row r="106" spans="1:25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  <c r="X106" s="98">
        <v>3.45</v>
      </c>
      <c r="Y106" s="97">
        <v>417.34492753623186</v>
      </c>
    </row>
    <row r="107" spans="1:25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  <c r="X107" s="98">
        <v>3.45</v>
      </c>
      <c r="Y107" s="97">
        <v>417.34492753623186</v>
      </c>
    </row>
    <row r="108" spans="1:25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  <c r="X108" s="98">
        <v>3.45</v>
      </c>
      <c r="Y108" s="97">
        <v>182.28115942028987</v>
      </c>
    </row>
    <row r="109" spans="1:25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  <c r="X109" s="98">
        <v>3.45</v>
      </c>
      <c r="Y109" s="97">
        <v>223.0173913043478</v>
      </c>
    </row>
    <row r="110" spans="1:25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  <c r="X110" s="98">
        <v>3.45</v>
      </c>
      <c r="Y110" s="97">
        <v>202.64927536231883</v>
      </c>
    </row>
    <row r="111" spans="1:25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  <c r="X111" s="98">
        <v>3.45</v>
      </c>
      <c r="Y111" s="97">
        <v>182.28115942028987</v>
      </c>
    </row>
    <row r="112" spans="1:25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  <c r="X112" s="98">
        <v>3.45</v>
      </c>
      <c r="Y112" s="97">
        <v>161.91304347826085</v>
      </c>
    </row>
    <row r="113" spans="1:25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  <c r="X113" s="98">
        <v>3.45</v>
      </c>
      <c r="Y113" s="97">
        <v>263.75362318840581</v>
      </c>
    </row>
    <row r="114" spans="1:25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  <c r="X114" s="98">
        <v>3.45</v>
      </c>
      <c r="Y114" s="97">
        <v>486.94782608695647</v>
      </c>
    </row>
    <row r="115" spans="1:25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  <c r="X115" s="98">
        <v>6.9</v>
      </c>
      <c r="Y115" s="97">
        <v>199.9710144927536</v>
      </c>
    </row>
    <row r="116" spans="1:25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  <c r="X116" s="98">
        <v>3.45</v>
      </c>
      <c r="Y116" s="97">
        <v>471.6724637681159</v>
      </c>
    </row>
    <row r="117" spans="1:25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  <c r="X117" s="98">
        <v>3.45</v>
      </c>
      <c r="Y117" s="97">
        <v>578.6</v>
      </c>
    </row>
    <row r="118" spans="1:25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  <c r="X118" s="98">
        <v>3.45</v>
      </c>
      <c r="Y118" s="97">
        <v>563.32463768115952</v>
      </c>
    </row>
    <row r="119" spans="1:25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  <c r="X119" s="98">
        <v>3.45</v>
      </c>
      <c r="Y119" s="97">
        <v>486.94782608695647</v>
      </c>
    </row>
    <row r="120" spans="1:25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  <c r="X120" s="98">
        <v>3.45</v>
      </c>
      <c r="Y120" s="97">
        <v>471.6724637681159</v>
      </c>
    </row>
    <row r="121" spans="1:25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  <c r="X121" s="98">
        <v>3.45</v>
      </c>
      <c r="Y121" s="97">
        <v>243.38550724637682</v>
      </c>
    </row>
    <row r="122" spans="1:25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  <c r="X122" s="98">
        <v>6.9</v>
      </c>
      <c r="Y122" s="97">
        <v>243.47391304347823</v>
      </c>
    </row>
    <row r="123" spans="1:25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  <c r="X123" s="98">
        <v>3.45</v>
      </c>
      <c r="Y123" s="97">
        <v>548.04927536231889</v>
      </c>
    </row>
    <row r="124" spans="1:25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  <c r="X124" s="98">
        <v>3.45</v>
      </c>
      <c r="Y124" s="97">
        <v>563.32463768115952</v>
      </c>
    </row>
    <row r="125" spans="1:25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  <c r="X125" s="98">
        <v>3.45</v>
      </c>
      <c r="Y125" s="97">
        <v>532.77391304347827</v>
      </c>
    </row>
    <row r="126" spans="1:25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  <c r="X126" s="98">
        <v>3.45</v>
      </c>
      <c r="Y126" s="97">
        <v>563.32463768115952</v>
      </c>
    </row>
    <row r="127" spans="1:25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  <c r="X127" s="98">
        <v>3.45</v>
      </c>
      <c r="Y127" s="97">
        <v>517.49855072463765</v>
      </c>
    </row>
    <row r="128" spans="1:25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  <c r="X128" s="98">
        <v>3.45</v>
      </c>
      <c r="Y128" s="97">
        <v>517.49855072463765</v>
      </c>
    </row>
    <row r="129" spans="1:25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  <c r="X129" s="98">
        <v>3.45</v>
      </c>
      <c r="Y129" s="97">
        <v>517.49855072463765</v>
      </c>
    </row>
    <row r="130" spans="1:25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  <c r="X130" s="98">
        <v>3.45</v>
      </c>
      <c r="Y130" s="97">
        <v>263.75362318840581</v>
      </c>
    </row>
    <row r="131" spans="1:25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  <c r="X131" s="98">
        <v>3.45</v>
      </c>
      <c r="Y131" s="97">
        <v>202.64927536231883</v>
      </c>
    </row>
    <row r="132" spans="1:25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  <c r="X132" s="98">
        <v>3.45</v>
      </c>
      <c r="Y132" s="97">
        <v>563.32463768115952</v>
      </c>
    </row>
    <row r="133" spans="1:25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  <c r="X133" s="98">
        <v>3.45</v>
      </c>
      <c r="Y133" s="97">
        <v>417.34492753623186</v>
      </c>
    </row>
    <row r="134" spans="1:25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  <c r="X134" s="98">
        <v>3.45</v>
      </c>
      <c r="Y134" s="97">
        <v>402.0695652173913</v>
      </c>
    </row>
    <row r="135" spans="1:25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  <c r="X135" s="98">
        <v>3.45</v>
      </c>
      <c r="Y135" s="97">
        <v>386.79420289855074</v>
      </c>
    </row>
    <row r="136" spans="1:25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  <c r="X136" s="98">
        <v>3.45</v>
      </c>
      <c r="Y136" s="97">
        <v>402.0695652173913</v>
      </c>
    </row>
    <row r="137" spans="1:25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  <c r="X137" s="98">
        <v>3.45</v>
      </c>
      <c r="Y137" s="97">
        <v>493.72173913043474</v>
      </c>
    </row>
    <row r="138" spans="1:25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  <c r="X138" s="98">
        <v>3.45</v>
      </c>
      <c r="Y138" s="97">
        <v>263.75362318840581</v>
      </c>
    </row>
    <row r="139" spans="1:25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  <c r="X139" s="98">
        <v>3.45</v>
      </c>
      <c r="Y139" s="97">
        <v>202.64927536231883</v>
      </c>
    </row>
    <row r="140" spans="1:25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  <c r="X140" s="98">
        <v>3.45</v>
      </c>
      <c r="Y140" s="97">
        <v>417.34492753623186</v>
      </c>
    </row>
    <row r="141" spans="1:25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  <c r="X141" s="98">
        <v>3.45</v>
      </c>
      <c r="Y141" s="97">
        <v>243.38550724637682</v>
      </c>
    </row>
    <row r="142" spans="1:25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  <c r="X142" s="98">
        <v>3.45</v>
      </c>
      <c r="Y142" s="97">
        <v>554.82318840579717</v>
      </c>
    </row>
    <row r="143" spans="1:25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  <c r="X143" s="98">
        <v>3.45</v>
      </c>
      <c r="Y143" s="97">
        <v>263.75362318840581</v>
      </c>
    </row>
    <row r="144" spans="1:25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  <c r="X144" s="98">
        <v>3.45</v>
      </c>
      <c r="Y144" s="97">
        <v>202.64927536231883</v>
      </c>
    </row>
    <row r="145" spans="1:25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  <c r="X145" s="98">
        <v>3.45</v>
      </c>
      <c r="Y145" s="97">
        <v>493.72173913043474</v>
      </c>
    </row>
    <row r="146" spans="1:25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  <c r="X146" s="98">
        <v>3.45</v>
      </c>
      <c r="Y146" s="97">
        <v>182.28115942028987</v>
      </c>
    </row>
    <row r="147" spans="1:25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  <c r="X147" s="98">
        <v>3.45</v>
      </c>
      <c r="Y147" s="97">
        <v>202.64927536231883</v>
      </c>
    </row>
    <row r="148" spans="1:25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  <c r="X148" s="98">
        <v>3.45</v>
      </c>
      <c r="Y148" s="97">
        <v>402.0695652173913</v>
      </c>
    </row>
    <row r="149" spans="1:25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  <c r="X149" s="98">
        <v>3.45</v>
      </c>
      <c r="Y149" s="97">
        <v>223.0173913043478</v>
      </c>
    </row>
    <row r="150" spans="1:25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  <c r="X150" s="98">
        <v>3.45</v>
      </c>
      <c r="Y150" s="97">
        <v>243.38550724637682</v>
      </c>
    </row>
    <row r="151" spans="1:25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  <c r="X151" s="98">
        <v>3.45</v>
      </c>
      <c r="Y151" s="97">
        <v>463.17101449275361</v>
      </c>
    </row>
    <row r="152" spans="1:25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  <c r="X152" s="98">
        <v>3.45</v>
      </c>
      <c r="Y152" s="97">
        <v>223.0173913043478</v>
      </c>
    </row>
    <row r="153" spans="1:25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  <c r="X153" s="98">
        <v>3.45</v>
      </c>
      <c r="Y153" s="97">
        <v>263.75362318840581</v>
      </c>
    </row>
    <row r="154" spans="1:25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  <c r="X154" s="98">
        <v>3.45</v>
      </c>
      <c r="Y154" s="97">
        <v>263.75362318840581</v>
      </c>
    </row>
    <row r="155" spans="1:25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  <c r="X155" s="98">
        <v>3.45</v>
      </c>
      <c r="Y155" s="97">
        <v>486.94782608695647</v>
      </c>
    </row>
    <row r="156" spans="1:25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  <c r="X156" s="98">
        <v>3.45</v>
      </c>
      <c r="Y156" s="97">
        <v>386.79420289855074</v>
      </c>
    </row>
    <row r="157" spans="1:25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  <c r="X157" s="98">
        <v>6.9</v>
      </c>
      <c r="Y157" s="97">
        <v>121.69275362318841</v>
      </c>
    </row>
    <row r="158" spans="1:25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  <c r="X158" s="98">
        <v>3.45</v>
      </c>
      <c r="Y158" s="97">
        <v>386.79420289855074</v>
      </c>
    </row>
    <row r="159" spans="1:25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  <c r="X159" s="98">
        <v>3.45</v>
      </c>
      <c r="Y159" s="97">
        <v>263.75362318840581</v>
      </c>
    </row>
    <row r="160" spans="1:25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  <c r="X160" s="98">
        <v>3.45</v>
      </c>
      <c r="Y160" s="97">
        <v>417.34492753623186</v>
      </c>
    </row>
    <row r="161" spans="1:25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  <c r="X161" s="98">
        <v>3.45</v>
      </c>
      <c r="Y161" s="97">
        <v>609.15072463768115</v>
      </c>
    </row>
    <row r="162" spans="1:25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  <c r="X162" s="98">
        <v>3.45</v>
      </c>
      <c r="Y162" s="97">
        <v>402.0695652173913</v>
      </c>
    </row>
    <row r="163" spans="1:25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  <c r="X163" s="98">
        <v>3.45</v>
      </c>
      <c r="Y163" s="97">
        <v>417.34492753623186</v>
      </c>
    </row>
    <row r="164" spans="1:25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  <c r="X164" s="98">
        <v>3.45</v>
      </c>
      <c r="Y164" s="97">
        <v>263.75362318840581</v>
      </c>
    </row>
    <row r="165" spans="1:25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  <c r="X165" s="98">
        <v>3.45</v>
      </c>
      <c r="Y165" s="97">
        <v>532.77391304347827</v>
      </c>
    </row>
    <row r="166" spans="1:25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  <c r="X166" s="98">
        <v>3.45</v>
      </c>
      <c r="Y166" s="97">
        <v>202.64927536231883</v>
      </c>
    </row>
    <row r="167" spans="1:25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  <c r="X167" s="98">
        <v>3.45</v>
      </c>
      <c r="Y167" s="97">
        <v>263.75362318840581</v>
      </c>
    </row>
    <row r="168" spans="1:25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  <c r="X168" s="98">
        <v>3.45</v>
      </c>
      <c r="Y168" s="97">
        <v>263.75362318840581</v>
      </c>
    </row>
    <row r="169" spans="1:25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  <c r="X169" s="98">
        <v>3.45</v>
      </c>
      <c r="Y169" s="97">
        <v>182.28115942028987</v>
      </c>
    </row>
    <row r="170" spans="1:25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  <c r="X170" s="98">
        <v>3.45</v>
      </c>
      <c r="Y170" s="97">
        <v>202.64927536231883</v>
      </c>
    </row>
    <row r="171" spans="1:25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  <c r="X171" s="98">
        <v>3.45</v>
      </c>
      <c r="Y171" s="97">
        <v>223.0173913043478</v>
      </c>
    </row>
    <row r="172" spans="1:25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  <c r="X172" s="98">
        <v>3.45</v>
      </c>
      <c r="Y172" s="97">
        <v>243.38550724637682</v>
      </c>
    </row>
    <row r="173" spans="1:25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  <c r="X173" s="98">
        <v>3.45</v>
      </c>
      <c r="Y173" s="97">
        <v>463.17101449275361</v>
      </c>
    </row>
    <row r="174" spans="1:25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  <c r="X174" s="98">
        <v>20.700000000000003</v>
      </c>
      <c r="Y174" s="97">
        <v>100.80193236714973</v>
      </c>
    </row>
    <row r="175" spans="1:25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  <c r="X175" s="98">
        <v>17.25</v>
      </c>
      <c r="Y175" s="97">
        <v>44.603478260869572</v>
      </c>
    </row>
    <row r="176" spans="1:25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  <c r="X176" s="98">
        <v>6.9</v>
      </c>
      <c r="Y176" s="97">
        <v>322.17391304347825</v>
      </c>
    </row>
    <row r="177" spans="1:25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  <c r="X177" s="98">
        <v>3.45</v>
      </c>
      <c r="Y177" s="97">
        <v>493.72173913043474</v>
      </c>
    </row>
    <row r="178" spans="1:25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  <c r="X178" s="98">
        <v>31.05</v>
      </c>
      <c r="Y178" s="97">
        <v>61.366505636070855</v>
      </c>
    </row>
    <row r="179" spans="1:25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  <c r="X179" s="98">
        <v>110.4</v>
      </c>
      <c r="Y179" s="97">
        <v>29.324003623188403</v>
      </c>
    </row>
    <row r="180" spans="1:25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  <c r="X180" s="98">
        <v>3.45</v>
      </c>
      <c r="Y180" s="97">
        <v>263.75362318840581</v>
      </c>
    </row>
    <row r="181" spans="1:25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  <c r="X181" s="98">
        <v>10.350000000000001</v>
      </c>
      <c r="Y181" s="97">
        <v>141.98550724637678</v>
      </c>
    </row>
    <row r="182" spans="1:25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  <c r="X182" s="98">
        <v>10.350000000000001</v>
      </c>
      <c r="Y182" s="97">
        <v>152.16908212560384</v>
      </c>
    </row>
    <row r="183" spans="1:25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  <c r="X183" s="98">
        <v>37.950000000000003</v>
      </c>
      <c r="Y183" s="97">
        <v>35.550197628458498</v>
      </c>
    </row>
    <row r="184" spans="1:25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  <c r="X184" s="98">
        <v>48.300000000000011</v>
      </c>
      <c r="Y184" s="97">
        <v>40.838716356107653</v>
      </c>
    </row>
    <row r="185" spans="1:25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  <c r="X185" s="98">
        <v>48.300000000000011</v>
      </c>
      <c r="Y185" s="97">
        <v>62.661697722567276</v>
      </c>
    </row>
    <row r="186" spans="1:25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  <c r="X186" s="98">
        <v>72.45</v>
      </c>
      <c r="Y186" s="97">
        <v>59.23285024154589</v>
      </c>
    </row>
    <row r="187" spans="1:25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  <c r="X187" s="98">
        <v>55.2</v>
      </c>
      <c r="Y187" s="97">
        <v>62.467028985507241</v>
      </c>
    </row>
    <row r="188" spans="1:25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  <c r="X188" s="98">
        <v>13.8</v>
      </c>
      <c r="Y188" s="97">
        <v>76.122463768115935</v>
      </c>
    </row>
    <row r="189" spans="1:25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  <c r="X189" s="98">
        <v>17.25</v>
      </c>
      <c r="Y189" s="97">
        <v>64.971594202898558</v>
      </c>
    </row>
    <row r="190" spans="1:25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  <c r="X190" s="98">
        <v>106.95</v>
      </c>
      <c r="Y190" s="97">
        <v>36.183263207106123</v>
      </c>
    </row>
    <row r="191" spans="1:25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  <c r="X191" s="98">
        <v>10.350000000000001</v>
      </c>
      <c r="Y191" s="97">
        <v>157.26086956521738</v>
      </c>
    </row>
    <row r="192" spans="1:25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  <c r="X192" s="98">
        <v>44.85</v>
      </c>
      <c r="Y192" s="97">
        <v>42.484503901895209</v>
      </c>
    </row>
    <row r="193" spans="1:25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  <c r="X193" s="98">
        <v>6.9</v>
      </c>
      <c r="Y193" s="97">
        <v>276.34782608695645</v>
      </c>
    </row>
    <row r="194" spans="1:25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  <c r="X194" s="98">
        <v>124.2</v>
      </c>
      <c r="Y194" s="97">
        <v>47.095491143317233</v>
      </c>
    </row>
    <row r="195" spans="1:25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  <c r="X195" s="98">
        <v>20.700000000000003</v>
      </c>
      <c r="Y195" s="97">
        <v>54.142995169082113</v>
      </c>
    </row>
    <row r="196" spans="1:25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  <c r="X196" s="98">
        <v>17.25</v>
      </c>
      <c r="Y196" s="97">
        <v>44.603478260869572</v>
      </c>
    </row>
    <row r="197" spans="1:25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  <c r="X197" s="98">
        <v>3.45</v>
      </c>
      <c r="Y197" s="97">
        <v>263.75362318840581</v>
      </c>
    </row>
    <row r="198" spans="1:25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  <c r="X198" s="98">
        <v>79.350000000000009</v>
      </c>
      <c r="Y198" s="97">
        <v>32.828481411468175</v>
      </c>
    </row>
    <row r="199" spans="1:25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  <c r="X199" s="98">
        <v>13.8</v>
      </c>
      <c r="Y199" s="97">
        <v>146.11086956521737</v>
      </c>
    </row>
    <row r="200" spans="1:25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  <c r="X200" s="98">
        <v>3.45</v>
      </c>
      <c r="Y200" s="97">
        <v>402.0695652173913</v>
      </c>
    </row>
    <row r="201" spans="1:25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  <c r="X201" s="98">
        <v>55.2</v>
      </c>
      <c r="Y201" s="97">
        <v>51.009963768115938</v>
      </c>
    </row>
    <row r="202" spans="1:25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  <c r="X202" s="98">
        <v>6.9</v>
      </c>
      <c r="Y202" s="97">
        <v>111.5086956521739</v>
      </c>
    </row>
    <row r="203" spans="1:25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  <c r="X203" s="98">
        <v>144.9</v>
      </c>
      <c r="Y203" s="97">
        <v>29.946031746031746</v>
      </c>
    </row>
    <row r="204" spans="1:25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  <c r="X204" s="98">
        <v>6.9</v>
      </c>
      <c r="Y204" s="97">
        <v>238.15942028985506</v>
      </c>
    </row>
    <row r="205" spans="1:25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  <c r="X205" s="98">
        <v>10.350000000000001</v>
      </c>
      <c r="Y205" s="97">
        <v>177.62801932367148</v>
      </c>
    </row>
    <row r="206" spans="1:25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  <c r="X206" s="98">
        <v>103.5</v>
      </c>
      <c r="Y206" s="97">
        <v>27.205314009661837</v>
      </c>
    </row>
    <row r="207" spans="1:25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  <c r="X207" s="98">
        <v>27.6</v>
      </c>
      <c r="Y207" s="97">
        <v>25.475000000000001</v>
      </c>
    </row>
    <row r="208" spans="1:25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  <c r="X208" s="98">
        <v>20.700000000000003</v>
      </c>
      <c r="Y208" s="97">
        <v>67.72173913043477</v>
      </c>
    </row>
    <row r="209" spans="1:25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  <c r="X209" s="98">
        <v>127.65</v>
      </c>
      <c r="Y209" s="97">
        <v>33.992792792792791</v>
      </c>
    </row>
    <row r="210" spans="1:25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  <c r="X210" s="98">
        <v>51.75</v>
      </c>
      <c r="Y210" s="97">
        <v>34.042512077294681</v>
      </c>
    </row>
    <row r="211" spans="1:25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  <c r="X211" s="98">
        <v>69</v>
      </c>
      <c r="Y211" s="97">
        <v>37.752753623188411</v>
      </c>
    </row>
    <row r="212" spans="1:25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  <c r="X212" s="98">
        <v>82.800000000000011</v>
      </c>
      <c r="Y212" s="97">
        <v>31.460628019323664</v>
      </c>
    </row>
    <row r="213" spans="1:25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  <c r="X213" s="98">
        <v>134.55000000000001</v>
      </c>
      <c r="Y213" s="97">
        <v>35.074396135265701</v>
      </c>
    </row>
    <row r="214" spans="1:25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  <c r="X214" s="98">
        <v>34.5</v>
      </c>
      <c r="Y214" s="97">
        <v>26.205507246376811</v>
      </c>
    </row>
    <row r="215" spans="1:25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  <c r="X215" s="98">
        <v>13.8</v>
      </c>
      <c r="Y215" s="97">
        <v>137.22681159420287</v>
      </c>
    </row>
    <row r="216" spans="1:25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  <c r="X216" s="98">
        <v>31.05</v>
      </c>
      <c r="Y216" s="97">
        <v>93.615780998389681</v>
      </c>
    </row>
    <row r="217" spans="1:25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  <c r="X217" s="98">
        <v>10.350000000000001</v>
      </c>
      <c r="Y217" s="97">
        <v>192.90338164251204</v>
      </c>
    </row>
    <row r="218" spans="1:25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  <c r="X218" s="98">
        <v>3.45</v>
      </c>
      <c r="Y218" s="97">
        <v>554.82318840579717</v>
      </c>
    </row>
    <row r="219" spans="1:25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  <c r="X219" s="98">
        <v>44.85</v>
      </c>
      <c r="Y219" s="97">
        <v>42.484503901895209</v>
      </c>
    </row>
    <row r="220" spans="1:25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  <c r="X220" s="98">
        <v>24.150000000000006</v>
      </c>
      <c r="Y220" s="97">
        <v>29.114285714285707</v>
      </c>
    </row>
    <row r="221" spans="1:25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  <c r="X221" s="98">
        <v>93.15</v>
      </c>
      <c r="Y221" s="97">
        <v>25.701878690284484</v>
      </c>
    </row>
    <row r="222" spans="1:25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  <c r="X222" s="98">
        <v>10.350000000000001</v>
      </c>
      <c r="Y222" s="97">
        <v>87.917874396135261</v>
      </c>
    </row>
    <row r="223" spans="1:25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  <c r="X223" s="98">
        <v>10.350000000000001</v>
      </c>
      <c r="Y223" s="97">
        <v>147.07729468599032</v>
      </c>
    </row>
    <row r="224" spans="1:25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  <c r="X224" s="98">
        <v>148.35</v>
      </c>
      <c r="Y224" s="97">
        <v>31.811661611054941</v>
      </c>
    </row>
    <row r="225" spans="1:25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  <c r="X225" s="98">
        <v>51.75</v>
      </c>
      <c r="Y225" s="97">
        <v>74.778743961352646</v>
      </c>
    </row>
    <row r="226" spans="1:25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  <c r="X226" s="98">
        <v>169.05</v>
      </c>
      <c r="Y226" s="97">
        <v>92.53569949719018</v>
      </c>
    </row>
    <row r="227" spans="1:25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  <c r="X227" s="98">
        <v>17.25</v>
      </c>
      <c r="Y227" s="97">
        <v>97.560579710144921</v>
      </c>
    </row>
    <row r="228" spans="1:25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  <c r="X228" s="98">
        <v>82.800000000000011</v>
      </c>
      <c r="Y228" s="97">
        <v>54.374758454106278</v>
      </c>
    </row>
    <row r="229" spans="1:25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  <c r="X229" s="98">
        <v>13.8</v>
      </c>
      <c r="Y229" s="97">
        <v>106.67463768115941</v>
      </c>
    </row>
    <row r="230" spans="1:25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  <c r="X230" s="98">
        <v>106.95</v>
      </c>
      <c r="Y230" s="97">
        <v>44.06769518466573</v>
      </c>
    </row>
    <row r="231" spans="1:25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  <c r="X231" s="98">
        <v>69</v>
      </c>
      <c r="Y231" s="97">
        <v>56.084057971014495</v>
      </c>
    </row>
    <row r="232" spans="1:25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  <c r="X232" s="98">
        <v>17.25</v>
      </c>
      <c r="Y232" s="97">
        <v>64.971594202898558</v>
      </c>
    </row>
    <row r="233" spans="1:25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  <c r="X233" s="98">
        <v>10.350000000000001</v>
      </c>
      <c r="Y233" s="97">
        <v>203.0502415458937</v>
      </c>
    </row>
    <row r="234" spans="1:25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  <c r="X234" s="98">
        <v>13.8</v>
      </c>
      <c r="Y234" s="97">
        <v>65.938405797101453</v>
      </c>
    </row>
    <row r="235" spans="1:25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  <c r="X235" s="98">
        <v>31.05</v>
      </c>
      <c r="Y235" s="97">
        <v>39.866988727858292</v>
      </c>
    </row>
    <row r="236" spans="1:25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  <c r="X236" s="98">
        <v>31.05</v>
      </c>
      <c r="Y236" s="97">
        <v>152.50724637681159</v>
      </c>
    </row>
    <row r="237" spans="1:25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  <c r="X237" s="98">
        <v>151.80000000000001</v>
      </c>
      <c r="Y237" s="97">
        <v>51.525559947299072</v>
      </c>
    </row>
    <row r="238" spans="1:25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  <c r="X238" s="98">
        <v>31.05</v>
      </c>
      <c r="Y238" s="97">
        <v>72.11626409017714</v>
      </c>
    </row>
    <row r="239" spans="1:25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  <c r="X239" s="98">
        <v>20.700000000000003</v>
      </c>
      <c r="Y239" s="97">
        <v>57.537681159420281</v>
      </c>
    </row>
    <row r="240" spans="1:25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  <c r="X240" s="98">
        <v>51.75</v>
      </c>
      <c r="Y240" s="97">
        <v>66.631497584541066</v>
      </c>
    </row>
    <row r="241" spans="1:25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  <c r="X241" s="98">
        <v>6.9</v>
      </c>
      <c r="Y241" s="97">
        <v>426.77826086956514</v>
      </c>
    </row>
    <row r="242" spans="1:25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  <c r="X242" s="98">
        <v>127.65</v>
      </c>
      <c r="Y242" s="97">
        <v>79.299804151978066</v>
      </c>
    </row>
    <row r="243" spans="1:25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  <c r="X243" s="98">
        <v>17.25</v>
      </c>
      <c r="Y243" s="97">
        <v>64.971594202898558</v>
      </c>
    </row>
    <row r="244" spans="1:25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  <c r="X244" s="98">
        <v>86.25</v>
      </c>
      <c r="Y244" s="97">
        <v>37.534724637681165</v>
      </c>
    </row>
    <row r="245" spans="1:25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  <c r="X245" s="98">
        <v>120.75</v>
      </c>
      <c r="Y245" s="97">
        <v>18.081325051759833</v>
      </c>
    </row>
    <row r="246" spans="1:25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  <c r="X246" s="98">
        <v>20.700000000000003</v>
      </c>
      <c r="Y246" s="97">
        <v>26.985507246376805</v>
      </c>
    </row>
    <row r="247" spans="1:25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  <c r="X247" s="98">
        <v>20.700000000000003</v>
      </c>
      <c r="Y247" s="97">
        <v>47.353623188405798</v>
      </c>
    </row>
    <row r="248" spans="1:25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  <c r="X248" s="98">
        <v>79.350000000000009</v>
      </c>
      <c r="Y248" s="97">
        <v>46.112035286704469</v>
      </c>
    </row>
    <row r="249" spans="1:25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  <c r="X249" s="98">
        <v>6.9</v>
      </c>
      <c r="Y249" s="97">
        <v>296.93768115942026</v>
      </c>
    </row>
    <row r="250" spans="1:25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  <c r="X250" s="98">
        <v>20.700000000000003</v>
      </c>
      <c r="Y250" s="97">
        <v>37.169565217391295</v>
      </c>
    </row>
    <row r="251" spans="1:25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  <c r="X251" s="98">
        <v>3.45</v>
      </c>
      <c r="Y251" s="97">
        <v>243.38550724637682</v>
      </c>
    </row>
    <row r="252" spans="1:25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  <c r="X252" s="98">
        <v>3.45</v>
      </c>
      <c r="Y252" s="97">
        <v>463.17101449275361</v>
      </c>
    </row>
    <row r="253" spans="1:25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  <c r="X253" s="98">
        <v>6.9</v>
      </c>
      <c r="Y253" s="97">
        <v>199.9710144927536</v>
      </c>
    </row>
    <row r="254" spans="1:25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  <c r="X254" s="98">
        <v>3.45</v>
      </c>
      <c r="Y254" s="97">
        <v>223.0173913043478</v>
      </c>
    </row>
    <row r="255" spans="1:25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  <c r="X255" s="98">
        <v>34.5</v>
      </c>
      <c r="Y255" s="97">
        <v>35.880289855072469</v>
      </c>
    </row>
    <row r="256" spans="1:25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  <c r="X256" s="98">
        <v>3.45</v>
      </c>
      <c r="Y256" s="97">
        <v>402.0695652173913</v>
      </c>
    </row>
    <row r="257" spans="1:25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  <c r="X257" s="98">
        <v>10.350000000000001</v>
      </c>
      <c r="Y257" s="97">
        <v>60.760386473429939</v>
      </c>
    </row>
    <row r="258" spans="1:25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  <c r="X258" s="98">
        <v>17.25</v>
      </c>
      <c r="Y258" s="97">
        <v>105.70782608695653</v>
      </c>
    </row>
    <row r="259" spans="1:25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  <c r="X259" s="98">
        <v>34.5</v>
      </c>
      <c r="Y259" s="97">
        <v>74.579420289855079</v>
      </c>
    </row>
    <row r="260" spans="1:25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  <c r="X260" s="98">
        <v>37.950000000000003</v>
      </c>
      <c r="Y260" s="97">
        <v>67.799472990777332</v>
      </c>
    </row>
    <row r="261" spans="1:25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  <c r="X261" s="98">
        <v>27.6</v>
      </c>
      <c r="Y261" s="97">
        <v>73.752173913043478</v>
      </c>
    </row>
    <row r="262" spans="1:25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  <c r="X262" s="98">
        <v>31.05</v>
      </c>
      <c r="Y262" s="97">
        <v>32.70048309178744</v>
      </c>
    </row>
    <row r="263" spans="1:25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  <c r="X263" s="98">
        <v>110.4</v>
      </c>
      <c r="Y263" s="97">
        <v>23.595471014492752</v>
      </c>
    </row>
    <row r="264" spans="1:25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  <c r="X264" s="98">
        <v>10.350000000000001</v>
      </c>
      <c r="Y264" s="97">
        <v>197.95845410628019</v>
      </c>
    </row>
    <row r="265" spans="1:25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  <c r="X265" s="98">
        <v>3.45</v>
      </c>
      <c r="Y265" s="97">
        <v>609.15072463768115</v>
      </c>
    </row>
    <row r="266" spans="1:25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  <c r="X266" s="98">
        <v>20.700000000000003</v>
      </c>
      <c r="Y266" s="97">
        <v>127.95942028985505</v>
      </c>
    </row>
    <row r="267" spans="1:25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  <c r="X267" s="98">
        <v>13.8</v>
      </c>
      <c r="Y267" s="97">
        <v>191.93913043478258</v>
      </c>
    </row>
    <row r="268" spans="1:25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  <c r="X268" s="98">
        <v>127.65</v>
      </c>
      <c r="Y268" s="97">
        <v>56.123305914610263</v>
      </c>
    </row>
    <row r="269" spans="1:25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  <c r="X269" s="98">
        <v>17.25</v>
      </c>
      <c r="Y269" s="97">
        <v>64.971594202898558</v>
      </c>
    </row>
    <row r="270" spans="1:25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  <c r="X270" s="98">
        <v>41.400000000000006</v>
      </c>
      <c r="Y270" s="97">
        <v>32.587681159420285</v>
      </c>
    </row>
    <row r="271" spans="1:25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  <c r="X271" s="98">
        <v>20.700000000000003</v>
      </c>
      <c r="Y271" s="97">
        <v>26.985507246376805</v>
      </c>
    </row>
    <row r="272" spans="1:25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  <c r="X272" s="98">
        <v>6.9</v>
      </c>
      <c r="Y272" s="97">
        <v>274.02463768115945</v>
      </c>
    </row>
    <row r="273" spans="1:25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  <c r="X273" s="98">
        <v>10.350000000000001</v>
      </c>
      <c r="Y273" s="97">
        <v>187.77487922705311</v>
      </c>
    </row>
    <row r="274" spans="1:25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  <c r="X274" s="98">
        <v>6.9</v>
      </c>
      <c r="Y274" s="97">
        <v>215.24637681159416</v>
      </c>
    </row>
    <row r="275" spans="1:25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  <c r="X275" s="98">
        <v>44.85</v>
      </c>
      <c r="Y275" s="97">
        <v>37.523076923076921</v>
      </c>
    </row>
    <row r="276" spans="1:25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  <c r="X276" s="98">
        <v>79.350000000000009</v>
      </c>
      <c r="Y276" s="97">
        <v>38.141902961562693</v>
      </c>
    </row>
    <row r="277" spans="1:25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  <c r="X277" s="98">
        <v>6.9</v>
      </c>
      <c r="Y277" s="97">
        <v>215.24637681159416</v>
      </c>
    </row>
    <row r="278" spans="1:25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  <c r="X278" s="98">
        <v>20.700000000000003</v>
      </c>
      <c r="Y278" s="97">
        <v>43.95893719806763</v>
      </c>
    </row>
    <row r="279" spans="1:25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  <c r="X279" s="98">
        <v>37.950000000000003</v>
      </c>
      <c r="Y279" s="97">
        <v>38.48194993412384</v>
      </c>
    </row>
    <row r="280" spans="1:25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  <c r="X280" s="98">
        <v>6.9</v>
      </c>
      <c r="Y280" s="97">
        <v>199.9710144927536</v>
      </c>
    </row>
    <row r="281" spans="1:25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  <c r="X281" s="98">
        <v>3.45</v>
      </c>
      <c r="Y281" s="97">
        <v>432.62028985507243</v>
      </c>
    </row>
    <row r="282" spans="1:25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  <c r="X282" s="98">
        <v>17.25</v>
      </c>
      <c r="Y282" s="97">
        <v>56.824347826086957</v>
      </c>
    </row>
    <row r="283" spans="1:25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  <c r="X283" s="98">
        <v>13.8</v>
      </c>
      <c r="Y283" s="97">
        <v>91.398550724637673</v>
      </c>
    </row>
    <row r="284" spans="1:25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  <c r="X284" s="98">
        <v>96.600000000000023</v>
      </c>
      <c r="Y284" s="97">
        <v>35.695445134575557</v>
      </c>
    </row>
    <row r="285" spans="1:25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  <c r="X285" s="98">
        <v>10.350000000000001</v>
      </c>
      <c r="Y285" s="97">
        <v>67.549758454106268</v>
      </c>
    </row>
    <row r="286" spans="1:25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  <c r="X286" s="98">
        <v>6.9</v>
      </c>
      <c r="Y286" s="97">
        <v>80.956521739130423</v>
      </c>
    </row>
    <row r="287" spans="1:25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  <c r="X287" s="98">
        <v>31.05</v>
      </c>
      <c r="Y287" s="97">
        <v>39.866988727858292</v>
      </c>
    </row>
    <row r="288" spans="1:25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  <c r="X288" s="98">
        <v>10.350000000000001</v>
      </c>
      <c r="Y288" s="97">
        <v>74.339130434782589</v>
      </c>
    </row>
    <row r="289" spans="1:25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  <c r="X289" s="98">
        <v>10.350000000000001</v>
      </c>
      <c r="Y289" s="97">
        <v>60.760386473429939</v>
      </c>
    </row>
    <row r="290" spans="1:25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  <c r="X290" s="98">
        <v>3.45</v>
      </c>
      <c r="Y290" s="97">
        <v>243.38550724637682</v>
      </c>
    </row>
    <row r="291" spans="1:25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  <c r="X291" s="98">
        <v>6.9</v>
      </c>
      <c r="Y291" s="97">
        <v>215.24637681159416</v>
      </c>
    </row>
    <row r="292" spans="1:25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  <c r="X292" s="98">
        <v>17.25</v>
      </c>
      <c r="Y292" s="97">
        <v>64.971594202898558</v>
      </c>
    </row>
    <row r="293" spans="1:25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  <c r="X293" s="98">
        <v>20.700000000000003</v>
      </c>
      <c r="Y293" s="97">
        <v>26.985507246376805</v>
      </c>
    </row>
    <row r="294" spans="1:25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  <c r="X294" s="98">
        <v>44.85</v>
      </c>
      <c r="Y294" s="97">
        <v>22.638795986622071</v>
      </c>
    </row>
    <row r="295" spans="1:25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  <c r="X295" s="98">
        <v>10.350000000000001</v>
      </c>
      <c r="Y295" s="97">
        <v>152.16908212560384</v>
      </c>
    </row>
    <row r="296" spans="1:25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  <c r="X296" s="98">
        <v>41.400000000000006</v>
      </c>
      <c r="Y296" s="97">
        <v>27.212801932367146</v>
      </c>
    </row>
    <row r="297" spans="1:25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  <c r="X297" s="98">
        <v>10.350000000000001</v>
      </c>
      <c r="Y297" s="97">
        <v>67.549758454106268</v>
      </c>
    </row>
    <row r="298" spans="1:25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  <c r="X298" s="98">
        <v>89.7</v>
      </c>
      <c r="Y298" s="97">
        <v>26.690412486064659</v>
      </c>
    </row>
    <row r="299" spans="1:25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  <c r="X299" s="98">
        <v>51.75</v>
      </c>
      <c r="Y299" s="97">
        <v>34.042512077294681</v>
      </c>
    </row>
    <row r="300" spans="1:25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  <c r="X300" s="98">
        <v>3.45</v>
      </c>
      <c r="Y300" s="97">
        <v>223.0173913043478</v>
      </c>
    </row>
    <row r="301" spans="1:25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  <c r="X301" s="98">
        <v>10.350000000000001</v>
      </c>
      <c r="Y301" s="97">
        <v>53.971014492753611</v>
      </c>
    </row>
    <row r="302" spans="1:25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  <c r="X302" s="98">
        <v>55.2</v>
      </c>
      <c r="Y302" s="97">
        <v>28.095833333333335</v>
      </c>
    </row>
    <row r="303" spans="1:25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  <c r="X303" s="98">
        <v>34.5</v>
      </c>
      <c r="Y303" s="97">
        <v>29.430434782608696</v>
      </c>
    </row>
    <row r="304" spans="1:25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  <c r="X304" s="98">
        <v>13.8</v>
      </c>
      <c r="Y304" s="97">
        <v>65.938405797101453</v>
      </c>
    </row>
    <row r="305" spans="1:25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  <c r="X305" s="98">
        <v>34.5</v>
      </c>
      <c r="Y305" s="97">
        <v>32.655362318840581</v>
      </c>
    </row>
    <row r="306" spans="1:25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  <c r="X306" s="98">
        <v>13.8</v>
      </c>
      <c r="Y306" s="97">
        <v>65.938405797101453</v>
      </c>
    </row>
    <row r="307" spans="1:25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  <c r="X307" s="98">
        <v>6.9</v>
      </c>
      <c r="Y307" s="97">
        <v>207.60869565217388</v>
      </c>
    </row>
    <row r="308" spans="1:25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  <c r="X308" s="98">
        <v>6.9</v>
      </c>
      <c r="Y308" s="97">
        <v>215.24637681159416</v>
      </c>
    </row>
    <row r="309" spans="1:25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  <c r="X309" s="98">
        <v>34.5</v>
      </c>
      <c r="Y309" s="97">
        <v>55.229855072463764</v>
      </c>
    </row>
    <row r="310" spans="1:25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  <c r="X310" s="98">
        <v>117.30000000000001</v>
      </c>
      <c r="Y310" s="97">
        <v>41.97655583972719</v>
      </c>
    </row>
    <row r="311" spans="1:25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  <c r="X311" s="98">
        <v>24.150000000000006</v>
      </c>
      <c r="Y311" s="97">
        <v>65.896894409937872</v>
      </c>
    </row>
    <row r="312" spans="1:25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  <c r="X312" s="98">
        <v>17.25</v>
      </c>
      <c r="Y312" s="97">
        <v>125.03594202898549</v>
      </c>
    </row>
    <row r="313" spans="1:25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  <c r="X313" s="98">
        <v>6.9</v>
      </c>
      <c r="Y313" s="97">
        <v>296.93768115942026</v>
      </c>
    </row>
    <row r="314" spans="1:25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  <c r="X314" s="98">
        <v>13.8</v>
      </c>
      <c r="Y314" s="97">
        <v>156.29492753623185</v>
      </c>
    </row>
    <row r="315" spans="1:25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  <c r="X315" s="98">
        <v>6.9</v>
      </c>
      <c r="Y315" s="97">
        <v>266.38695652173914</v>
      </c>
    </row>
    <row r="316" spans="1:25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  <c r="X316" s="98">
        <v>6.9</v>
      </c>
      <c r="Y316" s="97">
        <v>207.60869565217388</v>
      </c>
    </row>
    <row r="317" spans="1:25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  <c r="X317" s="98">
        <v>3.45</v>
      </c>
      <c r="Y317" s="97">
        <v>263.75362318840581</v>
      </c>
    </row>
    <row r="318" spans="1:25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  <c r="X318" s="98">
        <v>17.25</v>
      </c>
      <c r="Y318" s="97">
        <v>125.03594202898549</v>
      </c>
    </row>
    <row r="319" spans="1:25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  <c r="X319" s="98">
        <v>48.300000000000011</v>
      </c>
      <c r="Y319" s="97">
        <v>58.297101449275345</v>
      </c>
    </row>
    <row r="320" spans="1:25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  <c r="X320" s="98">
        <v>10.350000000000001</v>
      </c>
      <c r="Y320" s="97">
        <v>157.26086956521738</v>
      </c>
    </row>
    <row r="321" spans="1:25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  <c r="X321" s="98">
        <v>3.45</v>
      </c>
      <c r="Y321" s="97">
        <v>639.70144927536228</v>
      </c>
    </row>
    <row r="322" spans="1:25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  <c r="X322" s="98">
        <v>3.45</v>
      </c>
      <c r="Y322" s="97">
        <v>417.34492753623186</v>
      </c>
    </row>
    <row r="323" spans="1:25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  <c r="X323" s="98">
        <v>3.45</v>
      </c>
      <c r="Y323" s="97">
        <v>432.62028985507243</v>
      </c>
    </row>
    <row r="324" spans="1:25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  <c r="X324" s="98">
        <v>3.45</v>
      </c>
      <c r="Y324" s="97">
        <v>463.17101449275361</v>
      </c>
    </row>
    <row r="325" spans="1:25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  <c r="X325" s="98">
        <v>6.9</v>
      </c>
      <c r="Y325" s="97">
        <v>80.956521739130423</v>
      </c>
    </row>
    <row r="326" spans="1:25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  <c r="X326" s="98">
        <v>72.45</v>
      </c>
      <c r="Y326" s="97">
        <v>27.225810904071771</v>
      </c>
    </row>
    <row r="327" spans="1:25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  <c r="X327" s="98">
        <v>10.350000000000001</v>
      </c>
      <c r="Y327" s="97">
        <v>129.47632850241544</v>
      </c>
    </row>
    <row r="328" spans="1:25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  <c r="X328" s="98">
        <v>13.8</v>
      </c>
      <c r="Y328" s="97">
        <v>60.846376811594205</v>
      </c>
    </row>
    <row r="329" spans="1:25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  <c r="X329" s="98">
        <v>6.9</v>
      </c>
      <c r="Y329" s="97">
        <v>235.83623188405795</v>
      </c>
    </row>
    <row r="330" spans="1:25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  <c r="X330" s="98">
        <v>3.45</v>
      </c>
      <c r="Y330" s="97">
        <v>388.42898550724635</v>
      </c>
    </row>
    <row r="331" spans="1:25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  <c r="X331" s="98">
        <v>20.700000000000003</v>
      </c>
      <c r="Y331" s="97">
        <v>90.617874396135264</v>
      </c>
    </row>
    <row r="332" spans="1:25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  <c r="X332" s="98">
        <v>10.350000000000001</v>
      </c>
      <c r="Y332" s="97">
        <v>172.49951690821251</v>
      </c>
    </row>
    <row r="333" spans="1:25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  <c r="X333" s="98">
        <v>48.300000000000011</v>
      </c>
      <c r="Y333" s="97">
        <v>40.838716356107653</v>
      </c>
    </row>
    <row r="334" spans="1:25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  <c r="X334" s="98">
        <v>13.8</v>
      </c>
      <c r="Y334" s="97">
        <v>146.11086956521737</v>
      </c>
    </row>
    <row r="335" spans="1:25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  <c r="X335" s="98">
        <v>3.45</v>
      </c>
      <c r="Y335" s="97">
        <v>202.64927536231883</v>
      </c>
    </row>
    <row r="336" spans="1:25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  <c r="X336" s="98">
        <v>10.350000000000001</v>
      </c>
      <c r="Y336" s="97">
        <v>67.549758454106268</v>
      </c>
    </row>
    <row r="337" spans="1:25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  <c r="X337" s="98">
        <v>17.25</v>
      </c>
      <c r="Y337" s="97">
        <v>129.10956521739132</v>
      </c>
    </row>
    <row r="338" spans="1:25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  <c r="X338" s="98">
        <v>41.400000000000006</v>
      </c>
      <c r="Y338" s="97">
        <v>60.631642512077285</v>
      </c>
    </row>
    <row r="339" spans="1:25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  <c r="X339" s="98">
        <v>13.8</v>
      </c>
      <c r="Y339" s="97">
        <v>71.030434782608694</v>
      </c>
    </row>
    <row r="340" spans="1:25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  <c r="X340" s="98">
        <v>69</v>
      </c>
      <c r="Y340" s="97">
        <v>40.80797101449275</v>
      </c>
    </row>
    <row r="341" spans="1:25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  <c r="X341" s="98">
        <v>20.700000000000003</v>
      </c>
      <c r="Y341" s="97">
        <v>47.353623188405798</v>
      </c>
    </row>
    <row r="342" spans="1:25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  <c r="X342" s="98">
        <v>17.25</v>
      </c>
      <c r="Y342" s="97">
        <v>120.96231884057971</v>
      </c>
    </row>
    <row r="343" spans="1:25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  <c r="X343" s="98">
        <v>13.8</v>
      </c>
      <c r="Y343" s="97">
        <v>156.29492753623185</v>
      </c>
    </row>
    <row r="344" spans="1:25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  <c r="X344" s="98">
        <v>20.700000000000003</v>
      </c>
      <c r="Y344" s="97">
        <v>121.17004830917872</v>
      </c>
    </row>
    <row r="345" spans="1:25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  <c r="X345" s="98">
        <v>6.9</v>
      </c>
      <c r="Y345" s="97">
        <v>121.69275362318841</v>
      </c>
    </row>
    <row r="346" spans="1:25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  <c r="X346" s="98">
        <v>41.400000000000006</v>
      </c>
      <c r="Y346" s="97">
        <v>57.944202898550714</v>
      </c>
    </row>
    <row r="347" spans="1:25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  <c r="X347" s="98">
        <v>10.350000000000001</v>
      </c>
      <c r="Y347" s="97">
        <v>136.89371980676327</v>
      </c>
    </row>
    <row r="348" spans="1:25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  <c r="X348" s="98">
        <v>44.85</v>
      </c>
      <c r="Y348" s="97">
        <v>37.523076923076921</v>
      </c>
    </row>
    <row r="349" spans="1:25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  <c r="X349" s="98">
        <v>20.700000000000003</v>
      </c>
      <c r="Y349" s="97">
        <v>74.922222222222217</v>
      </c>
    </row>
    <row r="350" spans="1:25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  <c r="X350" s="98">
        <v>27.6</v>
      </c>
      <c r="Y350" s="97">
        <v>93.321014492753619</v>
      </c>
    </row>
    <row r="351" spans="1:25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  <c r="X351" s="98">
        <v>3.45</v>
      </c>
      <c r="Y351" s="97">
        <v>548.04927536231889</v>
      </c>
    </row>
    <row r="352" spans="1:25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  <c r="X352" s="98">
        <v>120.75</v>
      </c>
      <c r="Y352" s="97">
        <v>26.810517598343687</v>
      </c>
    </row>
    <row r="353" spans="1:25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  <c r="X353" s="98">
        <v>13.8</v>
      </c>
      <c r="Y353" s="97">
        <v>176.66304347826087</v>
      </c>
    </row>
    <row r="354" spans="1:25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  <c r="X354" s="98">
        <v>20.700000000000003</v>
      </c>
      <c r="Y354" s="97">
        <v>110.98599033816424</v>
      </c>
    </row>
    <row r="355" spans="1:25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  <c r="X355" s="98">
        <v>13.8</v>
      </c>
      <c r="Y355" s="97">
        <v>171.57101449275362</v>
      </c>
    </row>
    <row r="356" spans="1:25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  <c r="X356" s="98">
        <v>3.45</v>
      </c>
      <c r="Y356" s="97">
        <v>548.04927536231889</v>
      </c>
    </row>
    <row r="357" spans="1:25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  <c r="X357" s="98">
        <v>17.25</v>
      </c>
      <c r="Y357" s="97">
        <v>133.1831884057971</v>
      </c>
    </row>
    <row r="358" spans="1:25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  <c r="X358" s="98">
        <v>37.950000000000003</v>
      </c>
      <c r="Y358" s="97">
        <v>74.938866930171272</v>
      </c>
    </row>
    <row r="359" spans="1:25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  <c r="X359" s="98">
        <v>13.8</v>
      </c>
      <c r="Y359" s="97">
        <v>141.01884057971014</v>
      </c>
    </row>
    <row r="360" spans="1:25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  <c r="X360" s="98">
        <v>10.350000000000001</v>
      </c>
      <c r="Y360" s="97">
        <v>172.49951690821251</v>
      </c>
    </row>
    <row r="361" spans="1:25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  <c r="X361" s="98">
        <v>13.8</v>
      </c>
      <c r="Y361" s="97">
        <v>55.754347826086949</v>
      </c>
    </row>
    <row r="362" spans="1:25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  <c r="X362" s="98">
        <v>6.9</v>
      </c>
      <c r="Y362" s="97">
        <v>266.38695652173914</v>
      </c>
    </row>
    <row r="363" spans="1:25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  <c r="X363" s="98">
        <v>13.8</v>
      </c>
      <c r="Y363" s="97">
        <v>76.122463768115935</v>
      </c>
    </row>
    <row r="364" spans="1:25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  <c r="X364" s="98">
        <v>20.700000000000003</v>
      </c>
      <c r="Y364" s="97">
        <v>47.353623188405798</v>
      </c>
    </row>
    <row r="365" spans="1:25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  <c r="X365" s="98">
        <v>3.45</v>
      </c>
      <c r="Y365" s="97">
        <v>402.0695652173913</v>
      </c>
    </row>
    <row r="366" spans="1:25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  <c r="X366" s="98">
        <v>6.9</v>
      </c>
      <c r="Y366" s="97">
        <v>215.24637681159416</v>
      </c>
    </row>
    <row r="367" spans="1:25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  <c r="X367" s="98">
        <v>189.75</v>
      </c>
      <c r="Y367" s="97">
        <v>54.722740447957847</v>
      </c>
    </row>
    <row r="368" spans="1:25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  <c r="X368" s="98">
        <v>10.350000000000001</v>
      </c>
      <c r="Y368" s="97">
        <v>60.760386473429939</v>
      </c>
    </row>
    <row r="369" spans="1:25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  <c r="X369" s="98">
        <v>13.8</v>
      </c>
      <c r="Y369" s="97">
        <v>71.030434782608694</v>
      </c>
    </row>
    <row r="370" spans="1:25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  <c r="X370" s="98">
        <v>96.600000000000023</v>
      </c>
      <c r="Y370" s="97">
        <v>35.695445134575557</v>
      </c>
    </row>
    <row r="371" spans="1:25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  <c r="X371" s="98">
        <v>24.150000000000006</v>
      </c>
      <c r="Y371" s="97">
        <v>58.540372670807436</v>
      </c>
    </row>
    <row r="372" spans="1:25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  <c r="X372" s="98">
        <v>20.700000000000003</v>
      </c>
      <c r="Y372" s="97">
        <v>107.59130434782607</v>
      </c>
    </row>
    <row r="373" spans="1:25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  <c r="X373" s="98">
        <v>41.400000000000006</v>
      </c>
      <c r="Y373" s="97">
        <v>56.774637681159412</v>
      </c>
    </row>
    <row r="374" spans="1:25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  <c r="X374" s="98">
        <v>6.9</v>
      </c>
      <c r="Y374" s="97">
        <v>276.34782608695645</v>
      </c>
    </row>
    <row r="375" spans="1:25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  <c r="X375" s="98">
        <v>10.350000000000001</v>
      </c>
      <c r="Y375" s="97">
        <v>87.917874396135261</v>
      </c>
    </row>
    <row r="376" spans="1:25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  <c r="X376" s="98">
        <v>6.9</v>
      </c>
      <c r="Y376" s="97">
        <v>121.69275362318841</v>
      </c>
    </row>
    <row r="377" spans="1:25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  <c r="X377" s="98">
        <v>13.8</v>
      </c>
      <c r="Y377" s="97">
        <v>91.398550724637673</v>
      </c>
    </row>
    <row r="378" spans="1:25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  <c r="X378" s="98">
        <v>3.45</v>
      </c>
      <c r="Y378" s="97">
        <v>478.44637681159418</v>
      </c>
    </row>
    <row r="379" spans="1:25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  <c r="X379" s="98">
        <v>10.350000000000001</v>
      </c>
      <c r="Y379" s="97">
        <v>157.26086956521738</v>
      </c>
    </row>
    <row r="380" spans="1:25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  <c r="X380" s="98">
        <v>6.9</v>
      </c>
      <c r="Y380" s="97">
        <v>199.9710144927536</v>
      </c>
    </row>
    <row r="381" spans="1:25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  <c r="X381" s="98">
        <v>10.350000000000001</v>
      </c>
      <c r="Y381" s="97">
        <v>81.128502415458925</v>
      </c>
    </row>
    <row r="382" spans="1:25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  <c r="X382" s="98">
        <v>31.05</v>
      </c>
      <c r="Y382" s="97">
        <v>36.283735909822859</v>
      </c>
    </row>
    <row r="383" spans="1:25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  <c r="X383" s="98">
        <v>10.350000000000001</v>
      </c>
      <c r="Y383" s="97">
        <v>147.07729468599032</v>
      </c>
    </row>
    <row r="384" spans="1:25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  <c r="X384" s="98">
        <v>3.45</v>
      </c>
      <c r="Y384" s="97">
        <v>593.87536231884053</v>
      </c>
    </row>
    <row r="385" spans="1:25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  <c r="X385" s="98">
        <v>3.45</v>
      </c>
      <c r="Y385" s="97">
        <v>447.89565217391305</v>
      </c>
    </row>
    <row r="386" spans="1:25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  <c r="X386" s="98">
        <v>6.9</v>
      </c>
      <c r="Y386" s="97">
        <v>111.5086956521739</v>
      </c>
    </row>
    <row r="387" spans="1:25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  <c r="X387" s="98">
        <v>6.9</v>
      </c>
      <c r="Y387" s="97">
        <v>238.15942028985506</v>
      </c>
    </row>
    <row r="388" spans="1:25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  <c r="X388" s="98">
        <v>4.2</v>
      </c>
      <c r="Y388" s="97">
        <v>319.06666666666661</v>
      </c>
    </row>
    <row r="389" spans="1:25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  <c r="X389" s="98">
        <v>4.2</v>
      </c>
      <c r="Y389" s="97">
        <v>374.89761904761906</v>
      </c>
    </row>
    <row r="390" spans="1:25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  <c r="X390" s="98">
        <v>4.2</v>
      </c>
      <c r="Y390" s="97">
        <v>166.46190476190475</v>
      </c>
    </row>
    <row r="391" spans="1:25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  <c r="X391" s="98">
        <v>4.2</v>
      </c>
      <c r="Y391" s="97">
        <v>133</v>
      </c>
    </row>
    <row r="392" spans="1:25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  <c r="X392" s="98">
        <v>4.2</v>
      </c>
      <c r="Y392" s="97">
        <v>199.92380952380952</v>
      </c>
    </row>
    <row r="393" spans="1:25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  <c r="X393" s="98">
        <v>4.2</v>
      </c>
      <c r="Y393" s="97">
        <v>183.19285714285712</v>
      </c>
    </row>
    <row r="394" spans="1:25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  <c r="X394" s="98">
        <v>4.2</v>
      </c>
      <c r="Y394" s="97">
        <v>183.19285714285712</v>
      </c>
    </row>
    <row r="395" spans="1:25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  <c r="X395" s="98">
        <v>4.2</v>
      </c>
      <c r="Y395" s="97">
        <v>387.4452380952381</v>
      </c>
    </row>
    <row r="396" spans="1:25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  <c r="X396" s="98">
        <v>4.2</v>
      </c>
      <c r="Y396" s="97">
        <v>367.91428571428571</v>
      </c>
    </row>
    <row r="397" spans="1:25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  <c r="X397" s="98">
        <v>4.2</v>
      </c>
      <c r="Y397" s="97">
        <v>199.92380952380952</v>
      </c>
    </row>
    <row r="398" spans="1:25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  <c r="X398" s="98">
        <v>4.2</v>
      </c>
      <c r="Y398" s="97">
        <v>216.6547619047619</v>
      </c>
    </row>
    <row r="399" spans="1:25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  <c r="X399" s="98">
        <v>4.2</v>
      </c>
      <c r="Y399" s="97">
        <v>430.65238095238095</v>
      </c>
    </row>
    <row r="400" spans="1:25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  <c r="X400" s="98">
        <v>4.2</v>
      </c>
      <c r="Y400" s="97">
        <v>613.30238095238099</v>
      </c>
    </row>
    <row r="401" spans="1:25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  <c r="X401" s="98">
        <v>4.2</v>
      </c>
      <c r="Y401" s="97">
        <v>216.6547619047619</v>
      </c>
    </row>
    <row r="402" spans="1:25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  <c r="X402" s="98">
        <v>4.2</v>
      </c>
      <c r="Y402" s="97">
        <v>450.18333333333334</v>
      </c>
    </row>
    <row r="403" spans="1:25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  <c r="X403" s="98">
        <v>4.2</v>
      </c>
      <c r="Y403" s="97">
        <v>330.2714285714286</v>
      </c>
    </row>
    <row r="404" spans="1:25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  <c r="X404" s="98">
        <v>4.2</v>
      </c>
      <c r="Y404" s="97">
        <v>199.92380952380952</v>
      </c>
    </row>
    <row r="405" spans="1:25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  <c r="X405" s="98">
        <v>4.2</v>
      </c>
      <c r="Y405" s="97">
        <v>116.26904761904763</v>
      </c>
    </row>
    <row r="406" spans="1:25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  <c r="X406" s="98">
        <v>4.2</v>
      </c>
      <c r="Y406" s="97">
        <v>166.46190476190475</v>
      </c>
    </row>
    <row r="407" spans="1:25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  <c r="X407" s="98">
        <v>4.2</v>
      </c>
      <c r="Y407" s="97">
        <v>166.46190476190475</v>
      </c>
    </row>
    <row r="408" spans="1:25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  <c r="X408" s="98">
        <v>4.2</v>
      </c>
      <c r="Y408" s="97">
        <v>183.19285714285712</v>
      </c>
    </row>
    <row r="409" spans="1:25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  <c r="X409" s="98">
        <v>4.2</v>
      </c>
      <c r="Y409" s="97">
        <v>149.73095238095235</v>
      </c>
    </row>
    <row r="410" spans="1:25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  <c r="X410" s="98">
        <v>4.2</v>
      </c>
      <c r="Y410" s="97">
        <v>399.99285714285708</v>
      </c>
    </row>
    <row r="411" spans="1:25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  <c r="X411" s="98">
        <v>4.2</v>
      </c>
      <c r="Y411" s="97">
        <v>116.26904761904763</v>
      </c>
    </row>
    <row r="412" spans="1:25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  <c r="X412" s="98">
        <v>4.2</v>
      </c>
      <c r="Y412" s="97">
        <v>199.92380952380952</v>
      </c>
    </row>
    <row r="413" spans="1:25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  <c r="X413" s="98">
        <v>4.2</v>
      </c>
      <c r="Y413" s="97">
        <v>475.27857142857147</v>
      </c>
    </row>
    <row r="414" spans="1:25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  <c r="X414" s="98">
        <v>4.2</v>
      </c>
      <c r="Y414" s="97">
        <v>475.27857142857147</v>
      </c>
    </row>
    <row r="415" spans="1:25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  <c r="X415" s="98">
        <v>4.2</v>
      </c>
      <c r="Y415" s="97">
        <v>450.18333333333334</v>
      </c>
    </row>
    <row r="416" spans="1:25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  <c r="X416" s="98">
        <v>4.2</v>
      </c>
      <c r="Y416" s="97">
        <v>216.6547619047619</v>
      </c>
    </row>
    <row r="417" spans="1:25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  <c r="X417" s="98">
        <v>4.2</v>
      </c>
      <c r="Y417" s="97">
        <v>437.63571428571424</v>
      </c>
    </row>
    <row r="418" spans="1:25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  <c r="X418" s="98">
        <v>4.2</v>
      </c>
      <c r="Y418" s="97">
        <v>133</v>
      </c>
    </row>
    <row r="419" spans="1:25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  <c r="X419" s="98">
        <v>4.2</v>
      </c>
      <c r="Y419" s="97">
        <v>319.06666666666661</v>
      </c>
    </row>
    <row r="420" spans="1:25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  <c r="X420" s="98">
        <v>4.2</v>
      </c>
      <c r="Y420" s="97">
        <v>387.4452380952381</v>
      </c>
    </row>
    <row r="421" spans="1:25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  <c r="X421" s="98">
        <v>4.2</v>
      </c>
      <c r="Y421" s="97">
        <v>183.19285714285712</v>
      </c>
    </row>
    <row r="422" spans="1:25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  <c r="X422" s="98">
        <v>4.2</v>
      </c>
      <c r="Y422" s="97">
        <v>387.4452380952381</v>
      </c>
    </row>
    <row r="423" spans="1:25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  <c r="X423" s="98">
        <v>4.2</v>
      </c>
      <c r="Y423" s="97">
        <v>166.46190476190475</v>
      </c>
    </row>
    <row r="424" spans="1:25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  <c r="X424" s="98">
        <v>4.2</v>
      </c>
      <c r="Y424" s="97">
        <v>116.26904761904763</v>
      </c>
    </row>
    <row r="425" spans="1:25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  <c r="X425" s="98">
        <v>4.2</v>
      </c>
      <c r="Y425" s="97">
        <v>116.26904761904763</v>
      </c>
    </row>
    <row r="426" spans="1:25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  <c r="X426" s="98">
        <v>4.2</v>
      </c>
      <c r="Y426" s="97">
        <v>374.89761904761906</v>
      </c>
    </row>
    <row r="427" spans="1:25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  <c r="X427" s="98">
        <v>4.2</v>
      </c>
      <c r="Y427" s="97">
        <v>462.73095238095237</v>
      </c>
    </row>
    <row r="428" spans="1:25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  <c r="X428" s="98">
        <v>4.2</v>
      </c>
      <c r="Y428" s="97">
        <v>450.18333333333334</v>
      </c>
    </row>
    <row r="429" spans="1:25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  <c r="X429" s="98">
        <v>4.2</v>
      </c>
      <c r="Y429" s="97">
        <v>149.73095238095235</v>
      </c>
    </row>
    <row r="430" spans="1:25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  <c r="X430" s="98">
        <v>4.2</v>
      </c>
      <c r="Y430" s="97">
        <v>216.6547619047619</v>
      </c>
    </row>
    <row r="431" spans="1:25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  <c r="X431" s="98">
        <v>4.2</v>
      </c>
      <c r="Y431" s="97">
        <v>317.72380952380951</v>
      </c>
    </row>
    <row r="432" spans="1:25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  <c r="X432" s="98">
        <v>4.2</v>
      </c>
      <c r="Y432" s="97">
        <v>116.26904761904763</v>
      </c>
    </row>
    <row r="433" spans="1:25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  <c r="X433" s="98">
        <v>4.2</v>
      </c>
      <c r="Y433" s="97">
        <v>367.91428571428571</v>
      </c>
    </row>
    <row r="434" spans="1:25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  <c r="X434" s="98">
        <v>4.2</v>
      </c>
      <c r="Y434" s="97">
        <v>216.6547619047619</v>
      </c>
    </row>
    <row r="435" spans="1:25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  <c r="X435" s="98">
        <v>4.2</v>
      </c>
      <c r="Y435" s="97">
        <v>342.81904761904764</v>
      </c>
    </row>
    <row r="436" spans="1:25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  <c r="X436" s="98">
        <v>4.2</v>
      </c>
      <c r="Y436" s="97">
        <v>330.2714285714286</v>
      </c>
    </row>
    <row r="437" spans="1:25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  <c r="X437" s="98">
        <v>4.2</v>
      </c>
      <c r="Y437" s="97">
        <v>183.19285714285712</v>
      </c>
    </row>
    <row r="438" spans="1:25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  <c r="X438" s="98">
        <v>4.2</v>
      </c>
      <c r="Y438" s="97">
        <v>317.72380952380951</v>
      </c>
    </row>
    <row r="439" spans="1:25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  <c r="X439" s="98">
        <v>4.2</v>
      </c>
      <c r="Y439" s="97">
        <v>199.92380952380952</v>
      </c>
    </row>
    <row r="440" spans="1:25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  <c r="X440" s="98">
        <v>4.2</v>
      </c>
      <c r="Y440" s="97">
        <v>437.63571428571424</v>
      </c>
    </row>
    <row r="441" spans="1:25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  <c r="X441" s="98">
        <v>4.2</v>
      </c>
      <c r="Y441" s="97">
        <v>412.54047619047617</v>
      </c>
    </row>
    <row r="442" spans="1:25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  <c r="X442" s="98">
        <v>4.2</v>
      </c>
      <c r="Y442" s="97">
        <v>425.08809523809521</v>
      </c>
    </row>
    <row r="443" spans="1:25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  <c r="X443" s="98">
        <v>4.2</v>
      </c>
      <c r="Y443" s="97">
        <v>199.92380952380952</v>
      </c>
    </row>
    <row r="444" spans="1:25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  <c r="X444" s="98">
        <v>4.2</v>
      </c>
      <c r="Y444" s="97">
        <v>133</v>
      </c>
    </row>
    <row r="445" spans="1:25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  <c r="X445" s="98">
        <v>4.2</v>
      </c>
      <c r="Y445" s="97">
        <v>199.92380952380952</v>
      </c>
    </row>
    <row r="446" spans="1:25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  <c r="X446" s="98">
        <v>4.2</v>
      </c>
      <c r="Y446" s="97">
        <v>183.19285714285712</v>
      </c>
    </row>
    <row r="447" spans="1:25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  <c r="X447" s="98">
        <v>4.2</v>
      </c>
      <c r="Y447" s="97">
        <v>166.46190476190475</v>
      </c>
    </row>
    <row r="448" spans="1:25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  <c r="X448" s="98">
        <v>4.2</v>
      </c>
      <c r="Y448" s="97">
        <v>342.81904761904764</v>
      </c>
    </row>
    <row r="449" spans="1:25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  <c r="X449" s="98">
        <v>4.2</v>
      </c>
      <c r="Y449" s="97">
        <v>166.46190476190475</v>
      </c>
    </row>
    <row r="450" spans="1:25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  <c r="X450" s="98">
        <v>4.2</v>
      </c>
      <c r="Y450" s="97">
        <v>317.72380952380951</v>
      </c>
    </row>
    <row r="451" spans="1:25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  <c r="X451" s="98">
        <v>4.2</v>
      </c>
      <c r="Y451" s="97">
        <v>199.92380952380952</v>
      </c>
    </row>
    <row r="452" spans="1:25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  <c r="X452" s="98">
        <v>4.2</v>
      </c>
      <c r="Y452" s="97">
        <v>374.89761904761906</v>
      </c>
    </row>
    <row r="453" spans="1:25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  <c r="X453" s="98">
        <v>4.2</v>
      </c>
      <c r="Y453" s="97">
        <v>317.72380952380951</v>
      </c>
    </row>
    <row r="454" spans="1:25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  <c r="X454" s="98">
        <v>4.2</v>
      </c>
      <c r="Y454" s="97">
        <v>399.99285714285708</v>
      </c>
    </row>
    <row r="455" spans="1:25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  <c r="X455" s="98">
        <v>4.2</v>
      </c>
      <c r="Y455" s="97">
        <v>330.2714285714286</v>
      </c>
    </row>
    <row r="456" spans="1:25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  <c r="X456" s="98">
        <v>4.2</v>
      </c>
      <c r="Y456" s="97">
        <v>166.46190476190475</v>
      </c>
    </row>
    <row r="457" spans="1:25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  <c r="X457" s="98">
        <v>4.2</v>
      </c>
      <c r="Y457" s="97">
        <v>437.63571428571424</v>
      </c>
    </row>
    <row r="458" spans="1:25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  <c r="X458" s="98">
        <v>4.2</v>
      </c>
      <c r="Y458" s="97">
        <v>216.6547619047619</v>
      </c>
    </row>
    <row r="459" spans="1:25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  <c r="X459" s="98">
        <v>4.2</v>
      </c>
      <c r="Y459" s="97">
        <v>437.63571428571424</v>
      </c>
    </row>
    <row r="460" spans="1:25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  <c r="X460" s="98">
        <v>4.2</v>
      </c>
      <c r="Y460" s="97">
        <v>437.63571428571424</v>
      </c>
    </row>
    <row r="461" spans="1:25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  <c r="X461" s="98">
        <v>4.2</v>
      </c>
      <c r="Y461" s="97">
        <v>183.19285714285712</v>
      </c>
    </row>
    <row r="462" spans="1:25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  <c r="X462" s="98">
        <v>4.2</v>
      </c>
      <c r="Y462" s="97">
        <v>166.46190476190475</v>
      </c>
    </row>
    <row r="463" spans="1:25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  <c r="X463" s="98">
        <v>4.2</v>
      </c>
      <c r="Y463" s="97">
        <v>425.08809523809521</v>
      </c>
    </row>
    <row r="464" spans="1:25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  <c r="X464" s="98">
        <v>4.2</v>
      </c>
      <c r="Y464" s="97">
        <v>412.54047619047617</v>
      </c>
    </row>
    <row r="465" spans="1:25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  <c r="X465" s="98">
        <v>4.2</v>
      </c>
      <c r="Y465" s="97">
        <v>199.92380952380952</v>
      </c>
    </row>
    <row r="466" spans="1:25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  <c r="X466" s="98">
        <v>4.2</v>
      </c>
      <c r="Y466" s="97">
        <v>199.92380952380952</v>
      </c>
    </row>
    <row r="467" spans="1:25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  <c r="X467" s="98">
        <v>4.2</v>
      </c>
      <c r="Y467" s="97">
        <v>355.36666666666662</v>
      </c>
    </row>
    <row r="468" spans="1:25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  <c r="X468" s="98">
        <v>4.2</v>
      </c>
      <c r="Y468" s="97">
        <v>199.92380952380952</v>
      </c>
    </row>
    <row r="469" spans="1:25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  <c r="X469" s="98">
        <v>4.2</v>
      </c>
      <c r="Y469" s="97">
        <v>149.73095238095235</v>
      </c>
    </row>
    <row r="470" spans="1:25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  <c r="X470" s="98">
        <v>4.2</v>
      </c>
      <c r="Y470" s="97">
        <v>317.72380952380951</v>
      </c>
    </row>
    <row r="471" spans="1:25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  <c r="X471" s="98">
        <v>4.2</v>
      </c>
      <c r="Y471" s="97">
        <v>355.36666666666662</v>
      </c>
    </row>
    <row r="472" spans="1:25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  <c r="X472" s="98">
        <v>4.2</v>
      </c>
      <c r="Y472" s="97">
        <v>199.92380952380952</v>
      </c>
    </row>
    <row r="473" spans="1:25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  <c r="X473" s="98">
        <v>4.2</v>
      </c>
      <c r="Y473" s="97">
        <v>216.6547619047619</v>
      </c>
    </row>
    <row r="474" spans="1:25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  <c r="X474" s="98">
        <v>4.2</v>
      </c>
      <c r="Y474" s="97">
        <v>216.6547619047619</v>
      </c>
    </row>
    <row r="475" spans="1:25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  <c r="X475" s="98">
        <v>4.2</v>
      </c>
      <c r="Y475" s="97">
        <v>183.19285714285712</v>
      </c>
    </row>
    <row r="476" spans="1:25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  <c r="X476" s="98">
        <v>4.2</v>
      </c>
      <c r="Y476" s="97">
        <v>116.26904761904763</v>
      </c>
    </row>
    <row r="477" spans="1:25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  <c r="X477" s="98">
        <v>4.2</v>
      </c>
      <c r="Y477" s="97">
        <v>199.92380952380952</v>
      </c>
    </row>
    <row r="478" spans="1:25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  <c r="X478" s="98">
        <v>4.2</v>
      </c>
      <c r="Y478" s="97">
        <v>317.72380952380951</v>
      </c>
    </row>
    <row r="479" spans="1:25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  <c r="X479" s="98">
        <v>4.2</v>
      </c>
      <c r="Y479" s="97">
        <v>199.92380952380952</v>
      </c>
    </row>
    <row r="480" spans="1:25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  <c r="X480" s="98">
        <v>4.2</v>
      </c>
      <c r="Y480" s="97">
        <v>216.6547619047619</v>
      </c>
    </row>
    <row r="481" spans="1:25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  <c r="X481" s="98">
        <v>4.2</v>
      </c>
      <c r="Y481" s="97">
        <v>199.92380952380952</v>
      </c>
    </row>
    <row r="482" spans="1:25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  <c r="X482" s="98">
        <v>4.2</v>
      </c>
      <c r="Y482" s="97">
        <v>330.2714285714286</v>
      </c>
    </row>
    <row r="483" spans="1:25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  <c r="X483" s="98">
        <v>4.2</v>
      </c>
      <c r="Y483" s="97">
        <v>500.37380952380948</v>
      </c>
    </row>
    <row r="484" spans="1:25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  <c r="X484" s="98">
        <v>4.2</v>
      </c>
      <c r="Y484" s="97">
        <v>317.72380952380951</v>
      </c>
    </row>
    <row r="485" spans="1:25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  <c r="X485" s="98">
        <v>4.2</v>
      </c>
      <c r="Y485" s="97">
        <v>183.19285714285712</v>
      </c>
    </row>
    <row r="486" spans="1:25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  <c r="X486" s="98">
        <v>4.2</v>
      </c>
      <c r="Y486" s="97">
        <v>319.06666666666661</v>
      </c>
    </row>
    <row r="487" spans="1:25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  <c r="X487" s="98">
        <v>4.2</v>
      </c>
      <c r="Y487" s="97">
        <v>116.26904761904763</v>
      </c>
    </row>
    <row r="488" spans="1:25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  <c r="X488" s="98">
        <v>4.2</v>
      </c>
      <c r="Y488" s="97">
        <v>462.73095238095237</v>
      </c>
    </row>
    <row r="489" spans="1:25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  <c r="X489" s="98">
        <v>4.2</v>
      </c>
      <c r="Y489" s="97">
        <v>133</v>
      </c>
    </row>
    <row r="490" spans="1:25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  <c r="X490" s="98">
        <v>4.2</v>
      </c>
      <c r="Y490" s="97">
        <v>342.81904761904764</v>
      </c>
    </row>
    <row r="491" spans="1:25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  <c r="X491" s="98">
        <v>4.2</v>
      </c>
      <c r="Y491" s="97">
        <v>317.72380952380951</v>
      </c>
    </row>
    <row r="492" spans="1:25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  <c r="X492" s="98">
        <v>4.2</v>
      </c>
      <c r="Y492" s="97">
        <v>355.36666666666662</v>
      </c>
    </row>
    <row r="493" spans="1:25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  <c r="X493" s="98">
        <v>4.2</v>
      </c>
      <c r="Y493" s="97">
        <v>199.92380952380952</v>
      </c>
    </row>
    <row r="494" spans="1:25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  <c r="X494" s="98">
        <v>4.2</v>
      </c>
      <c r="Y494" s="97">
        <v>355.36666666666662</v>
      </c>
    </row>
    <row r="495" spans="1:25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  <c r="X495" s="98">
        <v>4.2</v>
      </c>
      <c r="Y495" s="97">
        <v>367.91428571428571</v>
      </c>
    </row>
    <row r="496" spans="1:25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  <c r="X496" s="98">
        <v>4.2</v>
      </c>
      <c r="Y496" s="97">
        <v>216.6547619047619</v>
      </c>
    </row>
    <row r="497" spans="1:25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  <c r="X497" s="98">
        <v>4.2</v>
      </c>
      <c r="Y497" s="97">
        <v>342.81904761904764</v>
      </c>
    </row>
    <row r="498" spans="1:25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  <c r="X498" s="98">
        <v>4.2</v>
      </c>
      <c r="Y498" s="97">
        <v>450.18333333333334</v>
      </c>
    </row>
    <row r="499" spans="1:25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  <c r="X499" s="98">
        <v>4.2</v>
      </c>
      <c r="Y499" s="97">
        <v>199.92380952380952</v>
      </c>
    </row>
    <row r="500" spans="1:25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  <c r="X500" s="98">
        <v>4.2</v>
      </c>
      <c r="Y500" s="97">
        <v>166.46190476190475</v>
      </c>
    </row>
    <row r="501" spans="1:25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  <c r="X501" s="98">
        <v>4.2</v>
      </c>
      <c r="Y501" s="97">
        <v>317.72380952380951</v>
      </c>
    </row>
    <row r="502" spans="1:25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  <c r="X502" s="98">
        <v>4.2</v>
      </c>
      <c r="Y502" s="97">
        <v>468.29523809523806</v>
      </c>
    </row>
    <row r="503" spans="1:25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  <c r="X503" s="98">
        <v>4.2</v>
      </c>
      <c r="Y503" s="97">
        <v>531.0333333333333</v>
      </c>
    </row>
    <row r="504" spans="1:25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  <c r="X504" s="98">
        <v>4.2</v>
      </c>
      <c r="Y504" s="97">
        <v>405.55714285714282</v>
      </c>
    </row>
    <row r="505" spans="1:25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  <c r="X505" s="98">
        <v>4.2</v>
      </c>
      <c r="Y505" s="97">
        <v>342.81904761904764</v>
      </c>
    </row>
    <row r="506" spans="1:25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  <c r="X506" s="98">
        <v>4.2</v>
      </c>
      <c r="Y506" s="97">
        <v>199.92380952380952</v>
      </c>
    </row>
    <row r="507" spans="1:25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  <c r="X507" s="98">
        <v>4.2</v>
      </c>
      <c r="Y507" s="97">
        <v>183.19285714285712</v>
      </c>
    </row>
    <row r="508" spans="1:25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  <c r="X508" s="98">
        <v>4.2</v>
      </c>
      <c r="Y508" s="97">
        <v>380.46190476190475</v>
      </c>
    </row>
    <row r="509" spans="1:25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  <c r="X509" s="98">
        <v>4.2</v>
      </c>
      <c r="Y509" s="97">
        <v>430.65238095238095</v>
      </c>
    </row>
    <row r="510" spans="1:25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  <c r="X510" s="98">
        <v>4.2</v>
      </c>
      <c r="Y510" s="97">
        <v>430.65238095238095</v>
      </c>
    </row>
    <row r="511" spans="1:25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  <c r="X511" s="98">
        <v>4.2</v>
      </c>
      <c r="Y511" s="97">
        <v>317.72380952380951</v>
      </c>
    </row>
    <row r="512" spans="1:25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  <c r="X512" s="98">
        <v>4.2</v>
      </c>
      <c r="Y512" s="97">
        <v>317.72380952380951</v>
      </c>
    </row>
    <row r="513" spans="1:25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  <c r="X513" s="98">
        <v>4.2</v>
      </c>
      <c r="Y513" s="97">
        <v>443.2</v>
      </c>
    </row>
    <row r="514" spans="1:25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  <c r="X514" s="98">
        <v>4.2</v>
      </c>
      <c r="Y514" s="97">
        <v>455.74761904761908</v>
      </c>
    </row>
    <row r="515" spans="1:25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  <c r="X515" s="98">
        <v>4.2</v>
      </c>
      <c r="Y515" s="97">
        <v>317.72380952380951</v>
      </c>
    </row>
    <row r="516" spans="1:25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  <c r="X516" s="98">
        <v>4.2</v>
      </c>
      <c r="Y516" s="97">
        <v>393.00952380952378</v>
      </c>
    </row>
    <row r="517" spans="1:25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  <c r="X517" s="98">
        <v>4.2</v>
      </c>
      <c r="Y517" s="97">
        <v>216.6547619047619</v>
      </c>
    </row>
    <row r="518" spans="1:25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  <c r="X518" s="98">
        <v>4.2</v>
      </c>
      <c r="Y518" s="97">
        <v>317.72380952380951</v>
      </c>
    </row>
    <row r="519" spans="1:25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  <c r="X519" s="98">
        <v>4.2</v>
      </c>
      <c r="Y519" s="97">
        <v>418.10476190476186</v>
      </c>
    </row>
    <row r="520" spans="1:25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  <c r="X520" s="98">
        <v>4.2</v>
      </c>
      <c r="Y520" s="97">
        <v>133</v>
      </c>
    </row>
    <row r="521" spans="1:25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  <c r="X521" s="98">
        <v>4.2</v>
      </c>
      <c r="Y521" s="97">
        <v>116.26904761904763</v>
      </c>
    </row>
    <row r="522" spans="1:25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  <c r="X522" s="98">
        <v>4.2</v>
      </c>
      <c r="Y522" s="97">
        <v>133</v>
      </c>
    </row>
    <row r="523" spans="1:25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  <c r="X523" s="98">
        <v>4.2</v>
      </c>
      <c r="Y523" s="97">
        <v>367.91428571428571</v>
      </c>
    </row>
    <row r="524" spans="1:25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  <c r="X524" s="98">
        <v>4.2</v>
      </c>
      <c r="Y524" s="97">
        <v>317.72380952380951</v>
      </c>
    </row>
    <row r="525" spans="1:25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  <c r="X525" s="98">
        <v>4.2</v>
      </c>
      <c r="Y525" s="97">
        <v>149.73095238095235</v>
      </c>
    </row>
    <row r="526" spans="1:25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  <c r="X526" s="98">
        <v>4.2</v>
      </c>
      <c r="Y526" s="97">
        <v>149.73095238095235</v>
      </c>
    </row>
    <row r="527" spans="1:25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  <c r="X527" s="98">
        <v>4.2</v>
      </c>
      <c r="Y527" s="97">
        <v>199.92380952380952</v>
      </c>
    </row>
    <row r="528" spans="1:25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  <c r="X528" s="98">
        <v>4.2</v>
      </c>
      <c r="Y528" s="97">
        <v>183.19285714285712</v>
      </c>
    </row>
    <row r="529" spans="1:25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  <c r="X529" s="98">
        <v>4.2</v>
      </c>
      <c r="Y529" s="97">
        <v>468.29523809523806</v>
      </c>
    </row>
    <row r="530" spans="1:25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  <c r="X530" s="98">
        <v>4.2</v>
      </c>
      <c r="Y530" s="97">
        <v>493.39047619047614</v>
      </c>
    </row>
    <row r="531" spans="1:25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  <c r="X531" s="98">
        <v>4.2</v>
      </c>
      <c r="Y531" s="97">
        <v>393.00952380952378</v>
      </c>
    </row>
    <row r="532" spans="1:25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  <c r="X532" s="98">
        <v>4.2</v>
      </c>
      <c r="Y532" s="97">
        <v>443.2</v>
      </c>
    </row>
    <row r="533" spans="1:25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  <c r="X533" s="98">
        <v>4.2</v>
      </c>
      <c r="Y533" s="97">
        <v>342.81904761904764</v>
      </c>
    </row>
    <row r="534" spans="1:25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  <c r="X534" s="98">
        <v>4.2</v>
      </c>
      <c r="Y534" s="97">
        <v>393.00952380952378</v>
      </c>
    </row>
    <row r="535" spans="1:25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  <c r="X535" s="98">
        <v>4.2</v>
      </c>
      <c r="Y535" s="97">
        <v>355.36666666666662</v>
      </c>
    </row>
    <row r="536" spans="1:25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  <c r="X536" s="98">
        <v>4.2</v>
      </c>
      <c r="Y536" s="97">
        <v>166.46190476190475</v>
      </c>
    </row>
    <row r="537" spans="1:25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  <c r="X537" s="98">
        <v>4.2</v>
      </c>
      <c r="Y537" s="97">
        <v>183.19285714285712</v>
      </c>
    </row>
    <row r="538" spans="1:25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  <c r="X538" s="98">
        <v>4.2</v>
      </c>
      <c r="Y538" s="97">
        <v>317.72380952380951</v>
      </c>
    </row>
    <row r="539" spans="1:25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  <c r="X539" s="98">
        <v>4.2</v>
      </c>
      <c r="Y539" s="97">
        <v>443.2</v>
      </c>
    </row>
    <row r="540" spans="1:25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  <c r="X540" s="98">
        <v>4.2</v>
      </c>
      <c r="Y540" s="97">
        <v>418.10476190476186</v>
      </c>
    </row>
    <row r="541" spans="1:25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  <c r="X541" s="98">
        <v>4.2</v>
      </c>
      <c r="Y541" s="97">
        <v>393.00952380952378</v>
      </c>
    </row>
    <row r="542" spans="1:25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  <c r="X542" s="98">
        <v>4.2</v>
      </c>
      <c r="Y542" s="97">
        <v>550.56428571428569</v>
      </c>
    </row>
    <row r="543" spans="1:25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  <c r="X543" s="98">
        <v>4.2</v>
      </c>
      <c r="Y543" s="97">
        <v>538.01666666666654</v>
      </c>
    </row>
    <row r="544" spans="1:25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  <c r="X544" s="98">
        <v>4.2</v>
      </c>
      <c r="Y544" s="97">
        <v>405.55714285714282</v>
      </c>
    </row>
    <row r="545" spans="1:25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  <c r="X545" s="98">
        <v>4.2</v>
      </c>
      <c r="Y545" s="97">
        <v>393.00952380952378</v>
      </c>
    </row>
    <row r="546" spans="1:25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  <c r="X546" s="98">
        <v>4.2</v>
      </c>
      <c r="Y546" s="97">
        <v>393.00952380952378</v>
      </c>
    </row>
    <row r="547" spans="1:25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  <c r="X547" s="98">
        <v>4.2</v>
      </c>
      <c r="Y547" s="97">
        <v>199.92380952380952</v>
      </c>
    </row>
    <row r="548" spans="1:25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  <c r="X548" s="98">
        <v>4.2</v>
      </c>
      <c r="Y548" s="97">
        <v>443.2</v>
      </c>
    </row>
    <row r="549" spans="1:25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  <c r="X549" s="98">
        <v>4.2</v>
      </c>
      <c r="Y549" s="97">
        <v>425.08809523809521</v>
      </c>
    </row>
    <row r="550" spans="1:25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  <c r="X550" s="98">
        <v>4.2</v>
      </c>
      <c r="Y550" s="97">
        <v>330.2714285714286</v>
      </c>
    </row>
    <row r="551" spans="1:25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  <c r="X551" s="98">
        <v>4.2</v>
      </c>
      <c r="Y551" s="97">
        <v>199.92380952380952</v>
      </c>
    </row>
    <row r="552" spans="1:25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  <c r="X552" s="98">
        <v>4.2</v>
      </c>
      <c r="Y552" s="97">
        <v>183.19285714285712</v>
      </c>
    </row>
    <row r="553" spans="1:25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  <c r="X553" s="98">
        <v>4.2</v>
      </c>
      <c r="Y553" s="97">
        <v>367.91428571428571</v>
      </c>
    </row>
    <row r="554" spans="1:25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  <c r="X554" s="98">
        <v>4.2</v>
      </c>
      <c r="Y554" s="97">
        <v>500.37380952380948</v>
      </c>
    </row>
    <row r="555" spans="1:25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  <c r="X555" s="98">
        <v>4.2</v>
      </c>
      <c r="Y555" s="97">
        <v>166.46190476190475</v>
      </c>
    </row>
    <row r="556" spans="1:25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  <c r="X556" s="98">
        <v>4.2</v>
      </c>
      <c r="Y556" s="97">
        <v>149.73095238095235</v>
      </c>
    </row>
    <row r="557" spans="1:25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  <c r="X557" s="98">
        <v>4.2</v>
      </c>
      <c r="Y557" s="97">
        <v>355.36666666666662</v>
      </c>
    </row>
    <row r="558" spans="1:25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  <c r="X558" s="98">
        <v>4.2</v>
      </c>
      <c r="Y558" s="97">
        <v>418.10476190476186</v>
      </c>
    </row>
    <row r="559" spans="1:25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  <c r="X559" s="98">
        <v>4.2</v>
      </c>
      <c r="Y559" s="97">
        <v>455.74761904761908</v>
      </c>
    </row>
    <row r="560" spans="1:25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  <c r="X560" s="98">
        <v>4.2</v>
      </c>
      <c r="Y560" s="97">
        <v>512.92142857142858</v>
      </c>
    </row>
    <row r="561" spans="1:25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  <c r="X561" s="98">
        <v>4.2</v>
      </c>
      <c r="Y561" s="97">
        <v>183.19285714285712</v>
      </c>
    </row>
    <row r="562" spans="1:25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  <c r="X562" s="98">
        <v>4.2</v>
      </c>
      <c r="Y562" s="97">
        <v>149.73095238095235</v>
      </c>
    </row>
    <row r="563" spans="1:25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  <c r="X563" s="98">
        <v>4.2</v>
      </c>
      <c r="Y563" s="97">
        <v>355.36666666666662</v>
      </c>
    </row>
    <row r="564" spans="1:25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  <c r="X564" s="98">
        <v>4.2</v>
      </c>
      <c r="Y564" s="97">
        <v>216.6547619047619</v>
      </c>
    </row>
    <row r="565" spans="1:25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  <c r="X565" s="98">
        <v>4.2</v>
      </c>
      <c r="Y565" s="97">
        <v>199.92380952380952</v>
      </c>
    </row>
    <row r="566" spans="1:25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  <c r="X566" s="98">
        <v>4.2</v>
      </c>
      <c r="Y566" s="97">
        <v>216.6547619047619</v>
      </c>
    </row>
    <row r="567" spans="1:25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  <c r="X567" s="98">
        <v>4.2</v>
      </c>
      <c r="Y567" s="97">
        <v>199.92380952380952</v>
      </c>
    </row>
    <row r="568" spans="1:25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  <c r="X568" s="98">
        <v>4.2</v>
      </c>
      <c r="Y568" s="97">
        <v>183.19285714285712</v>
      </c>
    </row>
    <row r="569" spans="1:25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  <c r="X569" s="98">
        <v>4.2</v>
      </c>
      <c r="Y569" s="97">
        <v>183.19285714285712</v>
      </c>
    </row>
    <row r="570" spans="1:25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  <c r="X570" s="98">
        <v>4.2</v>
      </c>
      <c r="Y570" s="97">
        <v>367.91428571428571</v>
      </c>
    </row>
    <row r="571" spans="1:25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  <c r="X571" s="98">
        <v>4.2</v>
      </c>
      <c r="Y571" s="97">
        <v>317.72380952380951</v>
      </c>
    </row>
    <row r="572" spans="1:25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  <c r="X572" s="98">
        <v>4.2</v>
      </c>
      <c r="Y572" s="97">
        <v>317.72380952380951</v>
      </c>
    </row>
    <row r="573" spans="1:25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  <c r="X573" s="98">
        <v>4.2</v>
      </c>
      <c r="Y573" s="97">
        <v>183.19285714285712</v>
      </c>
    </row>
    <row r="574" spans="1:25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  <c r="X574" s="98">
        <v>4.2</v>
      </c>
      <c r="Y574" s="97">
        <v>475.27857142857147</v>
      </c>
    </row>
    <row r="575" spans="1:25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  <c r="X575" s="98">
        <v>4.2</v>
      </c>
      <c r="Y575" s="97">
        <v>216.6547619047619</v>
      </c>
    </row>
    <row r="576" spans="1:25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  <c r="X576" s="98">
        <v>4.2</v>
      </c>
      <c r="Y576" s="97">
        <v>342.81904761904764</v>
      </c>
    </row>
    <row r="577" spans="1:25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  <c r="X577" s="98">
        <v>4.2</v>
      </c>
      <c r="Y577" s="97">
        <v>183.19285714285712</v>
      </c>
    </row>
    <row r="578" spans="1:25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  <c r="X578" s="98">
        <v>4.2</v>
      </c>
      <c r="Y578" s="97">
        <v>199.92380952380952</v>
      </c>
    </row>
    <row r="579" spans="1:25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  <c r="X579" s="98">
        <v>4.2</v>
      </c>
      <c r="Y579" s="97">
        <v>149.73095238095235</v>
      </c>
    </row>
    <row r="580" spans="1:25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  <c r="X580" s="98">
        <v>4.2</v>
      </c>
      <c r="Y580" s="97">
        <v>116.26904761904763</v>
      </c>
    </row>
    <row r="581" spans="1:25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  <c r="X581" s="98">
        <v>4.2</v>
      </c>
      <c r="Y581" s="97">
        <v>317.72380952380951</v>
      </c>
    </row>
    <row r="582" spans="1:25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  <c r="X582" s="98">
        <v>4.2</v>
      </c>
      <c r="Y582" s="97">
        <v>149.73095238095235</v>
      </c>
    </row>
    <row r="583" spans="1:25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  <c r="X583" s="98">
        <v>4.2</v>
      </c>
      <c r="Y583" s="97">
        <v>133</v>
      </c>
    </row>
    <row r="584" spans="1:25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  <c r="X584" s="98">
        <v>4.2</v>
      </c>
      <c r="Y584" s="97">
        <v>133</v>
      </c>
    </row>
    <row r="585" spans="1:25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  <c r="X585" s="98">
        <v>4.2</v>
      </c>
      <c r="Y585" s="97">
        <v>183.19285714285712</v>
      </c>
    </row>
    <row r="586" spans="1:25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  <c r="X586" s="98">
        <v>4.2</v>
      </c>
      <c r="Y586" s="97">
        <v>342.81904761904764</v>
      </c>
    </row>
    <row r="587" spans="1:25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  <c r="X587" s="98">
        <v>4.2</v>
      </c>
      <c r="Y587" s="97">
        <v>342.81904761904764</v>
      </c>
    </row>
    <row r="588" spans="1:25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  <c r="X588" s="98">
        <v>4.2</v>
      </c>
      <c r="Y588" s="97">
        <v>443.2</v>
      </c>
    </row>
    <row r="589" spans="1:25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  <c r="X589" s="98">
        <v>4.2</v>
      </c>
      <c r="Y589" s="97">
        <v>374.89761904761906</v>
      </c>
    </row>
    <row r="590" spans="1:25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  <c r="X590" s="98">
        <v>4.2</v>
      </c>
      <c r="Y590" s="97">
        <v>487.82619047619045</v>
      </c>
    </row>
    <row r="591" spans="1:25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  <c r="X591" s="98">
        <v>4.2</v>
      </c>
      <c r="Y591" s="97">
        <v>317.72380952380951</v>
      </c>
    </row>
    <row r="592" spans="1:25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  <c r="X592" s="98">
        <v>4.2</v>
      </c>
      <c r="Y592" s="97">
        <v>342.81904761904764</v>
      </c>
    </row>
    <row r="593" spans="1:25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  <c r="X593" s="98">
        <v>4.2</v>
      </c>
      <c r="Y593" s="97">
        <v>437.63571428571424</v>
      </c>
    </row>
    <row r="594" spans="1:25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  <c r="X594" s="98">
        <v>4.2</v>
      </c>
      <c r="Y594" s="97">
        <v>199.92380952380952</v>
      </c>
    </row>
    <row r="595" spans="1:25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  <c r="X595" s="98">
        <v>4.2</v>
      </c>
      <c r="Y595" s="97">
        <v>166.46190476190475</v>
      </c>
    </row>
    <row r="596" spans="1:25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  <c r="X596" s="98">
        <v>4.2</v>
      </c>
      <c r="Y596" s="97">
        <v>355.36666666666662</v>
      </c>
    </row>
    <row r="597" spans="1:25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  <c r="X597" s="98">
        <v>4.2</v>
      </c>
      <c r="Y597" s="97">
        <v>355.36666666666662</v>
      </c>
    </row>
    <row r="598" spans="1:25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  <c r="X598" s="98">
        <v>4.2</v>
      </c>
      <c r="Y598" s="97">
        <v>199.92380952380952</v>
      </c>
    </row>
    <row r="599" spans="1:25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  <c r="X599" s="98">
        <v>4.2</v>
      </c>
      <c r="Y599" s="97">
        <v>116.26904761904763</v>
      </c>
    </row>
    <row r="600" spans="1:25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  <c r="X600" s="98">
        <v>4.2</v>
      </c>
      <c r="Y600" s="97">
        <v>133</v>
      </c>
    </row>
    <row r="601" spans="1:25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  <c r="X601" s="98">
        <v>4.2</v>
      </c>
      <c r="Y601" s="97">
        <v>166.46190476190475</v>
      </c>
    </row>
    <row r="602" spans="1:25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  <c r="X602" s="98">
        <v>4.2</v>
      </c>
      <c r="Y602" s="97">
        <v>319.06666666666661</v>
      </c>
    </row>
    <row r="603" spans="1:25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  <c r="X603" s="98">
        <v>4.2</v>
      </c>
      <c r="Y603" s="97">
        <v>216.6547619047619</v>
      </c>
    </row>
    <row r="604" spans="1:25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  <c r="X604" s="98">
        <v>4.2</v>
      </c>
      <c r="Y604" s="97">
        <v>216.6547619047619</v>
      </c>
    </row>
    <row r="605" spans="1:25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  <c r="X605" s="98">
        <v>4.2</v>
      </c>
      <c r="Y605" s="97">
        <v>166.46190476190475</v>
      </c>
    </row>
    <row r="606" spans="1:25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  <c r="X606" s="98">
        <v>4.2</v>
      </c>
      <c r="Y606" s="97">
        <v>133</v>
      </c>
    </row>
    <row r="607" spans="1:25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  <c r="X607" s="98">
        <v>4.2</v>
      </c>
      <c r="Y607" s="97">
        <v>149.73095238095235</v>
      </c>
    </row>
    <row r="608" spans="1:25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  <c r="X608" s="98">
        <v>4.2</v>
      </c>
      <c r="Y608" s="97">
        <v>199.92380952380952</v>
      </c>
    </row>
    <row r="609" spans="1:25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  <c r="X609" s="98">
        <v>4.2</v>
      </c>
      <c r="Y609" s="97">
        <v>319.06666666666661</v>
      </c>
    </row>
    <row r="610" spans="1:25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  <c r="X610" s="98">
        <v>4.2</v>
      </c>
      <c r="Y610" s="97">
        <v>319.06666666666661</v>
      </c>
    </row>
    <row r="611" spans="1:25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  <c r="X611" s="98">
        <v>4.2</v>
      </c>
      <c r="Y611" s="97">
        <v>330.2714285714286</v>
      </c>
    </row>
    <row r="612" spans="1:25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  <c r="X612" s="98">
        <v>4.2</v>
      </c>
      <c r="Y612" s="97">
        <v>166.46190476190475</v>
      </c>
    </row>
    <row r="613" spans="1:25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  <c r="X613" s="98">
        <v>4.2</v>
      </c>
      <c r="Y613" s="97">
        <v>149.73095238095235</v>
      </c>
    </row>
    <row r="614" spans="1:25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  <c r="X614" s="98">
        <v>4.2</v>
      </c>
      <c r="Y614" s="97">
        <v>216.6547619047619</v>
      </c>
    </row>
    <row r="615" spans="1:25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  <c r="X615" s="98">
        <v>4.2</v>
      </c>
      <c r="Y615" s="97">
        <v>199.92380952380952</v>
      </c>
    </row>
    <row r="616" spans="1:25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  <c r="X616" s="98">
        <v>4.2</v>
      </c>
      <c r="Y616" s="97">
        <v>317.72380952380951</v>
      </c>
    </row>
    <row r="617" spans="1:25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  <c r="X617" s="98">
        <v>4.2</v>
      </c>
      <c r="Y617" s="97">
        <v>183.19285714285712</v>
      </c>
    </row>
    <row r="618" spans="1:25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  <c r="X618" s="98">
        <v>4.2</v>
      </c>
      <c r="Y618" s="97">
        <v>367.91428571428571</v>
      </c>
    </row>
    <row r="619" spans="1:25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  <c r="X619" s="98">
        <v>4.2</v>
      </c>
      <c r="Y619" s="97">
        <v>487.82619047619045</v>
      </c>
    </row>
    <row r="620" spans="1:25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  <c r="X620" s="98">
        <v>4.2</v>
      </c>
      <c r="Y620" s="97">
        <v>450.18333333333334</v>
      </c>
    </row>
    <row r="621" spans="1:25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  <c r="X621" s="98">
        <v>4.2</v>
      </c>
      <c r="Y621" s="97">
        <v>330.2714285714286</v>
      </c>
    </row>
    <row r="622" spans="1:25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  <c r="X622" s="98">
        <v>4.2</v>
      </c>
      <c r="Y622" s="97">
        <v>317.72380952380951</v>
      </c>
    </row>
    <row r="623" spans="1:25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  <c r="X623" s="98">
        <v>4.2</v>
      </c>
      <c r="Y623" s="97">
        <v>116.26904761904763</v>
      </c>
    </row>
    <row r="624" spans="1:25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  <c r="X624" s="98">
        <v>4.2</v>
      </c>
      <c r="Y624" s="97">
        <v>399.99285714285708</v>
      </c>
    </row>
    <row r="625" spans="1:25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  <c r="X625" s="98">
        <v>4.2</v>
      </c>
      <c r="Y625" s="97">
        <v>374.89761904761906</v>
      </c>
    </row>
    <row r="626" spans="1:25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  <c r="X626" s="98">
        <v>4.2</v>
      </c>
      <c r="Y626" s="97">
        <v>319.06666666666661</v>
      </c>
    </row>
    <row r="627" spans="1:25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  <c r="X627" s="98">
        <v>4.2</v>
      </c>
      <c r="Y627" s="97">
        <v>183.19285714285712</v>
      </c>
    </row>
    <row r="628" spans="1:25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  <c r="X628" s="98">
        <v>4.2</v>
      </c>
      <c r="Y628" s="97">
        <v>475.27857142857147</v>
      </c>
    </row>
    <row r="629" spans="1:25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  <c r="X629" s="98">
        <v>4.2</v>
      </c>
      <c r="Y629" s="97">
        <v>166.46190476190475</v>
      </c>
    </row>
    <row r="630" spans="1:25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  <c r="X630" s="98">
        <v>4.2</v>
      </c>
      <c r="Y630" s="97">
        <v>183.19285714285712</v>
      </c>
    </row>
    <row r="631" spans="1:25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  <c r="X631" s="98">
        <v>4.2</v>
      </c>
      <c r="Y631" s="97">
        <v>216.6547619047619</v>
      </c>
    </row>
    <row r="632" spans="1:25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  <c r="X632" s="98">
        <v>4.2</v>
      </c>
      <c r="Y632" s="97">
        <v>380.46190476190475</v>
      </c>
    </row>
    <row r="633" spans="1:25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  <c r="X633" s="98">
        <v>4.2</v>
      </c>
      <c r="Y633" s="97">
        <v>133</v>
      </c>
    </row>
    <row r="634" spans="1:25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  <c r="X634" s="98">
        <v>4.2</v>
      </c>
      <c r="Y634" s="97">
        <v>133</v>
      </c>
    </row>
    <row r="635" spans="1:25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  <c r="X635" s="98">
        <v>4.2</v>
      </c>
      <c r="Y635" s="97">
        <v>330.2714285714286</v>
      </c>
    </row>
    <row r="636" spans="1:25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  <c r="X636" s="98">
        <v>4.2</v>
      </c>
      <c r="Y636" s="97">
        <v>355.36666666666662</v>
      </c>
    </row>
    <row r="637" spans="1:25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  <c r="X637" s="98">
        <v>4.2</v>
      </c>
      <c r="Y637" s="97">
        <v>450.18333333333334</v>
      </c>
    </row>
    <row r="638" spans="1:25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  <c r="X638" s="98">
        <v>4.2</v>
      </c>
      <c r="Y638" s="97">
        <v>317.72380952380951</v>
      </c>
    </row>
    <row r="639" spans="1:25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  <c r="X639" s="98">
        <v>4.2</v>
      </c>
      <c r="Y639" s="97">
        <v>317.72380952380951</v>
      </c>
    </row>
    <row r="640" spans="1:25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  <c r="X640" s="98">
        <v>4.2</v>
      </c>
      <c r="Y640" s="97">
        <v>317.72380952380951</v>
      </c>
    </row>
    <row r="641" spans="1:25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  <c r="X641" s="98">
        <v>4.2</v>
      </c>
      <c r="Y641" s="97">
        <v>317.72380952380951</v>
      </c>
    </row>
    <row r="642" spans="1:25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  <c r="X642" s="98">
        <v>4.2</v>
      </c>
      <c r="Y642" s="97">
        <v>437.63571428571424</v>
      </c>
    </row>
    <row r="643" spans="1:25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  <c r="X643" s="98">
        <v>4.2</v>
      </c>
      <c r="Y643" s="97">
        <v>166.46190476190475</v>
      </c>
    </row>
    <row r="644" spans="1:25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  <c r="X644" s="98">
        <v>4.2</v>
      </c>
      <c r="Y644" s="97">
        <v>133</v>
      </c>
    </row>
    <row r="645" spans="1:25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  <c r="X645" s="98">
        <v>4.2</v>
      </c>
      <c r="Y645" s="97">
        <v>199.92380952380952</v>
      </c>
    </row>
    <row r="646" spans="1:25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  <c r="X646" s="98">
        <v>4.2</v>
      </c>
      <c r="Y646" s="97">
        <v>166.46190476190475</v>
      </c>
    </row>
    <row r="647" spans="1:25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  <c r="X647" s="98">
        <v>4.2</v>
      </c>
      <c r="Y647" s="97">
        <v>199.92380952380952</v>
      </c>
    </row>
    <row r="648" spans="1:25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  <c r="X648" s="98">
        <v>4.2</v>
      </c>
      <c r="Y648" s="97">
        <v>367.91428571428571</v>
      </c>
    </row>
    <row r="649" spans="1:25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  <c r="X649" s="98">
        <v>4.2</v>
      </c>
      <c r="Y649" s="97">
        <v>380.46190476190475</v>
      </c>
    </row>
    <row r="650" spans="1:25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  <c r="X650" s="98">
        <v>4.2</v>
      </c>
      <c r="Y650" s="97">
        <v>393.00952380952378</v>
      </c>
    </row>
    <row r="651" spans="1:25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  <c r="X651" s="98">
        <v>4.2</v>
      </c>
      <c r="Y651" s="97">
        <v>183.19285714285712</v>
      </c>
    </row>
    <row r="652" spans="1:25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  <c r="X652" s="98">
        <v>4.2</v>
      </c>
      <c r="Y652" s="97">
        <v>216.6547619047619</v>
      </c>
    </row>
    <row r="653" spans="1:25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  <c r="X653" s="98">
        <v>4.2</v>
      </c>
      <c r="Y653" s="97">
        <v>183.19285714285712</v>
      </c>
    </row>
    <row r="654" spans="1:25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  <c r="X654" s="98">
        <v>4.2</v>
      </c>
      <c r="Y654" s="97">
        <v>387.4452380952381</v>
      </c>
    </row>
    <row r="655" spans="1:25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  <c r="X655" s="98">
        <v>4.2</v>
      </c>
      <c r="Y655" s="97">
        <v>216.6547619047619</v>
      </c>
    </row>
    <row r="656" spans="1:25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  <c r="X656" s="98">
        <v>4.2</v>
      </c>
      <c r="Y656" s="97">
        <v>199.92380952380952</v>
      </c>
    </row>
    <row r="657" spans="1:25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  <c r="X657" s="98">
        <v>4.2</v>
      </c>
      <c r="Y657" s="97">
        <v>216.6547619047619</v>
      </c>
    </row>
    <row r="658" spans="1:25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  <c r="X658" s="98">
        <v>4.2</v>
      </c>
      <c r="Y658" s="97">
        <v>199.92380952380952</v>
      </c>
    </row>
    <row r="659" spans="1:25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  <c r="X659" s="98">
        <v>4.2</v>
      </c>
      <c r="Y659" s="97">
        <v>342.81904761904764</v>
      </c>
    </row>
    <row r="660" spans="1:25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  <c r="X660" s="98">
        <v>4.2</v>
      </c>
      <c r="Y660" s="97">
        <v>650.9452380952381</v>
      </c>
    </row>
    <row r="661" spans="1:25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  <c r="X661" s="98">
        <v>4.2</v>
      </c>
      <c r="Y661" s="97">
        <v>342.81904761904764</v>
      </c>
    </row>
    <row r="662" spans="1:25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  <c r="X662" s="98">
        <v>4.2</v>
      </c>
      <c r="Y662" s="97">
        <v>216.6547619047619</v>
      </c>
    </row>
    <row r="663" spans="1:25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  <c r="X663" s="98">
        <v>4.2</v>
      </c>
      <c r="Y663" s="97">
        <v>183.19285714285712</v>
      </c>
    </row>
    <row r="664" spans="1:25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  <c r="X664" s="98">
        <v>4.2</v>
      </c>
      <c r="Y664" s="97">
        <v>166.46190476190475</v>
      </c>
    </row>
    <row r="665" spans="1:25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  <c r="X665" s="98">
        <v>4.2</v>
      </c>
      <c r="Y665" s="97">
        <v>166.46190476190475</v>
      </c>
    </row>
    <row r="666" spans="1:25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  <c r="X666" s="98">
        <v>4.2</v>
      </c>
      <c r="Y666" s="97">
        <v>183.19285714285712</v>
      </c>
    </row>
    <row r="667" spans="1:25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  <c r="X667" s="98">
        <v>4.2</v>
      </c>
      <c r="Y667" s="97">
        <v>149.73095238095235</v>
      </c>
    </row>
    <row r="668" spans="1:25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  <c r="X668" s="98">
        <v>4.2</v>
      </c>
      <c r="Y668" s="97">
        <v>166.46190476190475</v>
      </c>
    </row>
    <row r="669" spans="1:25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  <c r="X669" s="98">
        <v>4.2</v>
      </c>
      <c r="Y669" s="97">
        <v>450.18333333333334</v>
      </c>
    </row>
    <row r="670" spans="1:25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  <c r="X670" s="98">
        <v>4.2</v>
      </c>
      <c r="Y670" s="97">
        <v>166.46190476190475</v>
      </c>
    </row>
    <row r="671" spans="1:25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  <c r="X671" s="98">
        <v>4.2</v>
      </c>
      <c r="Y671" s="97">
        <v>183.19285714285712</v>
      </c>
    </row>
    <row r="672" spans="1:25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  <c r="X672" s="98">
        <v>4.2</v>
      </c>
      <c r="Y672" s="97">
        <v>166.46190476190475</v>
      </c>
    </row>
    <row r="673" spans="1:25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  <c r="X673" s="98">
        <v>67.2</v>
      </c>
      <c r="Y673" s="97">
        <v>26.21577380952381</v>
      </c>
    </row>
    <row r="674" spans="1:25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  <c r="X674" s="98">
        <v>12.600000000000001</v>
      </c>
      <c r="Y674" s="97">
        <v>72.218253968253961</v>
      </c>
    </row>
    <row r="675" spans="1:25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  <c r="X675" s="98">
        <v>79.8</v>
      </c>
      <c r="Y675" s="97">
        <v>24.718170426065164</v>
      </c>
    </row>
    <row r="676" spans="1:25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  <c r="X676" s="98">
        <v>8.4</v>
      </c>
      <c r="Y676" s="97">
        <v>108.32738095238095</v>
      </c>
    </row>
    <row r="677" spans="1:25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  <c r="X677" s="98">
        <v>25.200000000000003</v>
      </c>
      <c r="Y677" s="97">
        <v>102.20873015873015</v>
      </c>
    </row>
    <row r="678" spans="1:25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  <c r="X678" s="98">
        <v>25.200000000000003</v>
      </c>
      <c r="Y678" s="97">
        <v>119.83373015873015</v>
      </c>
    </row>
    <row r="679" spans="1:25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  <c r="X679" s="98">
        <v>113.4</v>
      </c>
      <c r="Y679" s="97">
        <v>24.830246913580247</v>
      </c>
    </row>
    <row r="680" spans="1:25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  <c r="X680" s="98">
        <v>117.60000000000002</v>
      </c>
      <c r="Y680" s="97">
        <v>14.980442176870746</v>
      </c>
    </row>
    <row r="681" spans="1:25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  <c r="X681" s="98">
        <v>84</v>
      </c>
      <c r="Y681" s="97">
        <v>41.049761904761908</v>
      </c>
    </row>
    <row r="682" spans="1:25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  <c r="X682" s="98">
        <v>29.400000000000006</v>
      </c>
      <c r="Y682" s="97">
        <v>99.693197278911541</v>
      </c>
    </row>
    <row r="683" spans="1:25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  <c r="X683" s="98">
        <v>8.4</v>
      </c>
      <c r="Y683" s="97">
        <v>269.00833333333327</v>
      </c>
    </row>
    <row r="684" spans="1:25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  <c r="X684" s="98">
        <v>12.600000000000001</v>
      </c>
      <c r="Y684" s="97">
        <v>133.33095238095237</v>
      </c>
    </row>
    <row r="685" spans="1:25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  <c r="X685" s="98">
        <v>12.600000000000001</v>
      </c>
      <c r="Y685" s="97">
        <v>137.51349206349204</v>
      </c>
    </row>
    <row r="686" spans="1:25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  <c r="X686" s="98">
        <v>16.8</v>
      </c>
      <c r="Y686" s="97">
        <v>79.766666666666652</v>
      </c>
    </row>
    <row r="687" spans="1:25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  <c r="X687" s="98">
        <v>8.4</v>
      </c>
      <c r="Y687" s="97">
        <v>269.00833333333327</v>
      </c>
    </row>
    <row r="688" spans="1:25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  <c r="X688" s="98">
        <v>42</v>
      </c>
      <c r="Y688" s="97">
        <v>73.010714285714286</v>
      </c>
    </row>
    <row r="689" spans="1:25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  <c r="X689" s="98">
        <v>54.599999999999994</v>
      </c>
      <c r="Y689" s="97">
        <v>39.987545787545791</v>
      </c>
    </row>
    <row r="690" spans="1:25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  <c r="X690" s="98">
        <v>46.2</v>
      </c>
      <c r="Y690" s="97">
        <v>42.69502164502164</v>
      </c>
    </row>
    <row r="691" spans="1:25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  <c r="X691" s="98">
        <v>8.4</v>
      </c>
      <c r="Y691" s="97">
        <v>91.596428571428561</v>
      </c>
    </row>
    <row r="692" spans="1:25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  <c r="X692" s="98">
        <v>4.2</v>
      </c>
      <c r="Y692" s="97">
        <v>183.19285714285712</v>
      </c>
    </row>
    <row r="693" spans="1:25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  <c r="X693" s="98">
        <v>33.6</v>
      </c>
      <c r="Y693" s="97">
        <v>26.907440476190473</v>
      </c>
    </row>
    <row r="694" spans="1:25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  <c r="X694" s="98">
        <v>8.4</v>
      </c>
      <c r="Y694" s="97">
        <v>164.26190476190479</v>
      </c>
    </row>
    <row r="695" spans="1:25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  <c r="X695" s="98">
        <v>8.4</v>
      </c>
      <c r="Y695" s="97">
        <v>74.865476190476173</v>
      </c>
    </row>
    <row r="696" spans="1:25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  <c r="X696" s="98">
        <v>4.2</v>
      </c>
      <c r="Y696" s="97">
        <v>355.36666666666662</v>
      </c>
    </row>
    <row r="697" spans="1:25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  <c r="X697" s="98">
        <v>4.2</v>
      </c>
      <c r="Y697" s="97">
        <v>183.19285714285712</v>
      </c>
    </row>
    <row r="698" spans="1:25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  <c r="X698" s="98">
        <v>4.2</v>
      </c>
      <c r="Y698" s="97">
        <v>133</v>
      </c>
    </row>
    <row r="699" spans="1:25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  <c r="X699" s="98">
        <v>8.4</v>
      </c>
      <c r="Y699" s="97">
        <v>91.596428571428561</v>
      </c>
    </row>
    <row r="700" spans="1:25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  <c r="X700" s="98">
        <v>84</v>
      </c>
      <c r="Y700" s="97">
        <v>41.049761904761908</v>
      </c>
    </row>
    <row r="701" spans="1:25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  <c r="X701" s="98">
        <v>21</v>
      </c>
      <c r="Y701" s="97">
        <v>63.408095238095235</v>
      </c>
    </row>
    <row r="702" spans="1:25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  <c r="X702" s="98">
        <v>8.4</v>
      </c>
      <c r="Y702" s="97">
        <v>201.9047619047619</v>
      </c>
    </row>
    <row r="703" spans="1:25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  <c r="X703" s="98">
        <v>12.600000000000001</v>
      </c>
      <c r="Y703" s="97">
        <v>133.36111111111109</v>
      </c>
    </row>
    <row r="704" spans="1:25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  <c r="X704" s="98">
        <v>71.400000000000006</v>
      </c>
      <c r="Y704" s="97">
        <v>39.436274509803916</v>
      </c>
    </row>
    <row r="705" spans="1:25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  <c r="X705" s="98">
        <v>8.4</v>
      </c>
      <c r="Y705" s="97">
        <v>176.8095238095238</v>
      </c>
    </row>
    <row r="706" spans="1:25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  <c r="X706" s="98">
        <v>4.2</v>
      </c>
      <c r="Y706" s="97">
        <v>342.81904761904764</v>
      </c>
    </row>
    <row r="707" spans="1:25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  <c r="X707" s="98">
        <v>8.4</v>
      </c>
      <c r="Y707" s="97">
        <v>164.26190476190479</v>
      </c>
    </row>
    <row r="708" spans="1:25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  <c r="X708" s="98">
        <v>4.2</v>
      </c>
      <c r="Y708" s="97">
        <v>342.81904761904764</v>
      </c>
    </row>
    <row r="709" spans="1:25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  <c r="X709" s="98">
        <v>29.400000000000006</v>
      </c>
      <c r="Y709" s="97">
        <v>45.065306122448973</v>
      </c>
    </row>
    <row r="710" spans="1:25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  <c r="X710" s="98">
        <v>50.400000000000006</v>
      </c>
      <c r="Y710" s="97">
        <v>34.954365079365068</v>
      </c>
    </row>
    <row r="711" spans="1:25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  <c r="X711" s="98">
        <v>37.800000000000004</v>
      </c>
      <c r="Y711" s="97">
        <v>29.80449735449735</v>
      </c>
    </row>
    <row r="712" spans="1:25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  <c r="X712" s="98">
        <v>21</v>
      </c>
      <c r="Y712" s="97">
        <v>50.023333333333333</v>
      </c>
    </row>
    <row r="713" spans="1:25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  <c r="X713" s="98">
        <v>8.4</v>
      </c>
      <c r="Y713" s="97">
        <v>170.53571428571428</v>
      </c>
    </row>
    <row r="714" spans="1:25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  <c r="X714" s="98">
        <v>4.2</v>
      </c>
      <c r="Y714" s="97">
        <v>330.2714285714286</v>
      </c>
    </row>
    <row r="715" spans="1:25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  <c r="X715" s="98">
        <v>21</v>
      </c>
      <c r="Y715" s="97">
        <v>76.792857142857144</v>
      </c>
    </row>
    <row r="716" spans="1:25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  <c r="X716" s="98">
        <v>4.2</v>
      </c>
      <c r="Y716" s="97">
        <v>405.55714285714282</v>
      </c>
    </row>
    <row r="717" spans="1:25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  <c r="X717" s="98">
        <v>4.2</v>
      </c>
      <c r="Y717" s="97">
        <v>405.55714285714282</v>
      </c>
    </row>
    <row r="718" spans="1:25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  <c r="X718" s="98">
        <v>12.600000000000001</v>
      </c>
      <c r="Y718" s="97">
        <v>141.72619047619048</v>
      </c>
    </row>
    <row r="719" spans="1:25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  <c r="X719" s="98">
        <v>21</v>
      </c>
      <c r="Y719" s="97">
        <v>66.754285714285714</v>
      </c>
    </row>
    <row r="720" spans="1:25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  <c r="X720" s="98">
        <v>25.200000000000003</v>
      </c>
      <c r="Y720" s="97">
        <v>59.626190476190466</v>
      </c>
    </row>
    <row r="721" spans="1:25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  <c r="X721" s="98">
        <v>113.4</v>
      </c>
      <c r="Y721" s="97">
        <v>30.407231040564376</v>
      </c>
    </row>
    <row r="722" spans="1:25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  <c r="X722" s="98">
        <v>117.60000000000002</v>
      </c>
      <c r="Y722" s="97">
        <v>36.49166666666666</v>
      </c>
    </row>
    <row r="723" spans="1:25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  <c r="X723" s="98">
        <v>4.2</v>
      </c>
      <c r="Y723" s="97">
        <v>367.91428571428571</v>
      </c>
    </row>
    <row r="724" spans="1:25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  <c r="X724" s="98">
        <v>25.200000000000003</v>
      </c>
      <c r="Y724" s="97">
        <v>52.576190476190469</v>
      </c>
    </row>
    <row r="725" spans="1:25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  <c r="X725" s="98">
        <v>12.600000000000001</v>
      </c>
      <c r="Y725" s="97">
        <v>150.09126984126982</v>
      </c>
    </row>
    <row r="726" spans="1:25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  <c r="X726" s="98">
        <v>29.400000000000006</v>
      </c>
      <c r="Y726" s="97">
        <v>48.086734693877546</v>
      </c>
    </row>
    <row r="727" spans="1:25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  <c r="X727" s="98">
        <v>4.2</v>
      </c>
      <c r="Y727" s="97">
        <v>418.10476190476186</v>
      </c>
    </row>
    <row r="728" spans="1:25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  <c r="X728" s="98">
        <v>29.400000000000006</v>
      </c>
      <c r="Y728" s="97">
        <v>60.172448979591827</v>
      </c>
    </row>
    <row r="729" spans="1:25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  <c r="X729" s="98">
        <v>8.4</v>
      </c>
      <c r="Y729" s="97">
        <v>227</v>
      </c>
    </row>
    <row r="730" spans="1:25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  <c r="X730" s="98">
        <v>46.2</v>
      </c>
      <c r="Y730" s="97">
        <v>83.761904761904759</v>
      </c>
    </row>
    <row r="731" spans="1:25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  <c r="X731" s="98">
        <v>46.2</v>
      </c>
      <c r="Y731" s="97">
        <v>83.761904761904759</v>
      </c>
    </row>
    <row r="732" spans="1:25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  <c r="X732" s="98">
        <v>8.4</v>
      </c>
      <c r="Y732" s="97">
        <v>83.230952380952374</v>
      </c>
    </row>
    <row r="733" spans="1:25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  <c r="X733" s="98">
        <v>42</v>
      </c>
      <c r="Y733" s="97">
        <v>24.174999999999997</v>
      </c>
    </row>
    <row r="734" spans="1:25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  <c r="X734" s="98">
        <v>4.2</v>
      </c>
      <c r="Y734" s="97">
        <v>199.92380952380952</v>
      </c>
    </row>
    <row r="735" spans="1:25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  <c r="X735" s="98">
        <v>210</v>
      </c>
      <c r="Y735" s="97">
        <v>34.085904761904764</v>
      </c>
    </row>
    <row r="736" spans="1:25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  <c r="X736" s="98">
        <v>8.4</v>
      </c>
      <c r="Y736" s="97">
        <v>91.596428571428561</v>
      </c>
    </row>
    <row r="737" spans="1:25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  <c r="X737" s="98">
        <v>25.200000000000003</v>
      </c>
      <c r="Y737" s="97">
        <v>70.201190476190476</v>
      </c>
    </row>
    <row r="738" spans="1:25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  <c r="X738" s="98">
        <v>4.2</v>
      </c>
      <c r="Y738" s="97">
        <v>216.6547619047619</v>
      </c>
    </row>
    <row r="739" spans="1:25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  <c r="X739" s="98">
        <v>4.2</v>
      </c>
      <c r="Y739" s="97">
        <v>199.92380952380952</v>
      </c>
    </row>
    <row r="740" spans="1:25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  <c r="X740" s="98">
        <v>8.4</v>
      </c>
      <c r="Y740" s="97">
        <v>170.53571428571428</v>
      </c>
    </row>
    <row r="741" spans="1:25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  <c r="X741" s="98">
        <v>8.4</v>
      </c>
      <c r="Y741" s="97">
        <v>91.596428571428561</v>
      </c>
    </row>
    <row r="742" spans="1:25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  <c r="X742" s="98">
        <v>33.6</v>
      </c>
      <c r="Y742" s="97">
        <v>43.463988095238093</v>
      </c>
    </row>
    <row r="743" spans="1:25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  <c r="X743" s="98">
        <v>16.8</v>
      </c>
      <c r="Y743" s="97">
        <v>87.625595238095244</v>
      </c>
    </row>
    <row r="744" spans="1:25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  <c r="X744" s="98">
        <v>50.400000000000006</v>
      </c>
      <c r="Y744" s="97">
        <v>72.599007936507931</v>
      </c>
    </row>
    <row r="745" spans="1:25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  <c r="X745" s="98">
        <v>16.8</v>
      </c>
      <c r="Y745" s="97">
        <v>58.346428571428568</v>
      </c>
    </row>
    <row r="746" spans="1:25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  <c r="X746" s="98">
        <v>42</v>
      </c>
      <c r="Y746" s="97">
        <v>21.525952380952383</v>
      </c>
    </row>
    <row r="747" spans="1:25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  <c r="X747" s="98">
        <v>12.600000000000001</v>
      </c>
      <c r="Y747" s="97">
        <v>66.641269841269832</v>
      </c>
    </row>
    <row r="748" spans="1:25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  <c r="X748" s="98">
        <v>21</v>
      </c>
      <c r="Y748" s="97">
        <v>50.023333333333333</v>
      </c>
    </row>
    <row r="749" spans="1:25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  <c r="X749" s="98">
        <v>33.6</v>
      </c>
      <c r="Y749" s="97">
        <v>60.020535714285707</v>
      </c>
    </row>
    <row r="750" spans="1:25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  <c r="X750" s="98">
        <v>247.8</v>
      </c>
      <c r="Y750" s="97">
        <v>28.886359967715901</v>
      </c>
    </row>
    <row r="751" spans="1:25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  <c r="X751" s="98">
        <v>33.6</v>
      </c>
      <c r="Y751" s="97">
        <v>50.08660714285714</v>
      </c>
    </row>
    <row r="752" spans="1:25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  <c r="X752" s="98">
        <v>33.6</v>
      </c>
      <c r="Y752" s="97">
        <v>43.463988095238093</v>
      </c>
    </row>
    <row r="753" spans="1:25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  <c r="X753" s="98">
        <v>12.600000000000001</v>
      </c>
      <c r="Y753" s="97">
        <v>61.06428571428571</v>
      </c>
    </row>
    <row r="754" spans="1:25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  <c r="X754" s="98">
        <v>8.4</v>
      </c>
      <c r="Y754" s="97">
        <v>66.5</v>
      </c>
    </row>
    <row r="755" spans="1:25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  <c r="X755" s="98">
        <v>4.2</v>
      </c>
      <c r="Y755" s="97">
        <v>166.46190476190475</v>
      </c>
    </row>
    <row r="756" spans="1:25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  <c r="X756" s="98">
        <v>8.4</v>
      </c>
      <c r="Y756" s="97">
        <v>108.32738095238095</v>
      </c>
    </row>
    <row r="757" spans="1:25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  <c r="X757" s="98">
        <v>16.8</v>
      </c>
      <c r="Y757" s="97">
        <v>62.529166666666661</v>
      </c>
    </row>
    <row r="758" spans="1:25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  <c r="X758" s="98">
        <v>8.4</v>
      </c>
      <c r="Y758" s="97">
        <v>170.53571428571428</v>
      </c>
    </row>
    <row r="759" spans="1:25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  <c r="X759" s="98">
        <v>46.2</v>
      </c>
      <c r="Y759" s="97">
        <v>42.69502164502164</v>
      </c>
    </row>
    <row r="760" spans="1:25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  <c r="X760" s="98">
        <v>4.2</v>
      </c>
      <c r="Y760" s="97">
        <v>133</v>
      </c>
    </row>
    <row r="761" spans="1:25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  <c r="X761" s="98">
        <v>109.19999999999999</v>
      </c>
      <c r="Y761" s="97">
        <v>27.71575091575092</v>
      </c>
    </row>
    <row r="762" spans="1:25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  <c r="X762" s="98">
        <v>21</v>
      </c>
      <c r="Y762" s="97">
        <v>50.023333333333333</v>
      </c>
    </row>
    <row r="763" spans="1:25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  <c r="X763" s="98">
        <v>4.2</v>
      </c>
      <c r="Y763" s="97">
        <v>183.19285714285712</v>
      </c>
    </row>
    <row r="764" spans="1:25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  <c r="X764" s="98">
        <v>4.2</v>
      </c>
      <c r="Y764" s="97">
        <v>342.81904761904764</v>
      </c>
    </row>
    <row r="765" spans="1:25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  <c r="X765" s="98">
        <v>147</v>
      </c>
      <c r="Y765" s="97">
        <v>29.518231292517008</v>
      </c>
    </row>
    <row r="766" spans="1:25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  <c r="X766" s="98">
        <v>8.4</v>
      </c>
      <c r="Y766" s="97">
        <v>170.53571428571428</v>
      </c>
    </row>
    <row r="767" spans="1:25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  <c r="X767" s="98">
        <v>4.2</v>
      </c>
      <c r="Y767" s="97">
        <v>216.6547619047619</v>
      </c>
    </row>
    <row r="768" spans="1:25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  <c r="X768" s="98">
        <v>21</v>
      </c>
      <c r="Y768" s="97">
        <v>39.984761904761903</v>
      </c>
    </row>
    <row r="769" spans="1:25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  <c r="X769" s="98">
        <v>21</v>
      </c>
      <c r="Y769" s="97">
        <v>33.292380952380952</v>
      </c>
    </row>
    <row r="770" spans="1:25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  <c r="X770" s="98">
        <v>4.2</v>
      </c>
      <c r="Y770" s="97">
        <v>317.72380952380951</v>
      </c>
    </row>
    <row r="771" spans="1:25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  <c r="X771" s="98">
        <v>4.2</v>
      </c>
      <c r="Y771" s="97">
        <v>393.00952380952378</v>
      </c>
    </row>
    <row r="772" spans="1:25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  <c r="X772" s="98">
        <v>4.2</v>
      </c>
      <c r="Y772" s="97">
        <v>405.55714285714282</v>
      </c>
    </row>
    <row r="773" spans="1:25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  <c r="X773" s="98">
        <v>8.4</v>
      </c>
      <c r="Y773" s="97">
        <v>245.82142857142856</v>
      </c>
    </row>
    <row r="774" spans="1:25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  <c r="X774" s="98">
        <v>109.19999999999999</v>
      </c>
      <c r="Y774" s="97">
        <v>47.020695970695975</v>
      </c>
    </row>
    <row r="775" spans="1:25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  <c r="X775" s="98">
        <v>50.400000000000006</v>
      </c>
      <c r="Y775" s="97">
        <v>76.781746031746025</v>
      </c>
    </row>
    <row r="776" spans="1:25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  <c r="X776" s="98">
        <v>25.200000000000003</v>
      </c>
      <c r="Y776" s="97">
        <v>73.726190476190467</v>
      </c>
    </row>
    <row r="777" spans="1:25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  <c r="X777" s="98">
        <v>8.4</v>
      </c>
      <c r="Y777" s="97">
        <v>164.26190476190479</v>
      </c>
    </row>
    <row r="778" spans="1:25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  <c r="X778" s="98">
        <v>4.2</v>
      </c>
      <c r="Y778" s="97">
        <v>418.10476190476186</v>
      </c>
    </row>
    <row r="779" spans="1:25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  <c r="X779" s="98">
        <v>25.200000000000003</v>
      </c>
      <c r="Y779" s="97">
        <v>56.101190476190474</v>
      </c>
    </row>
    <row r="780" spans="1:25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  <c r="X780" s="98">
        <v>8.4</v>
      </c>
      <c r="Y780" s="97">
        <v>195.63095238095238</v>
      </c>
    </row>
    <row r="781" spans="1:25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  <c r="X781" s="98">
        <v>4.2</v>
      </c>
      <c r="Y781" s="97">
        <v>380.46190476190475</v>
      </c>
    </row>
    <row r="782" spans="1:25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  <c r="X782" s="98">
        <v>4.2</v>
      </c>
      <c r="Y782" s="97">
        <v>330.2714285714286</v>
      </c>
    </row>
    <row r="783" spans="1:25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  <c r="X783" s="98">
        <v>37.800000000000004</v>
      </c>
      <c r="Y783" s="97">
        <v>26.861111111111111</v>
      </c>
    </row>
    <row r="784" spans="1:25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  <c r="X784" s="98">
        <v>16.8</v>
      </c>
      <c r="Y784" s="97">
        <v>45.79821428571428</v>
      </c>
    </row>
    <row r="785" spans="1:25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  <c r="X785" s="98">
        <v>21</v>
      </c>
      <c r="Y785" s="97">
        <v>39.984761904761903</v>
      </c>
    </row>
    <row r="786" spans="1:25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  <c r="X786" s="98">
        <v>134.4</v>
      </c>
      <c r="Y786" s="97">
        <v>20.97366071428571</v>
      </c>
    </row>
    <row r="787" spans="1:25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  <c r="X787" s="98">
        <v>8.4</v>
      </c>
      <c r="Y787" s="97">
        <v>176.8095238095238</v>
      </c>
    </row>
    <row r="788" spans="1:25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  <c r="X788" s="98">
        <v>50.400000000000006</v>
      </c>
      <c r="Y788" s="97">
        <v>64.23353174603173</v>
      </c>
    </row>
    <row r="789" spans="1:25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  <c r="X789" s="98">
        <v>4.2</v>
      </c>
      <c r="Y789" s="97">
        <v>367.91428571428571</v>
      </c>
    </row>
    <row r="790" spans="1:25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  <c r="X790" s="98">
        <v>4.2</v>
      </c>
      <c r="Y790" s="97">
        <v>393.00952380952378</v>
      </c>
    </row>
    <row r="791" spans="1:25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  <c r="X791" s="98">
        <v>25.200000000000003</v>
      </c>
      <c r="Y791" s="97">
        <v>63.151190476190472</v>
      </c>
    </row>
    <row r="792" spans="1:25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  <c r="X792" s="98">
        <v>67.2</v>
      </c>
      <c r="Y792" s="97">
        <v>51.312202380952385</v>
      </c>
    </row>
    <row r="793" spans="1:25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  <c r="X793" s="98">
        <v>4.2</v>
      </c>
      <c r="Y793" s="97">
        <v>355.36666666666662</v>
      </c>
    </row>
    <row r="794" spans="1:25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  <c r="X794" s="98">
        <v>21</v>
      </c>
      <c r="Y794" s="97">
        <v>46.677142857142854</v>
      </c>
    </row>
    <row r="795" spans="1:25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  <c r="X795" s="98">
        <v>16.8</v>
      </c>
      <c r="Y795" s="97">
        <v>70.894642857142856</v>
      </c>
    </row>
    <row r="796" spans="1:25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  <c r="X796" s="98">
        <v>75.600000000000009</v>
      </c>
      <c r="Y796" s="97">
        <v>65.130291005290999</v>
      </c>
    </row>
    <row r="797" spans="1:25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  <c r="X797" s="98">
        <v>8.4</v>
      </c>
      <c r="Y797" s="97">
        <v>227</v>
      </c>
    </row>
    <row r="798" spans="1:25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  <c r="X798" s="98">
        <v>96.600000000000009</v>
      </c>
      <c r="Y798" s="97">
        <v>46.606935817805379</v>
      </c>
    </row>
    <row r="799" spans="1:25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  <c r="X799" s="98">
        <v>4.2</v>
      </c>
      <c r="Y799" s="97">
        <v>393.00952380952378</v>
      </c>
    </row>
    <row r="800" spans="1:25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  <c r="X800" s="98">
        <v>8.4</v>
      </c>
      <c r="Y800" s="97">
        <v>189.35714285714283</v>
      </c>
    </row>
    <row r="801" spans="1:25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  <c r="X801" s="98">
        <v>33.6</v>
      </c>
      <c r="Y801" s="97">
        <v>56.709226190476194</v>
      </c>
    </row>
    <row r="802" spans="1:25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  <c r="X802" s="98">
        <v>37.800000000000004</v>
      </c>
      <c r="Y802" s="97">
        <v>53.351587301587294</v>
      </c>
    </row>
    <row r="803" spans="1:25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  <c r="X803" s="98">
        <v>12.600000000000001</v>
      </c>
      <c r="Y803" s="97">
        <v>154.27380952380952</v>
      </c>
    </row>
    <row r="804" spans="1:25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  <c r="X804" s="98">
        <v>8.4</v>
      </c>
      <c r="Y804" s="97">
        <v>214.45238095238096</v>
      </c>
    </row>
    <row r="805" spans="1:25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  <c r="X805" s="98">
        <v>16.8</v>
      </c>
      <c r="Y805" s="97">
        <v>95.991071428571431</v>
      </c>
    </row>
    <row r="806" spans="1:25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  <c r="X806" s="98">
        <v>8.4</v>
      </c>
      <c r="Y806" s="97">
        <v>214.45238095238096</v>
      </c>
    </row>
    <row r="807" spans="1:25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  <c r="X807" s="98">
        <v>8.4</v>
      </c>
      <c r="Y807" s="97">
        <v>208.17857142857142</v>
      </c>
    </row>
    <row r="808" spans="1:25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  <c r="X808" s="98">
        <v>4.2</v>
      </c>
      <c r="Y808" s="97">
        <v>500.37380952380948</v>
      </c>
    </row>
    <row r="809" spans="1:25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  <c r="X809" s="98">
        <v>37.800000000000004</v>
      </c>
      <c r="Y809" s="97">
        <v>35.691269841269836</v>
      </c>
    </row>
    <row r="810" spans="1:25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  <c r="X810" s="98">
        <v>21</v>
      </c>
      <c r="Y810" s="97">
        <v>56.715714285714284</v>
      </c>
    </row>
    <row r="811" spans="1:25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  <c r="X811" s="98">
        <v>37.800000000000004</v>
      </c>
      <c r="Y811" s="97">
        <v>87.009788359788345</v>
      </c>
    </row>
    <row r="812" spans="1:25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  <c r="X812" s="98">
        <v>8.4</v>
      </c>
      <c r="Y812" s="97">
        <v>74.865476190476173</v>
      </c>
    </row>
    <row r="813" spans="1:25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  <c r="X813" s="98">
        <v>29.400000000000006</v>
      </c>
      <c r="Y813" s="97">
        <v>81.322448979591812</v>
      </c>
    </row>
    <row r="814" spans="1:25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  <c r="X814" s="98">
        <v>4.2</v>
      </c>
      <c r="Y814" s="97">
        <v>613.30238095238099</v>
      </c>
    </row>
    <row r="815" spans="1:25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  <c r="X815" s="98">
        <v>25.200000000000003</v>
      </c>
      <c r="Y815" s="97">
        <v>151.55873015873016</v>
      </c>
    </row>
    <row r="816" spans="1:25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  <c r="X816" s="98">
        <v>4.2</v>
      </c>
      <c r="Y816" s="97">
        <v>575.65952380952376</v>
      </c>
    </row>
    <row r="817" spans="1:25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  <c r="X817" s="98">
        <v>92.4</v>
      </c>
      <c r="Y817" s="97">
        <v>39.599458874458868</v>
      </c>
    </row>
    <row r="818" spans="1:25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  <c r="X818" s="98">
        <v>8.4</v>
      </c>
      <c r="Y818" s="97">
        <v>243.91309523809522</v>
      </c>
    </row>
    <row r="819" spans="1:25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  <c r="X819" s="98">
        <v>121.80000000000001</v>
      </c>
      <c r="Y819" s="97">
        <v>40.42569786535303</v>
      </c>
    </row>
    <row r="820" spans="1:25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  <c r="X820" s="98">
        <v>12.600000000000001</v>
      </c>
      <c r="Y820" s="97">
        <v>154.27380952380952</v>
      </c>
    </row>
    <row r="821" spans="1:25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  <c r="X821" s="98">
        <v>63</v>
      </c>
      <c r="Y821" s="97">
        <v>71.463968253968247</v>
      </c>
    </row>
    <row r="822" spans="1:25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  <c r="X822" s="98">
        <v>12.600000000000001</v>
      </c>
      <c r="Y822" s="97">
        <v>212.79920634920632</v>
      </c>
    </row>
    <row r="823" spans="1:25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  <c r="X823" s="98">
        <v>29.400000000000006</v>
      </c>
      <c r="Y823" s="97">
        <v>78.301020408163254</v>
      </c>
    </row>
    <row r="824" spans="1:25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  <c r="X824" s="98">
        <v>8.4</v>
      </c>
      <c r="Y824" s="97">
        <v>331.74642857142857</v>
      </c>
    </row>
    <row r="825" spans="1:25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  <c r="X825" s="98">
        <v>79.8</v>
      </c>
      <c r="Y825" s="97">
        <v>88.119674185463666</v>
      </c>
    </row>
    <row r="826" spans="1:25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  <c r="X826" s="98">
        <v>25.200000000000003</v>
      </c>
      <c r="Y826" s="97">
        <v>169.18373015873016</v>
      </c>
    </row>
    <row r="827" spans="1:25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  <c r="X827" s="98">
        <v>12.600000000000001</v>
      </c>
      <c r="Y827" s="97">
        <v>242.07698412698412</v>
      </c>
    </row>
    <row r="828" spans="1:25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  <c r="X828" s="98">
        <v>33.6</v>
      </c>
      <c r="Y828" s="97">
        <v>36.841369047619047</v>
      </c>
    </row>
    <row r="829" spans="1:25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  <c r="X829" s="98">
        <v>8.4</v>
      </c>
      <c r="Y829" s="97">
        <v>164.26190476190479</v>
      </c>
    </row>
    <row r="830" spans="1:25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  <c r="X830" s="98">
        <v>8.4</v>
      </c>
      <c r="Y830" s="97">
        <v>170.53571428571428</v>
      </c>
    </row>
    <row r="831" spans="1:25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  <c r="X831" s="98">
        <v>4.2</v>
      </c>
      <c r="Y831" s="97">
        <v>216.6547619047619</v>
      </c>
    </row>
    <row r="832" spans="1:25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  <c r="X832" s="98">
        <v>12.600000000000001</v>
      </c>
      <c r="Y832" s="97">
        <v>61.06428571428571</v>
      </c>
    </row>
    <row r="833" spans="1:25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  <c r="X833" s="98">
        <v>4.2</v>
      </c>
      <c r="Y833" s="97">
        <v>149.73095238095235</v>
      </c>
    </row>
    <row r="834" spans="1:25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  <c r="X834" s="98">
        <v>58.800000000000011</v>
      </c>
      <c r="Y834" s="97">
        <v>29.960884353741491</v>
      </c>
    </row>
    <row r="835" spans="1:25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  <c r="X835" s="98">
        <v>4.2</v>
      </c>
      <c r="Y835" s="97">
        <v>355.36666666666662</v>
      </c>
    </row>
    <row r="836" spans="1:25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  <c r="X836" s="98">
        <v>12.600000000000001</v>
      </c>
      <c r="Y836" s="97">
        <v>129.17857142857142</v>
      </c>
    </row>
    <row r="837" spans="1:25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  <c r="X837" s="98">
        <v>218.39999999999998</v>
      </c>
      <c r="Y837" s="97">
        <v>41.523626373626378</v>
      </c>
    </row>
    <row r="838" spans="1:25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  <c r="X838" s="98">
        <v>33.6</v>
      </c>
      <c r="Y838" s="97">
        <v>56.709226190476194</v>
      </c>
    </row>
    <row r="839" spans="1:25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  <c r="X839" s="98">
        <v>25.200000000000003</v>
      </c>
      <c r="Y839" s="97">
        <v>42.00119047619048</v>
      </c>
    </row>
    <row r="840" spans="1:25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  <c r="X840" s="98">
        <v>79.8</v>
      </c>
      <c r="Y840" s="97">
        <v>22.076441102756892</v>
      </c>
    </row>
    <row r="841" spans="1:25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  <c r="X841" s="98">
        <v>100.80000000000001</v>
      </c>
      <c r="Y841" s="97">
        <v>32.116765873015865</v>
      </c>
    </row>
    <row r="842" spans="1:25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  <c r="X842" s="98">
        <v>4.2</v>
      </c>
      <c r="Y842" s="97">
        <v>317.72380952380951</v>
      </c>
    </row>
    <row r="843" spans="1:25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  <c r="X843" s="98">
        <v>336</v>
      </c>
      <c r="Y843" s="97">
        <v>19.041309523809524</v>
      </c>
    </row>
    <row r="844" spans="1:25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  <c r="X844" s="98">
        <v>126</v>
      </c>
      <c r="Y844" s="97">
        <v>41.204920634920633</v>
      </c>
    </row>
    <row r="845" spans="1:25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  <c r="X845" s="98">
        <v>54.599999999999994</v>
      </c>
      <c r="Y845" s="97">
        <v>63.153479853479851</v>
      </c>
    </row>
    <row r="846" spans="1:25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  <c r="X846" s="98">
        <v>25.200000000000003</v>
      </c>
      <c r="Y846" s="97">
        <v>49.05119047619047</v>
      </c>
    </row>
    <row r="847" spans="1:25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  <c r="X847" s="98">
        <v>37.800000000000004</v>
      </c>
      <c r="Y847" s="97">
        <v>89.953174603174588</v>
      </c>
    </row>
    <row r="848" spans="1:25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  <c r="X848" s="98">
        <v>4.2</v>
      </c>
      <c r="Y848" s="97">
        <v>166.46190476190475</v>
      </c>
    </row>
    <row r="849" spans="1:25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  <c r="X849" s="98">
        <v>8.4</v>
      </c>
      <c r="Y849" s="97">
        <v>164.26190476190479</v>
      </c>
    </row>
    <row r="850" spans="1:25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  <c r="X850" s="98">
        <v>8.4</v>
      </c>
      <c r="Y850" s="97">
        <v>183.08333333333331</v>
      </c>
    </row>
    <row r="851" spans="1:25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  <c r="X851" s="98">
        <v>37.800000000000004</v>
      </c>
      <c r="Y851" s="97">
        <v>26.861111111111111</v>
      </c>
    </row>
    <row r="852" spans="1:25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  <c r="X852" s="98">
        <v>4.2</v>
      </c>
      <c r="Y852" s="97">
        <v>317.72380952380951</v>
      </c>
    </row>
    <row r="853" spans="1:25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  <c r="X853" s="98">
        <v>75.600000000000009</v>
      </c>
      <c r="Y853" s="97">
        <v>37.245370370370367</v>
      </c>
    </row>
    <row r="854" spans="1:25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  <c r="X854" s="98">
        <v>92.4</v>
      </c>
      <c r="Y854" s="97">
        <v>21.34751082251082</v>
      </c>
    </row>
    <row r="855" spans="1:25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  <c r="X855" s="98">
        <v>21</v>
      </c>
      <c r="Y855" s="97">
        <v>29.946190476190477</v>
      </c>
    </row>
    <row r="856" spans="1:25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  <c r="X856" s="98">
        <v>25.200000000000003</v>
      </c>
      <c r="Y856" s="97">
        <v>31.426190476190477</v>
      </c>
    </row>
    <row r="857" spans="1:25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  <c r="X857" s="98">
        <v>46.2</v>
      </c>
      <c r="Y857" s="97">
        <v>97.450865800865785</v>
      </c>
    </row>
    <row r="858" spans="1:25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  <c r="X858" s="98">
        <v>46.2</v>
      </c>
      <c r="Y858" s="97">
        <v>79.198917748917737</v>
      </c>
    </row>
    <row r="859" spans="1:25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  <c r="X859" s="98">
        <v>8.4</v>
      </c>
      <c r="Y859" s="97">
        <v>220.72619047619045</v>
      </c>
    </row>
    <row r="860" spans="1:25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  <c r="X860" s="98">
        <v>12.600000000000001</v>
      </c>
      <c r="Y860" s="97">
        <v>158.45634920634922</v>
      </c>
    </row>
    <row r="861" spans="1:25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  <c r="X861" s="98">
        <v>1491</v>
      </c>
      <c r="Y861" s="97">
        <v>28.486478873239438</v>
      </c>
    </row>
    <row r="862" spans="1:25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  <c r="X862" s="98">
        <v>37.800000000000004</v>
      </c>
      <c r="Y862" s="97">
        <v>101.72671957671957</v>
      </c>
    </row>
    <row r="863" spans="1:25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  <c r="X863" s="98">
        <v>46.2</v>
      </c>
      <c r="Y863" s="97">
        <v>33.569047619047616</v>
      </c>
    </row>
    <row r="864" spans="1:25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  <c r="X864" s="98">
        <v>25.200000000000003</v>
      </c>
      <c r="Y864" s="97">
        <v>148.03373015873015</v>
      </c>
    </row>
    <row r="865" spans="1:25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  <c r="X865" s="98">
        <v>4.2</v>
      </c>
      <c r="Y865" s="97">
        <v>342.81904761904764</v>
      </c>
    </row>
    <row r="866" spans="1:25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  <c r="X866" s="98">
        <v>4.2</v>
      </c>
      <c r="Y866" s="97">
        <v>216.6547619047619</v>
      </c>
    </row>
    <row r="867" spans="1:25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  <c r="X867" s="98">
        <v>4.2</v>
      </c>
      <c r="Y867" s="97">
        <v>199.92380952380952</v>
      </c>
    </row>
    <row r="868" spans="1:25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  <c r="X868" s="98">
        <v>483</v>
      </c>
      <c r="Y868" s="97">
        <v>17.508447204968945</v>
      </c>
    </row>
    <row r="869" spans="1:25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  <c r="X869" s="98">
        <v>21</v>
      </c>
      <c r="Y869" s="97">
        <v>39.984761904761903</v>
      </c>
    </row>
    <row r="870" spans="1:25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  <c r="X870" s="98">
        <v>67.2</v>
      </c>
      <c r="Y870" s="97">
        <v>45.038095238095238</v>
      </c>
    </row>
    <row r="871" spans="1:25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  <c r="X871" s="98">
        <v>54.599999999999994</v>
      </c>
      <c r="Y871" s="97">
        <v>47.709523809523823</v>
      </c>
    </row>
    <row r="872" spans="1:25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  <c r="X872" s="98">
        <v>12.600000000000001</v>
      </c>
      <c r="Y872" s="97">
        <v>158.42619047619044</v>
      </c>
    </row>
    <row r="873" spans="1:25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  <c r="X873" s="98">
        <v>4.2</v>
      </c>
      <c r="Y873" s="97">
        <v>450.18333333333334</v>
      </c>
    </row>
    <row r="874" spans="1:25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  <c r="X874" s="98">
        <v>4.2</v>
      </c>
      <c r="Y874" s="97">
        <v>317.72380952380951</v>
      </c>
    </row>
    <row r="875" spans="1:25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  <c r="X875" s="98">
        <v>4.2</v>
      </c>
      <c r="Y875" s="97">
        <v>216.6547619047619</v>
      </c>
    </row>
    <row r="876" spans="1:25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  <c r="X876" s="98">
        <v>4.2</v>
      </c>
      <c r="Y876" s="97">
        <v>355.36666666666662</v>
      </c>
    </row>
    <row r="877" spans="1:25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  <c r="X877" s="98">
        <v>4.2</v>
      </c>
      <c r="Y877" s="97">
        <v>355.36666666666662</v>
      </c>
    </row>
    <row r="878" spans="1:25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  <c r="X878" s="98">
        <v>121.80000000000001</v>
      </c>
      <c r="Y878" s="97">
        <v>28.310180623973725</v>
      </c>
    </row>
    <row r="879" spans="1:25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  <c r="X879" s="98">
        <v>4.2</v>
      </c>
      <c r="Y879" s="97">
        <v>317.72380952380951</v>
      </c>
    </row>
    <row r="880" spans="1:25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  <c r="X880" s="98">
        <v>4.2</v>
      </c>
      <c r="Y880" s="97">
        <v>342.81904761904764</v>
      </c>
    </row>
    <row r="881" spans="1:25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  <c r="X881" s="98">
        <v>4.2</v>
      </c>
      <c r="Y881" s="97">
        <v>216.6547619047619</v>
      </c>
    </row>
    <row r="882" spans="1:25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  <c r="X882" s="98">
        <v>16.8</v>
      </c>
      <c r="Y882" s="97">
        <v>111.65416666666665</v>
      </c>
    </row>
    <row r="883" spans="1:25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  <c r="X883" s="98">
        <v>4.2</v>
      </c>
      <c r="Y883" s="97">
        <v>380.46190476190475</v>
      </c>
    </row>
    <row r="884" spans="1:25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  <c r="X884" s="98">
        <v>25.200000000000003</v>
      </c>
      <c r="Y884" s="97">
        <v>49.05119047619047</v>
      </c>
    </row>
    <row r="885" spans="1:25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  <c r="X885" s="98">
        <v>4.2</v>
      </c>
      <c r="Y885" s="97">
        <v>199.92380952380952</v>
      </c>
    </row>
    <row r="886" spans="1:25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  <c r="X886" s="98">
        <v>21</v>
      </c>
      <c r="Y886" s="97">
        <v>39.984761904761903</v>
      </c>
    </row>
    <row r="887" spans="1:25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  <c r="X887" s="98">
        <v>25.200000000000003</v>
      </c>
      <c r="Y887" s="97">
        <v>59.626190476190466</v>
      </c>
    </row>
    <row r="888" spans="1:25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  <c r="X888" s="98">
        <v>8.4</v>
      </c>
      <c r="Y888" s="97">
        <v>189.35714285714283</v>
      </c>
    </row>
    <row r="889" spans="1:25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  <c r="X889" s="98">
        <v>8.4</v>
      </c>
      <c r="Y889" s="97">
        <v>189.35714285714283</v>
      </c>
    </row>
    <row r="890" spans="1:25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  <c r="X890" s="98">
        <v>63</v>
      </c>
      <c r="Y890" s="97">
        <v>51.386825396825394</v>
      </c>
    </row>
    <row r="891" spans="1:25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  <c r="X891" s="98">
        <v>21</v>
      </c>
      <c r="Y891" s="97">
        <v>50.023333333333333</v>
      </c>
    </row>
    <row r="892" spans="1:25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  <c r="X892" s="98">
        <v>4.2</v>
      </c>
      <c r="Y892" s="97">
        <v>183.19285714285712</v>
      </c>
    </row>
    <row r="893" spans="1:25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  <c r="X893" s="98">
        <v>8.4</v>
      </c>
      <c r="Y893" s="97">
        <v>91.596428571428561</v>
      </c>
    </row>
    <row r="894" spans="1:25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  <c r="X894" s="98">
        <v>168</v>
      </c>
      <c r="Y894" s="97">
        <v>16.778928571428573</v>
      </c>
    </row>
    <row r="895" spans="1:25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  <c r="X895" s="98">
        <v>37.800000000000004</v>
      </c>
      <c r="Y895" s="97">
        <v>66.406084656084644</v>
      </c>
    </row>
    <row r="896" spans="1:25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  <c r="X896" s="98">
        <v>4.2</v>
      </c>
      <c r="Y896" s="97">
        <v>133</v>
      </c>
    </row>
    <row r="897" spans="1:25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  <c r="X897" s="98">
        <v>21</v>
      </c>
      <c r="Y897" s="97">
        <v>26.599999999999998</v>
      </c>
    </row>
    <row r="898" spans="1:25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  <c r="X898" s="98">
        <v>25.200000000000003</v>
      </c>
      <c r="Y898" s="97">
        <v>27.901190476190472</v>
      </c>
    </row>
    <row r="899" spans="1:25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  <c r="X899" s="98">
        <v>4.2</v>
      </c>
      <c r="Y899" s="97">
        <v>149.73095238095235</v>
      </c>
    </row>
    <row r="900" spans="1:25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  <c r="X900" s="98">
        <v>4.2</v>
      </c>
      <c r="Y900" s="97">
        <v>216.6547619047619</v>
      </c>
    </row>
    <row r="901" spans="1:25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  <c r="X901" s="98">
        <v>4.2</v>
      </c>
      <c r="Y901" s="97">
        <v>330.2714285714286</v>
      </c>
    </row>
    <row r="902" spans="1:25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  <c r="X902" s="98">
        <v>8.4</v>
      </c>
      <c r="Y902" s="97">
        <v>99.961904761904762</v>
      </c>
    </row>
    <row r="903" spans="1:25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  <c r="X903" s="98">
        <v>25.200000000000003</v>
      </c>
      <c r="Y903" s="97">
        <v>27.901190476190472</v>
      </c>
    </row>
    <row r="904" spans="1:25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  <c r="X904" s="98">
        <v>8.4</v>
      </c>
      <c r="Y904" s="97">
        <v>164.26190476190479</v>
      </c>
    </row>
    <row r="905" spans="1:25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  <c r="X905" s="98">
        <v>4.2</v>
      </c>
      <c r="Y905" s="97">
        <v>367.91428571428571</v>
      </c>
    </row>
    <row r="906" spans="1:25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  <c r="X906" s="98">
        <v>8.4</v>
      </c>
      <c r="Y906" s="97">
        <v>74.865476190476173</v>
      </c>
    </row>
    <row r="907" spans="1:25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  <c r="X907" s="98">
        <v>117.60000000000002</v>
      </c>
      <c r="Y907" s="97">
        <v>14.980442176870746</v>
      </c>
    </row>
    <row r="908" spans="1:25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  <c r="X908" s="98">
        <v>12.600000000000001</v>
      </c>
      <c r="Y908" s="97">
        <v>133.33095238095237</v>
      </c>
    </row>
    <row r="909" spans="1:25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  <c r="X909" s="98">
        <v>33.6</v>
      </c>
      <c r="Y909" s="97">
        <v>26.907440476190473</v>
      </c>
    </row>
    <row r="910" spans="1:25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  <c r="X910" s="98">
        <v>21</v>
      </c>
      <c r="Y910" s="97">
        <v>29.946190476190477</v>
      </c>
    </row>
    <row r="911" spans="1:25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  <c r="X911" s="98">
        <v>16.8</v>
      </c>
      <c r="Y911" s="97">
        <v>37.432738095238086</v>
      </c>
    </row>
    <row r="912" spans="1:25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  <c r="X912" s="98">
        <v>29.400000000000006</v>
      </c>
      <c r="Y912" s="97">
        <v>23.915306122448975</v>
      </c>
    </row>
    <row r="913" spans="1:25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  <c r="X913" s="98">
        <v>25.200000000000003</v>
      </c>
      <c r="Y913" s="97">
        <v>31.426190476190477</v>
      </c>
    </row>
    <row r="914" spans="1:25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  <c r="X914" s="98">
        <v>37.800000000000004</v>
      </c>
      <c r="Y914" s="97">
        <v>23.917724867724864</v>
      </c>
    </row>
    <row r="915" spans="1:25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  <c r="X915" s="98">
        <v>12.600000000000001</v>
      </c>
      <c r="Y915" s="97">
        <v>38.756349206349206</v>
      </c>
    </row>
    <row r="916" spans="1:25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  <c r="X916" s="98">
        <v>46.2</v>
      </c>
      <c r="Y916" s="97">
        <v>38.132034632034632</v>
      </c>
    </row>
    <row r="917" spans="1:25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  <c r="X917" s="98">
        <v>12.600000000000001</v>
      </c>
      <c r="Y917" s="97">
        <v>55.487301587301587</v>
      </c>
    </row>
    <row r="918" spans="1:25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  <c r="X918" s="98">
        <v>8.4</v>
      </c>
      <c r="Y918" s="97">
        <v>74.865476190476173</v>
      </c>
    </row>
    <row r="919" spans="1:25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  <c r="X919" s="98">
        <v>21</v>
      </c>
      <c r="Y919" s="97">
        <v>33.292380952380952</v>
      </c>
    </row>
    <row r="920" spans="1:25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  <c r="X920" s="98">
        <v>16.8</v>
      </c>
      <c r="Y920" s="97">
        <v>33.25</v>
      </c>
    </row>
    <row r="921" spans="1:25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  <c r="X921" s="98">
        <v>4.2</v>
      </c>
      <c r="Y921" s="97">
        <v>199.92380952380952</v>
      </c>
    </row>
    <row r="922" spans="1:25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  <c r="X922" s="98">
        <v>4.2</v>
      </c>
      <c r="Y922" s="97">
        <v>166.46190476190475</v>
      </c>
    </row>
    <row r="923" spans="1:25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  <c r="X923" s="98">
        <v>4.2</v>
      </c>
      <c r="Y923" s="97">
        <v>216.6547619047619</v>
      </c>
    </row>
    <row r="924" spans="1:25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  <c r="X924" s="98">
        <v>4.2</v>
      </c>
      <c r="Y924" s="97">
        <v>183.19285714285712</v>
      </c>
    </row>
    <row r="925" spans="1:25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  <c r="X925" s="98">
        <v>4.2</v>
      </c>
      <c r="Y925" s="97">
        <v>317.72380952380951</v>
      </c>
    </row>
    <row r="926" spans="1:25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  <c r="X926" s="98">
        <v>8.4</v>
      </c>
      <c r="Y926" s="97">
        <v>164.26190476190479</v>
      </c>
    </row>
    <row r="927" spans="1:25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  <c r="X927" s="98">
        <v>8.4</v>
      </c>
      <c r="Y927" s="97">
        <v>164.26190476190479</v>
      </c>
    </row>
    <row r="928" spans="1:25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  <c r="X928" s="98">
        <v>4.2</v>
      </c>
      <c r="Y928" s="97">
        <v>468.29523809523806</v>
      </c>
    </row>
    <row r="929" spans="1:25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  <c r="X929" s="98">
        <v>8.4</v>
      </c>
      <c r="Y929" s="97">
        <v>220.72619047619045</v>
      </c>
    </row>
    <row r="930" spans="1:25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  <c r="X930" s="98">
        <v>4.2</v>
      </c>
      <c r="Y930" s="97">
        <v>468.29523809523806</v>
      </c>
    </row>
    <row r="931" spans="1:25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  <c r="X931" s="98">
        <v>16.8</v>
      </c>
      <c r="Y931" s="97">
        <v>100.17380952380952</v>
      </c>
    </row>
    <row r="932" spans="1:25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  <c r="X932" s="98">
        <v>4.2</v>
      </c>
      <c r="Y932" s="97">
        <v>380.46190476190475</v>
      </c>
    </row>
    <row r="933" spans="1:25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  <c r="X933" s="98">
        <v>4.2</v>
      </c>
      <c r="Y933" s="97">
        <v>166.46190476190475</v>
      </c>
    </row>
    <row r="934" spans="1:25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  <c r="X934" s="98">
        <v>4.2</v>
      </c>
      <c r="Y934" s="97">
        <v>355.36666666666662</v>
      </c>
    </row>
    <row r="935" spans="1:25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  <c r="X935" s="98">
        <v>25.200000000000003</v>
      </c>
      <c r="Y935" s="97">
        <v>95.158730158730151</v>
      </c>
    </row>
    <row r="936" spans="1:25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  <c r="X936" s="98">
        <v>21</v>
      </c>
      <c r="Y936" s="97">
        <v>89.323333333333323</v>
      </c>
    </row>
    <row r="937" spans="1:25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  <c r="X937" s="98">
        <v>16.8</v>
      </c>
      <c r="Y937" s="97">
        <v>120.01964285714286</v>
      </c>
    </row>
    <row r="938" spans="1:25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  <c r="X938" s="98">
        <v>16.8</v>
      </c>
      <c r="Y938" s="97">
        <v>128.38511904761904</v>
      </c>
    </row>
    <row r="939" spans="1:25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  <c r="X939" s="98">
        <v>29.400000000000006</v>
      </c>
      <c r="Y939" s="97">
        <v>42.043877551020394</v>
      </c>
    </row>
    <row r="940" spans="1:25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  <c r="X940" s="98">
        <v>4.2</v>
      </c>
      <c r="Y940" s="97">
        <v>355.36666666666662</v>
      </c>
    </row>
    <row r="941" spans="1:25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  <c r="X941" s="98">
        <v>4.2</v>
      </c>
      <c r="Y941" s="97">
        <v>487.82619047619045</v>
      </c>
    </row>
    <row r="942" spans="1:25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  <c r="X942" s="98">
        <v>37.800000000000004</v>
      </c>
      <c r="Y942" s="97">
        <v>81.123015873015859</v>
      </c>
    </row>
    <row r="943" spans="1:25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  <c r="X943" s="98">
        <v>4.2</v>
      </c>
      <c r="Y943" s="97">
        <v>500.37380952380948</v>
      </c>
    </row>
    <row r="944" spans="1:25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  <c r="X944" s="98">
        <v>12.600000000000001</v>
      </c>
      <c r="Y944" s="97">
        <v>141.69603174603171</v>
      </c>
    </row>
    <row r="945" spans="1:25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  <c r="X945" s="98">
        <v>29.400000000000006</v>
      </c>
      <c r="Y945" s="97">
        <v>90.628911564625824</v>
      </c>
    </row>
    <row r="946" spans="1:25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  <c r="X946" s="98">
        <v>21</v>
      </c>
      <c r="Y946" s="97">
        <v>39.984761904761903</v>
      </c>
    </row>
    <row r="947" spans="1:25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  <c r="X947" s="98">
        <v>12.600000000000001</v>
      </c>
      <c r="Y947" s="97">
        <v>150.0611111111111</v>
      </c>
    </row>
    <row r="948" spans="1:25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  <c r="X948" s="98">
        <v>4.2</v>
      </c>
      <c r="Y948" s="97">
        <v>425.08809523809521</v>
      </c>
    </row>
    <row r="949" spans="1:25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  <c r="X949" s="98">
        <v>54.599999999999994</v>
      </c>
      <c r="Y949" s="97">
        <v>51.570512820512832</v>
      </c>
    </row>
    <row r="950" spans="1:25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  <c r="X950" s="98">
        <v>63</v>
      </c>
      <c r="Y950" s="97">
        <v>51.386825396825394</v>
      </c>
    </row>
    <row r="951" spans="1:25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  <c r="X951" s="98">
        <v>21</v>
      </c>
      <c r="Y951" s="97">
        <v>53.369523809523812</v>
      </c>
    </row>
    <row r="952" spans="1:25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  <c r="X952" s="98">
        <v>25.200000000000003</v>
      </c>
      <c r="Y952" s="97">
        <v>56.101190476190474</v>
      </c>
    </row>
    <row r="953" spans="1:25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  <c r="X953" s="98">
        <v>4.2</v>
      </c>
      <c r="Y953" s="97">
        <v>475.27857142857147</v>
      </c>
    </row>
    <row r="954" spans="1:25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  <c r="X954" s="98">
        <v>33.6</v>
      </c>
      <c r="Y954" s="97">
        <v>104.50863095238094</v>
      </c>
    </row>
    <row r="955" spans="1:25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  <c r="X955" s="98">
        <v>12.600000000000001</v>
      </c>
      <c r="Y955" s="97">
        <v>154.24365079365077</v>
      </c>
    </row>
    <row r="956" spans="1:25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  <c r="X956" s="98">
        <v>8.4</v>
      </c>
      <c r="Y956" s="97">
        <v>170.53571428571428</v>
      </c>
    </row>
    <row r="957" spans="1:25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  <c r="X957" s="98">
        <v>8.4</v>
      </c>
      <c r="Y957" s="97">
        <v>164.26190476190479</v>
      </c>
    </row>
    <row r="958" spans="1:25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  <c r="X958" s="98">
        <v>8.4</v>
      </c>
      <c r="Y958" s="97">
        <v>195.63095238095238</v>
      </c>
    </row>
    <row r="959" spans="1:25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  <c r="X959" s="98">
        <v>21</v>
      </c>
      <c r="Y959" s="97">
        <v>29.946190476190477</v>
      </c>
    </row>
    <row r="960" spans="1:25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  <c r="X960" s="98">
        <v>4.2</v>
      </c>
      <c r="Y960" s="97">
        <v>133</v>
      </c>
    </row>
    <row r="961" spans="1:25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  <c r="X961" s="98">
        <v>4.2</v>
      </c>
      <c r="Y961" s="97">
        <v>133</v>
      </c>
    </row>
    <row r="962" spans="1:25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  <c r="X962" s="98">
        <v>46.2</v>
      </c>
      <c r="Y962" s="97">
        <v>47.258008658008656</v>
      </c>
    </row>
    <row r="963" spans="1:25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  <c r="X963" s="98">
        <v>71.400000000000006</v>
      </c>
      <c r="Y963" s="97">
        <v>21.721148459383752</v>
      </c>
    </row>
    <row r="964" spans="1:25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  <c r="X964" s="98">
        <v>8.4</v>
      </c>
      <c r="Y964" s="97">
        <v>187.44880952380953</v>
      </c>
    </row>
    <row r="965" spans="1:25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  <c r="X965" s="98">
        <v>12.600000000000001</v>
      </c>
      <c r="Y965" s="97">
        <v>49.910317460317451</v>
      </c>
    </row>
    <row r="966" spans="1:25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  <c r="X966" s="98">
        <v>12.600000000000001</v>
      </c>
      <c r="Y966" s="97">
        <v>44.333333333333329</v>
      </c>
    </row>
    <row r="967" spans="1:25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  <c r="X967" s="98">
        <v>58.800000000000011</v>
      </c>
      <c r="Y967" s="97">
        <v>33.546088435374138</v>
      </c>
    </row>
    <row r="968" spans="1:25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  <c r="X968" s="98">
        <v>4.2</v>
      </c>
      <c r="Y968" s="97">
        <v>319.06666666666661</v>
      </c>
    </row>
    <row r="969" spans="1:25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  <c r="X969" s="98">
        <v>8.4</v>
      </c>
      <c r="Y969" s="97">
        <v>193.72261904761905</v>
      </c>
    </row>
    <row r="970" spans="1:25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  <c r="X970" s="98">
        <v>25.200000000000003</v>
      </c>
      <c r="Y970" s="97">
        <v>98.683730158730157</v>
      </c>
    </row>
    <row r="971" spans="1:25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  <c r="X971" s="98">
        <v>4.2</v>
      </c>
      <c r="Y971" s="97">
        <v>374.89761904761906</v>
      </c>
    </row>
    <row r="972" spans="1:25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  <c r="X972" s="98">
        <v>84</v>
      </c>
      <c r="Y972" s="97">
        <v>28.501547619047617</v>
      </c>
    </row>
    <row r="973" spans="1:25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  <c r="X973" s="98">
        <v>58.800000000000011</v>
      </c>
      <c r="Y973" s="97">
        <v>29.960884353741491</v>
      </c>
    </row>
    <row r="974" spans="1:25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  <c r="X974" s="98">
        <v>67.2</v>
      </c>
      <c r="Y974" s="97">
        <v>32.48988095238095</v>
      </c>
    </row>
    <row r="975" spans="1:25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  <c r="X975" s="98">
        <v>12.600000000000001</v>
      </c>
      <c r="Y975" s="97">
        <v>124.965873015873</v>
      </c>
    </row>
    <row r="976" spans="1:25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  <c r="X976" s="98">
        <v>25.200000000000003</v>
      </c>
      <c r="Y976" s="97">
        <v>88.108730158730154</v>
      </c>
    </row>
    <row r="977" spans="1:25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  <c r="X977" s="98">
        <v>4.2</v>
      </c>
      <c r="Y977" s="97">
        <v>412.54047619047617</v>
      </c>
    </row>
    <row r="978" spans="1:25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  <c r="X978" s="98">
        <v>8.4</v>
      </c>
      <c r="Y978" s="97">
        <v>83.230952380952374</v>
      </c>
    </row>
    <row r="979" spans="1:25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  <c r="X979" s="98">
        <v>4.2</v>
      </c>
      <c r="Y979" s="97">
        <v>425.08809523809521</v>
      </c>
    </row>
    <row r="980" spans="1:25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  <c r="X980" s="98">
        <v>4.2</v>
      </c>
      <c r="Y980" s="97">
        <v>387.4452380952381</v>
      </c>
    </row>
    <row r="981" spans="1:25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  <c r="X981" s="98">
        <v>4.2</v>
      </c>
      <c r="Y981" s="97">
        <v>199.92380952380952</v>
      </c>
    </row>
    <row r="982" spans="1:25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  <c r="X982" s="98">
        <v>8.4</v>
      </c>
      <c r="Y982" s="97">
        <v>99.961904761904762</v>
      </c>
    </row>
    <row r="983" spans="1:25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  <c r="X983" s="98">
        <v>16.8</v>
      </c>
      <c r="Y983" s="97">
        <v>132.56785714285712</v>
      </c>
    </row>
    <row r="984" spans="1:25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  <c r="X984" s="98">
        <v>8.4</v>
      </c>
      <c r="Y984" s="97">
        <v>164.26190476190479</v>
      </c>
    </row>
    <row r="985" spans="1:25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  <c r="X985" s="98">
        <v>8.4</v>
      </c>
      <c r="Y985" s="97">
        <v>99.961904761904762</v>
      </c>
    </row>
    <row r="986" spans="1:25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  <c r="X986" s="98">
        <v>25.200000000000003</v>
      </c>
      <c r="Y986" s="97">
        <v>95.158730158730151</v>
      </c>
    </row>
    <row r="987" spans="1:25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  <c r="X987" s="98">
        <v>16.8</v>
      </c>
      <c r="Y987" s="97">
        <v>29.067261904761907</v>
      </c>
    </row>
    <row r="988" spans="1:25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  <c r="X988" s="98">
        <v>4.2</v>
      </c>
      <c r="Y988" s="97">
        <v>166.46190476190475</v>
      </c>
    </row>
    <row r="989" spans="1:25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  <c r="X989" s="98">
        <v>16.8</v>
      </c>
      <c r="Y989" s="97">
        <v>33.25</v>
      </c>
    </row>
    <row r="990" spans="1:25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  <c r="X990" s="98">
        <v>12.600000000000001</v>
      </c>
      <c r="Y990" s="97">
        <v>38.756349206349206</v>
      </c>
    </row>
    <row r="991" spans="1:25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  <c r="X991" s="98">
        <v>4.2</v>
      </c>
      <c r="Y991" s="97">
        <v>166.46190476190475</v>
      </c>
    </row>
    <row r="992" spans="1:25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  <c r="X992" s="98">
        <v>4.2</v>
      </c>
      <c r="Y992" s="97">
        <v>475.27857142857147</v>
      </c>
    </row>
    <row r="993" spans="1:25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  <c r="X993" s="98">
        <v>75.600000000000009</v>
      </c>
      <c r="Y993" s="97">
        <v>37.245370370370367</v>
      </c>
    </row>
    <row r="994" spans="1:25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  <c r="X994" s="98">
        <v>37.800000000000004</v>
      </c>
      <c r="Y994" s="97">
        <v>89.953174603174588</v>
      </c>
    </row>
    <row r="995" spans="1:25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  <c r="X995" s="98">
        <v>75.600000000000009</v>
      </c>
      <c r="Y995" s="97">
        <v>31.668386243386241</v>
      </c>
    </row>
    <row r="996" spans="1:25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  <c r="X996" s="98">
        <v>16.8</v>
      </c>
      <c r="Y996" s="97">
        <v>136.75059523809523</v>
      </c>
    </row>
    <row r="997" spans="1:25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  <c r="X997" s="98">
        <v>105</v>
      </c>
      <c r="Y997" s="97">
        <v>24.808952380952384</v>
      </c>
    </row>
    <row r="998" spans="1:25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  <c r="X998" s="98">
        <v>46.2</v>
      </c>
      <c r="Y998" s="97">
        <v>38.132034632034632</v>
      </c>
    </row>
    <row r="999" spans="1:25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  <c r="X999" s="98">
        <v>12.600000000000001</v>
      </c>
      <c r="Y999" s="97">
        <v>158.42619047619044</v>
      </c>
    </row>
    <row r="1000" spans="1:25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  <c r="X1000" s="98">
        <v>16.8</v>
      </c>
      <c r="Y1000" s="97">
        <v>111.65416666666665</v>
      </c>
    </row>
    <row r="1001" spans="1:25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  <c r="X1001" s="98">
        <v>50.400000000000006</v>
      </c>
      <c r="Y1001" s="97">
        <v>51.685317460317449</v>
      </c>
    </row>
    <row r="1002" spans="1:25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  <c r="X1002" s="98">
        <v>197.4</v>
      </c>
      <c r="Y1002" s="97">
        <v>45.941033434650457</v>
      </c>
    </row>
    <row r="1003" spans="1:25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  <c r="X1003" s="98">
        <v>235.20000000000005</v>
      </c>
      <c r="Y1003" s="97">
        <v>36.897789115646248</v>
      </c>
    </row>
    <row r="1004" spans="1:25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  <c r="X1004" s="98">
        <v>205.8</v>
      </c>
      <c r="Y1004" s="97">
        <v>42.168901846452862</v>
      </c>
    </row>
    <row r="1005" spans="1:25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  <c r="X1005" s="98">
        <v>121.80000000000001</v>
      </c>
      <c r="Y1005" s="97">
        <v>21.387027914614119</v>
      </c>
    </row>
    <row r="1006" spans="1:25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  <c r="X1006" s="98">
        <v>29.400000000000006</v>
      </c>
      <c r="Y1006" s="97">
        <v>32.979591836734691</v>
      </c>
    </row>
    <row r="1007" spans="1:25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  <c r="X1007" s="98">
        <v>92.4</v>
      </c>
      <c r="Y1007" s="97">
        <v>23.629004329004328</v>
      </c>
    </row>
    <row r="1008" spans="1:25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  <c r="X1008" s="98">
        <v>46.2</v>
      </c>
      <c r="Y1008" s="97">
        <v>33.569047619047616</v>
      </c>
    </row>
    <row r="1009" spans="1:25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  <c r="X1009" s="98">
        <v>4.2</v>
      </c>
      <c r="Y1009" s="97">
        <v>330.2714285714286</v>
      </c>
    </row>
    <row r="1010" spans="1:25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  <c r="X1010" s="98">
        <v>33.6</v>
      </c>
      <c r="Y1010" s="97">
        <v>33.53005952380952</v>
      </c>
    </row>
    <row r="1011" spans="1:25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  <c r="X1011" s="98">
        <v>8.4</v>
      </c>
      <c r="Y1011" s="97">
        <v>176.8095238095238</v>
      </c>
    </row>
    <row r="1012" spans="1:25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  <c r="X1012" s="98">
        <v>21</v>
      </c>
      <c r="Y1012" s="97">
        <v>53.369523809523812</v>
      </c>
    </row>
    <row r="1013" spans="1:25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  <c r="X1013" s="98">
        <v>63</v>
      </c>
      <c r="Y1013" s="97">
        <v>44.694444444444443</v>
      </c>
    </row>
    <row r="1014" spans="1:25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  <c r="X1014" s="98">
        <v>8.4</v>
      </c>
      <c r="Y1014" s="97">
        <v>206.27023809523808</v>
      </c>
    </row>
    <row r="1015" spans="1:25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  <c r="X1015" s="98">
        <v>92.4</v>
      </c>
      <c r="Y1015" s="97">
        <v>16.784523809523808</v>
      </c>
    </row>
    <row r="1016" spans="1:25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  <c r="X1016" s="98">
        <v>58.800000000000011</v>
      </c>
      <c r="Y1016" s="97">
        <v>40.716496598639445</v>
      </c>
    </row>
    <row r="1017" spans="1:25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  <c r="X1017" s="98">
        <v>457.79999999999995</v>
      </c>
      <c r="Y1017" s="97">
        <v>25.944298820445614</v>
      </c>
    </row>
    <row r="1018" spans="1:25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  <c r="X1018" s="98">
        <v>8.4</v>
      </c>
      <c r="Y1018" s="97">
        <v>237.63928571428573</v>
      </c>
    </row>
    <row r="1019" spans="1:25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  <c r="X1019" s="98">
        <v>8.4</v>
      </c>
      <c r="Y1019" s="97">
        <v>212.5440476190476</v>
      </c>
    </row>
    <row r="1020" spans="1:25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  <c r="X1020" s="98">
        <v>25.200000000000003</v>
      </c>
      <c r="Y1020" s="97">
        <v>91.633730158730145</v>
      </c>
    </row>
    <row r="1021" spans="1:25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  <c r="X1021" s="98">
        <v>16.8</v>
      </c>
      <c r="Y1021" s="97">
        <v>111.65416666666665</v>
      </c>
    </row>
    <row r="1022" spans="1:25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  <c r="X1022" s="98">
        <v>29.400000000000006</v>
      </c>
      <c r="Y1022" s="97">
        <v>84.586054421768694</v>
      </c>
    </row>
    <row r="1023" spans="1:25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  <c r="X1023" s="98">
        <v>8.4</v>
      </c>
      <c r="Y1023" s="97">
        <v>225.09166666666667</v>
      </c>
    </row>
    <row r="1024" spans="1:25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  <c r="X1024" s="98">
        <v>33.6</v>
      </c>
      <c r="Y1024" s="97">
        <v>84.640773809523793</v>
      </c>
    </row>
    <row r="1025" spans="1:25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  <c r="X1025" s="98">
        <v>21</v>
      </c>
      <c r="Y1025" s="97">
        <v>112.74666666666667</v>
      </c>
    </row>
    <row r="1026" spans="1:25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  <c r="X1026" s="98">
        <v>4.2</v>
      </c>
      <c r="Y1026" s="97">
        <v>475.27857142857147</v>
      </c>
    </row>
    <row r="1027" spans="1:25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  <c r="X1027" s="98">
        <v>4.2</v>
      </c>
      <c r="Y1027" s="97">
        <v>149.73095238095235</v>
      </c>
    </row>
    <row r="1028" spans="1:25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  <c r="X1028" s="98">
        <v>4.2</v>
      </c>
      <c r="Y1028" s="97">
        <v>387.4452380952381</v>
      </c>
    </row>
    <row r="1029" spans="1:25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  <c r="X1029" s="98">
        <v>25.200000000000003</v>
      </c>
      <c r="Y1029" s="97">
        <v>109.25873015873015</v>
      </c>
    </row>
    <row r="1030" spans="1:25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  <c r="X1030" s="98">
        <v>16.8</v>
      </c>
      <c r="Y1030" s="97">
        <v>140.93333333333334</v>
      </c>
    </row>
    <row r="1031" spans="1:25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  <c r="X1031" s="98">
        <v>21</v>
      </c>
      <c r="Y1031" s="97">
        <v>46.677142857142854</v>
      </c>
    </row>
    <row r="1032" spans="1:25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  <c r="X1032" s="98">
        <v>8.4</v>
      </c>
      <c r="Y1032" s="97">
        <v>193.72261904761905</v>
      </c>
    </row>
    <row r="1033" spans="1:25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  <c r="X1033" s="98">
        <v>176.4</v>
      </c>
      <c r="Y1033" s="97">
        <v>23.341269841269838</v>
      </c>
    </row>
    <row r="1034" spans="1:25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  <c r="X1034" s="98">
        <v>8.4</v>
      </c>
      <c r="Y1034" s="97">
        <v>83.230952380952374</v>
      </c>
    </row>
    <row r="1035" spans="1:25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  <c r="X1035" s="98">
        <v>12.600000000000001</v>
      </c>
      <c r="Y1035" s="97">
        <v>133.33095238095237</v>
      </c>
    </row>
    <row r="1036" spans="1:25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  <c r="X1036" s="98">
        <v>210</v>
      </c>
      <c r="Y1036" s="97">
        <v>41.325523809523816</v>
      </c>
    </row>
    <row r="1037" spans="1:25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  <c r="X1037" s="98">
        <v>12.600000000000001</v>
      </c>
      <c r="Y1037" s="97">
        <v>145.87857142857141</v>
      </c>
    </row>
    <row r="1038" spans="1:25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  <c r="X1038" s="98">
        <v>8.4</v>
      </c>
      <c r="Y1038" s="97">
        <v>193.72261904761905</v>
      </c>
    </row>
    <row r="1039" spans="1:25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  <c r="X1039" s="98">
        <v>239.39999999999998</v>
      </c>
      <c r="Y1039" s="97">
        <v>17.198830409356727</v>
      </c>
    </row>
    <row r="1040" spans="1:25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  <c r="X1040" s="98">
        <v>8.4</v>
      </c>
      <c r="Y1040" s="97">
        <v>74.865476190476173</v>
      </c>
    </row>
    <row r="1041" spans="1:25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  <c r="X1041" s="98">
        <v>8.4</v>
      </c>
      <c r="Y1041" s="97">
        <v>66.5</v>
      </c>
    </row>
    <row r="1042" spans="1:25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  <c r="X1042" s="98">
        <v>12.600000000000001</v>
      </c>
      <c r="Y1042" s="97">
        <v>66.641269841269832</v>
      </c>
    </row>
    <row r="1043" spans="1:25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  <c r="X1043" s="98">
        <v>8.4</v>
      </c>
      <c r="Y1043" s="97">
        <v>193.72261904761905</v>
      </c>
    </row>
    <row r="1044" spans="1:25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  <c r="X1044" s="98">
        <v>8.4</v>
      </c>
      <c r="Y1044" s="97">
        <v>83.230952380952374</v>
      </c>
    </row>
    <row r="1045" spans="1:25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  <c r="X1045" s="98">
        <v>8.4</v>
      </c>
      <c r="Y1045" s="97">
        <v>91.596428571428561</v>
      </c>
    </row>
    <row r="1046" spans="1:25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  <c r="X1046" s="98">
        <v>4.2</v>
      </c>
      <c r="Y1046" s="97">
        <v>412.54047619047617</v>
      </c>
    </row>
    <row r="1047" spans="1:25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  <c r="X1047" s="98">
        <v>33.6</v>
      </c>
      <c r="Y1047" s="97">
        <v>84.640773809523793</v>
      </c>
    </row>
    <row r="1048" spans="1:25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  <c r="X1048" s="98">
        <v>8.4</v>
      </c>
      <c r="Y1048" s="97">
        <v>83.230952380952374</v>
      </c>
    </row>
    <row r="1049" spans="1:25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  <c r="X1049" s="98">
        <v>71.400000000000006</v>
      </c>
      <c r="Y1049" s="97">
        <v>33.531232492997191</v>
      </c>
    </row>
    <row r="1050" spans="1:25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  <c r="X1050" s="98">
        <v>121.80000000000001</v>
      </c>
      <c r="Y1050" s="97">
        <v>16.194663382594417</v>
      </c>
    </row>
    <row r="1051" spans="1:25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  <c r="X1051" s="98">
        <v>4.2</v>
      </c>
      <c r="Y1051" s="97">
        <v>437.63571428571424</v>
      </c>
    </row>
    <row r="1052" spans="1:25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  <c r="X1052" s="98">
        <v>4.2</v>
      </c>
      <c r="Y1052" s="97">
        <v>475.27857142857147</v>
      </c>
    </row>
    <row r="1053" spans="1:25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  <c r="X1053" s="98">
        <v>4.2</v>
      </c>
      <c r="Y1053" s="97">
        <v>166.46190476190475</v>
      </c>
    </row>
    <row r="1054" spans="1:25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  <c r="X1054" s="98">
        <v>8.4</v>
      </c>
      <c r="Y1054" s="97">
        <v>83.230952380952374</v>
      </c>
    </row>
    <row r="1055" spans="1:25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  <c r="X1055" s="98">
        <v>4.2</v>
      </c>
      <c r="Y1055" s="97">
        <v>437.63571428571424</v>
      </c>
    </row>
    <row r="1056" spans="1:25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  <c r="X1056" s="98">
        <v>12.600000000000001</v>
      </c>
      <c r="Y1056" s="97">
        <v>116.63095238095237</v>
      </c>
    </row>
    <row r="1057" spans="1:25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  <c r="X1057" s="98">
        <v>147</v>
      </c>
      <c r="Y1057" s="97">
        <v>29.518231292517008</v>
      </c>
    </row>
    <row r="1058" spans="1:25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  <c r="X1058" s="98">
        <v>134.4</v>
      </c>
      <c r="Y1058" s="97">
        <v>35.113541666666663</v>
      </c>
    </row>
    <row r="1059" spans="1:25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  <c r="X1059" s="98">
        <v>252</v>
      </c>
      <c r="Y1059" s="97">
        <v>37.454444444444441</v>
      </c>
    </row>
    <row r="1060" spans="1:25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  <c r="X1060" s="98">
        <v>84</v>
      </c>
      <c r="Y1060" s="97">
        <v>38.540119047619044</v>
      </c>
    </row>
    <row r="1061" spans="1:25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  <c r="X1061" s="98">
        <v>16.8</v>
      </c>
      <c r="Y1061" s="97">
        <v>132.56785714285712</v>
      </c>
    </row>
    <row r="1062" spans="1:25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  <c r="X1062" s="98">
        <v>8.4</v>
      </c>
      <c r="Y1062" s="97">
        <v>83.230952380952374</v>
      </c>
    </row>
    <row r="1063" spans="1:25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  <c r="X1063" s="98">
        <v>16.8</v>
      </c>
      <c r="Y1063" s="97">
        <v>120.01964285714286</v>
      </c>
    </row>
    <row r="1064" spans="1:25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  <c r="X1064" s="98">
        <v>33.6</v>
      </c>
      <c r="Y1064" s="97">
        <v>20.284821428571426</v>
      </c>
    </row>
    <row r="1065" spans="1:25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  <c r="X1065" s="98">
        <v>50.400000000000006</v>
      </c>
      <c r="Y1065" s="97">
        <v>34.954365079365068</v>
      </c>
    </row>
    <row r="1066" spans="1:25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  <c r="X1066" s="98">
        <v>8.4</v>
      </c>
      <c r="Y1066" s="97">
        <v>164.26190476190479</v>
      </c>
    </row>
    <row r="1067" spans="1:25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  <c r="X1067" s="98">
        <v>323.40000000000003</v>
      </c>
      <c r="Y1067" s="97">
        <v>30.074829931972783</v>
      </c>
    </row>
    <row r="1068" spans="1:25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  <c r="X1068" s="98">
        <v>75.600000000000009</v>
      </c>
      <c r="Y1068" s="97">
        <v>28.87989417989418</v>
      </c>
    </row>
    <row r="1069" spans="1:25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  <c r="X1069" s="98">
        <v>79.8</v>
      </c>
      <c r="Y1069" s="97">
        <v>40.568546365914791</v>
      </c>
    </row>
    <row r="1070" spans="1:25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  <c r="X1070" s="98">
        <v>12.600000000000001</v>
      </c>
      <c r="Y1070" s="97">
        <v>112.44841269841268</v>
      </c>
    </row>
    <row r="1071" spans="1:25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  <c r="X1071" s="98">
        <v>8.4</v>
      </c>
      <c r="Y1071" s="97">
        <v>170.53571428571428</v>
      </c>
    </row>
    <row r="1072" spans="1:25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  <c r="X1072" s="98">
        <v>8.4</v>
      </c>
      <c r="Y1072" s="97">
        <v>170.53571428571428</v>
      </c>
    </row>
    <row r="1073" spans="1:25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  <c r="X1073" s="98">
        <v>63</v>
      </c>
      <c r="Y1073" s="97">
        <v>41.348253968253971</v>
      </c>
    </row>
    <row r="1074" spans="1:25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  <c r="X1074" s="98">
        <v>4.2</v>
      </c>
      <c r="Y1074" s="97">
        <v>216.6547619047619</v>
      </c>
    </row>
    <row r="1075" spans="1:25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  <c r="X1075" s="98">
        <v>4.2</v>
      </c>
      <c r="Y1075" s="97">
        <v>199.92380952380952</v>
      </c>
    </row>
    <row r="1076" spans="1:25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  <c r="X1076" s="98">
        <v>79.8</v>
      </c>
      <c r="Y1076" s="97">
        <v>35.285087719298247</v>
      </c>
    </row>
    <row r="1077" spans="1:25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  <c r="X1077" s="98">
        <v>4.2</v>
      </c>
      <c r="Y1077" s="97">
        <v>412.54047619047617</v>
      </c>
    </row>
    <row r="1078" spans="1:25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  <c r="X1078" s="98">
        <v>58.800000000000011</v>
      </c>
      <c r="Y1078" s="97">
        <v>80.153741496598627</v>
      </c>
    </row>
    <row r="1079" spans="1:25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  <c r="X1079" s="98">
        <v>25.200000000000003</v>
      </c>
      <c r="Y1079" s="97">
        <v>70.201190476190476</v>
      </c>
    </row>
    <row r="1080" spans="1:25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  <c r="X1080" s="98">
        <v>8.4</v>
      </c>
      <c r="Y1080" s="97">
        <v>237.63928571428573</v>
      </c>
    </row>
    <row r="1081" spans="1:25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  <c r="X1081" s="98">
        <v>4.2</v>
      </c>
      <c r="Y1081" s="97">
        <v>367.91428571428571</v>
      </c>
    </row>
    <row r="1082" spans="1:25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  <c r="X1082" s="98">
        <v>16.8</v>
      </c>
      <c r="Y1082" s="97">
        <v>62.529166666666661</v>
      </c>
    </row>
    <row r="1083" spans="1:25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  <c r="X1083" s="98">
        <v>12.600000000000001</v>
      </c>
      <c r="Y1083" s="97">
        <v>61.06428571428571</v>
      </c>
    </row>
    <row r="1084" spans="1:25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  <c r="X1084" s="98">
        <v>8.4</v>
      </c>
      <c r="Y1084" s="97">
        <v>74.865476190476173</v>
      </c>
    </row>
    <row r="1085" spans="1:25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  <c r="X1085" s="98">
        <v>4.2</v>
      </c>
      <c r="Y1085" s="97">
        <v>183.19285714285712</v>
      </c>
    </row>
    <row r="1086" spans="1:25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  <c r="X1086" s="98">
        <v>8.4</v>
      </c>
      <c r="Y1086" s="97">
        <v>201.9047619047619</v>
      </c>
    </row>
    <row r="1087" spans="1:25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  <c r="X1087" s="98">
        <v>4.2</v>
      </c>
      <c r="Y1087" s="97">
        <v>199.92380952380952</v>
      </c>
    </row>
    <row r="1088" spans="1:25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  <c r="X1088" s="98">
        <v>8.4</v>
      </c>
      <c r="Y1088" s="97">
        <v>206.27023809523808</v>
      </c>
    </row>
    <row r="1089" spans="1:25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  <c r="X1089" s="98">
        <v>4.2</v>
      </c>
      <c r="Y1089" s="97">
        <v>216.6547619047619</v>
      </c>
    </row>
    <row r="1090" spans="1:25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  <c r="X1090" s="98">
        <v>29.400000000000006</v>
      </c>
      <c r="Y1090" s="97">
        <v>32.979591836734691</v>
      </c>
    </row>
    <row r="1091" spans="1:25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  <c r="X1091" s="98">
        <v>8.4</v>
      </c>
      <c r="Y1091" s="97">
        <v>91.596428571428561</v>
      </c>
    </row>
    <row r="1092" spans="1:25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  <c r="X1092" s="98">
        <v>4.2</v>
      </c>
      <c r="Y1092" s="97">
        <v>437.63571428571424</v>
      </c>
    </row>
    <row r="1093" spans="1:25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  <c r="X1093" s="98">
        <v>25.200000000000003</v>
      </c>
      <c r="Y1093" s="97">
        <v>52.576190476190469</v>
      </c>
    </row>
    <row r="1094" spans="1:25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  <c r="X1094" s="98">
        <v>96.600000000000009</v>
      </c>
      <c r="Y1094" s="97">
        <v>40.060041407867494</v>
      </c>
    </row>
    <row r="1095" spans="1:25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  <c r="X1095" s="98">
        <v>8.4</v>
      </c>
      <c r="Y1095" s="97">
        <v>201.9047619047619</v>
      </c>
    </row>
    <row r="1096" spans="1:25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  <c r="X1096" s="98">
        <v>4.2</v>
      </c>
      <c r="Y1096" s="97">
        <v>393.00952380952378</v>
      </c>
    </row>
    <row r="1097" spans="1:25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  <c r="X1097" s="98">
        <v>8.4</v>
      </c>
      <c r="Y1097" s="97">
        <v>99.961904761904762</v>
      </c>
    </row>
    <row r="1098" spans="1:25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  <c r="X1098" s="98">
        <v>4.2</v>
      </c>
      <c r="Y1098" s="97">
        <v>166.46190476190475</v>
      </c>
    </row>
    <row r="1099" spans="1:25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  <c r="X1099" s="98">
        <v>4.2</v>
      </c>
      <c r="Y1099" s="97">
        <v>418.10476190476186</v>
      </c>
    </row>
    <row r="1100" spans="1:25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  <c r="X1100" s="98">
        <v>16.8</v>
      </c>
      <c r="Y1100" s="97">
        <v>49.980952380952381</v>
      </c>
    </row>
    <row r="1101" spans="1:25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  <c r="X1101" s="98">
        <v>54.599999999999994</v>
      </c>
      <c r="Y1101" s="97">
        <v>36.126556776556782</v>
      </c>
    </row>
    <row r="1102" spans="1:25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  <c r="X1102" s="98">
        <v>16.8</v>
      </c>
      <c r="Y1102" s="97">
        <v>37.432738095238086</v>
      </c>
    </row>
    <row r="1103" spans="1:25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  <c r="X1103" s="98">
        <v>8.4</v>
      </c>
      <c r="Y1103" s="97">
        <v>74.865476190476173</v>
      </c>
    </row>
    <row r="1104" spans="1:25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  <c r="X1104" s="98">
        <v>109.19999999999999</v>
      </c>
      <c r="Y1104" s="97">
        <v>25.785256410256416</v>
      </c>
    </row>
    <row r="1105" spans="1:25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  <c r="X1105" s="98">
        <v>4.2</v>
      </c>
      <c r="Y1105" s="97">
        <v>455.74761904761908</v>
      </c>
    </row>
    <row r="1106" spans="1:25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  <c r="X1106" s="98">
        <v>8.4</v>
      </c>
      <c r="Y1106" s="97">
        <v>91.596428571428561</v>
      </c>
    </row>
    <row r="1107" spans="1:25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  <c r="X1107" s="98">
        <v>8.4</v>
      </c>
      <c r="Y1107" s="97">
        <v>108.32738095238095</v>
      </c>
    </row>
    <row r="1108" spans="1:25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  <c r="X1108" s="98">
        <v>4.2</v>
      </c>
      <c r="Y1108" s="97">
        <v>317.72380952380951</v>
      </c>
    </row>
    <row r="1109" spans="1:25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  <c r="X1109" s="98">
        <v>8.4</v>
      </c>
      <c r="Y1109" s="97">
        <v>206.27023809523808</v>
      </c>
    </row>
    <row r="1110" spans="1:25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  <c r="X1110" s="98">
        <v>4.2</v>
      </c>
      <c r="Y1110" s="97">
        <v>462.73095238095237</v>
      </c>
    </row>
    <row r="1111" spans="1:25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  <c r="X1111" s="98">
        <v>21</v>
      </c>
      <c r="Y1111" s="97">
        <v>46.677142857142854</v>
      </c>
    </row>
    <row r="1112" spans="1:25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  <c r="X1112" s="98">
        <v>8.4</v>
      </c>
      <c r="Y1112" s="97">
        <v>108.32738095238095</v>
      </c>
    </row>
    <row r="1113" spans="1:25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  <c r="X1113" s="98">
        <v>12.600000000000001</v>
      </c>
      <c r="Y1113" s="97">
        <v>124.99603174603173</v>
      </c>
    </row>
    <row r="1114" spans="1:25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  <c r="X1114" s="98">
        <v>8.4</v>
      </c>
      <c r="Y1114" s="97">
        <v>212.5440476190476</v>
      </c>
    </row>
    <row r="1115" spans="1:25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  <c r="X1115" s="98">
        <v>8.4</v>
      </c>
      <c r="Y1115" s="97">
        <v>225.09166666666667</v>
      </c>
    </row>
    <row r="1116" spans="1:25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  <c r="X1116" s="98">
        <v>4.2</v>
      </c>
      <c r="Y1116" s="97">
        <v>149.73095238095235</v>
      </c>
    </row>
    <row r="1117" spans="1:25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  <c r="X1117" s="98">
        <v>50.400000000000006</v>
      </c>
      <c r="Y1117" s="97">
        <v>51.685317460317449</v>
      </c>
    </row>
    <row r="1118" spans="1:25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  <c r="X1118" s="98">
        <v>42</v>
      </c>
      <c r="Y1118" s="97">
        <v>26.824047619047619</v>
      </c>
    </row>
    <row r="1119" spans="1:25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  <c r="X1119" s="98">
        <v>4.2</v>
      </c>
      <c r="Y1119" s="97">
        <v>317.72380952380951</v>
      </c>
    </row>
    <row r="1120" spans="1:25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  <c r="X1120" s="98">
        <v>67.2</v>
      </c>
      <c r="Y1120" s="97">
        <v>41.901041666666664</v>
      </c>
    </row>
    <row r="1121" spans="1:25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  <c r="X1121" s="98">
        <v>4.2</v>
      </c>
      <c r="Y1121" s="97">
        <v>330.2714285714286</v>
      </c>
    </row>
    <row r="1122" spans="1:25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  <c r="X1122" s="98">
        <v>21</v>
      </c>
      <c r="Y1122" s="97">
        <v>53.369523809523812</v>
      </c>
    </row>
    <row r="1123" spans="1:25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  <c r="X1123" s="98">
        <v>4.2</v>
      </c>
      <c r="Y1123" s="97">
        <v>330.2714285714286</v>
      </c>
    </row>
    <row r="1124" spans="1:25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  <c r="X1124" s="98">
        <v>12.600000000000001</v>
      </c>
      <c r="Y1124" s="97">
        <v>154.24365079365077</v>
      </c>
    </row>
    <row r="1125" spans="1:25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  <c r="X1125" s="98">
        <v>12.600000000000001</v>
      </c>
      <c r="Y1125" s="97">
        <v>61.06428571428571</v>
      </c>
    </row>
    <row r="1126" spans="1:25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  <c r="X1126" s="98">
        <v>4.2</v>
      </c>
      <c r="Y1126" s="97">
        <v>462.73095238095237</v>
      </c>
    </row>
    <row r="1127" spans="1:25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  <c r="X1127" s="98">
        <v>29.400000000000006</v>
      </c>
      <c r="Y1127" s="97">
        <v>42.043877551020394</v>
      </c>
    </row>
    <row r="1128" spans="1:25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  <c r="X1128" s="98">
        <v>21</v>
      </c>
      <c r="Y1128" s="97">
        <v>26.599999999999998</v>
      </c>
    </row>
    <row r="1129" spans="1:25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  <c r="X1129" s="98">
        <v>4.2</v>
      </c>
      <c r="Y1129" s="97">
        <v>355.36666666666662</v>
      </c>
    </row>
    <row r="1130" spans="1:25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  <c r="X1130" s="98">
        <v>4.2</v>
      </c>
      <c r="Y1130" s="97">
        <v>342.81904761904764</v>
      </c>
    </row>
    <row r="1131" spans="1:25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  <c r="X1131" s="98">
        <v>12.600000000000001</v>
      </c>
      <c r="Y1131" s="97">
        <v>116.63095238095237</v>
      </c>
    </row>
    <row r="1132" spans="1:25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  <c r="X1132" s="98">
        <v>8.4</v>
      </c>
      <c r="Y1132" s="97">
        <v>164.26190476190479</v>
      </c>
    </row>
    <row r="1133" spans="1:25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  <c r="X1133" s="98">
        <v>8.4</v>
      </c>
      <c r="Y1133" s="97">
        <v>99.961904761904762</v>
      </c>
    </row>
    <row r="1134" spans="1:25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  <c r="X1134" s="98">
        <v>4.2</v>
      </c>
      <c r="Y1134" s="97">
        <v>166.46190476190475</v>
      </c>
    </row>
    <row r="1135" spans="1:25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  <c r="X1135" s="98">
        <v>71.400000000000006</v>
      </c>
      <c r="Y1135" s="97">
        <v>39.436274509803916</v>
      </c>
    </row>
    <row r="1136" spans="1:25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  <c r="X1136" s="98">
        <v>8.4</v>
      </c>
      <c r="Y1136" s="97">
        <v>83.230952380952374</v>
      </c>
    </row>
    <row r="1137" spans="1:25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  <c r="X1137" s="98">
        <v>16.8</v>
      </c>
      <c r="Y1137" s="97">
        <v>120.01964285714286</v>
      </c>
    </row>
    <row r="1138" spans="1:25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  <c r="X1138" s="98">
        <v>4.2</v>
      </c>
      <c r="Y1138" s="97">
        <v>149.73095238095235</v>
      </c>
    </row>
    <row r="1139" spans="1:25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  <c r="X1139" s="98">
        <v>4.2</v>
      </c>
      <c r="Y1139" s="97">
        <v>500.37380952380948</v>
      </c>
    </row>
    <row r="1140" spans="1:25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  <c r="X1140" s="98">
        <v>4.2</v>
      </c>
      <c r="Y1140" s="97">
        <v>317.72380952380951</v>
      </c>
    </row>
    <row r="1141" spans="1:25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  <c r="X1141" s="98">
        <v>8.4</v>
      </c>
      <c r="Y1141" s="97">
        <v>91.596428571428561</v>
      </c>
    </row>
    <row r="1142" spans="1:25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  <c r="X1142" s="98">
        <v>12.600000000000001</v>
      </c>
      <c r="Y1142" s="97">
        <v>112.44841269841268</v>
      </c>
    </row>
    <row r="1143" spans="1:25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  <c r="X1143" s="98">
        <v>4.2</v>
      </c>
      <c r="Y1143" s="97">
        <v>317.72380952380951</v>
      </c>
    </row>
    <row r="1144" spans="1:25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  <c r="X1144" s="98">
        <v>4.2</v>
      </c>
      <c r="Y1144" s="97">
        <v>367.91428571428571</v>
      </c>
    </row>
    <row r="1145" spans="1:25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  <c r="X1145" s="98">
        <v>4.2</v>
      </c>
      <c r="Y1145" s="97">
        <v>355.36666666666662</v>
      </c>
    </row>
    <row r="1146" spans="1:25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  <c r="X1146" s="98">
        <v>8.4</v>
      </c>
      <c r="Y1146" s="97">
        <v>91.596428571428561</v>
      </c>
    </row>
    <row r="1147" spans="1:25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  <c r="X1147" s="98">
        <v>4.2</v>
      </c>
      <c r="Y1147" s="97">
        <v>149.73095238095235</v>
      </c>
    </row>
    <row r="1148" spans="1:25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  <c r="X1148" s="98">
        <v>4.2</v>
      </c>
      <c r="Y1148" s="97">
        <v>199.92380952380952</v>
      </c>
    </row>
    <row r="1149" spans="1:25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  <c r="X1149" s="98">
        <v>168</v>
      </c>
      <c r="Y1149" s="97">
        <v>23.566071428571426</v>
      </c>
    </row>
    <row r="1150" spans="1:25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  <c r="X1150" s="98">
        <v>4.2</v>
      </c>
      <c r="Y1150" s="97">
        <v>317.72380952380951</v>
      </c>
    </row>
    <row r="1151" spans="1:25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  <c r="X1151" s="98">
        <v>4.2</v>
      </c>
      <c r="Y1151" s="97">
        <v>149.73095238095235</v>
      </c>
    </row>
    <row r="1152" spans="1:25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  <c r="X1152" s="98">
        <v>4.2</v>
      </c>
      <c r="Y1152" s="97">
        <v>133</v>
      </c>
    </row>
    <row r="1153" spans="1:25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  <c r="X1153" s="98">
        <v>4.2</v>
      </c>
      <c r="Y1153" s="97">
        <v>355.36666666666662</v>
      </c>
    </row>
    <row r="1154" spans="1:25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  <c r="X1154" s="98">
        <v>4.2</v>
      </c>
      <c r="Y1154" s="97">
        <v>380.46190476190475</v>
      </c>
    </row>
    <row r="1155" spans="1:25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  <c r="X1155" s="98">
        <v>4.2</v>
      </c>
      <c r="Y1155" s="97">
        <v>116.26904761904763</v>
      </c>
    </row>
    <row r="1156" spans="1:25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  <c r="X1156" s="98">
        <v>4.2</v>
      </c>
      <c r="Y1156" s="97">
        <v>199.92380952380952</v>
      </c>
    </row>
    <row r="1157" spans="1:25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  <c r="X1157" s="98">
        <v>4.2</v>
      </c>
      <c r="Y1157" s="97">
        <v>317.72380952380951</v>
      </c>
    </row>
    <row r="1158" spans="1:25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  <c r="X1158" s="98">
        <v>4.2</v>
      </c>
      <c r="Y1158" s="97">
        <v>216.6547619047619</v>
      </c>
    </row>
    <row r="1159" spans="1:25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  <c r="X1159" s="98">
        <v>4.2</v>
      </c>
      <c r="Y1159" s="97">
        <v>199.92380952380952</v>
      </c>
    </row>
    <row r="1160" spans="1:25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  <c r="X1160" s="98">
        <v>4.2</v>
      </c>
      <c r="Y1160" s="97">
        <v>437.63571428571424</v>
      </c>
    </row>
    <row r="1161" spans="1:25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  <c r="X1161" s="98">
        <v>4.2</v>
      </c>
      <c r="Y1161" s="97">
        <v>216.6547619047619</v>
      </c>
    </row>
    <row r="1162" spans="1:25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  <c r="X1162" s="98">
        <v>4.2</v>
      </c>
      <c r="Y1162" s="97">
        <v>116.26904761904763</v>
      </c>
    </row>
    <row r="1163" spans="1:25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  <c r="X1163" s="98">
        <v>4.2</v>
      </c>
      <c r="Y1163" s="97">
        <v>317.72380952380951</v>
      </c>
    </row>
    <row r="1164" spans="1:25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  <c r="X1164" s="98">
        <v>4.2</v>
      </c>
      <c r="Y1164" s="97">
        <v>399.99285714285708</v>
      </c>
    </row>
    <row r="1165" spans="1:25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  <c r="X1165" s="98">
        <v>4.2</v>
      </c>
      <c r="Y1165" s="97">
        <v>399.99285714285708</v>
      </c>
    </row>
    <row r="1166" spans="1:25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  <c r="X1166" s="98">
        <v>4.2</v>
      </c>
      <c r="Y1166" s="97">
        <v>133</v>
      </c>
    </row>
    <row r="1167" spans="1:25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  <c r="X1167" s="98">
        <v>4.2</v>
      </c>
      <c r="Y1167" s="97">
        <v>183.19285714285712</v>
      </c>
    </row>
    <row r="1168" spans="1:25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  <c r="X1168" s="98">
        <v>4.2</v>
      </c>
      <c r="Y1168" s="97">
        <v>425.08809523809521</v>
      </c>
    </row>
    <row r="1169" spans="1:25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  <c r="X1169" s="98">
        <v>4.2</v>
      </c>
      <c r="Y1169" s="97">
        <v>199.92380952380952</v>
      </c>
    </row>
    <row r="1170" spans="1:25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  <c r="X1170" s="98">
        <v>4.2</v>
      </c>
      <c r="Y1170" s="97">
        <v>475.27857142857147</v>
      </c>
    </row>
    <row r="1171" spans="1:25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  <c r="X1171" s="98">
        <v>4.2</v>
      </c>
      <c r="Y1171" s="97">
        <v>216.6547619047619</v>
      </c>
    </row>
    <row r="1172" spans="1:25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  <c r="X1172" s="98">
        <v>4.2</v>
      </c>
      <c r="Y1172" s="97">
        <v>199.92380952380952</v>
      </c>
    </row>
    <row r="1173" spans="1:25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  <c r="X1173" s="98">
        <v>4.2</v>
      </c>
      <c r="Y1173" s="97">
        <v>166.46190476190475</v>
      </c>
    </row>
    <row r="1174" spans="1:25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  <c r="X1174" s="98">
        <v>4.2</v>
      </c>
      <c r="Y1174" s="97">
        <v>399.99285714285708</v>
      </c>
    </row>
    <row r="1175" spans="1:25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  <c r="X1175" s="98">
        <v>4.2</v>
      </c>
      <c r="Y1175" s="97">
        <v>399.99285714285708</v>
      </c>
    </row>
    <row r="1176" spans="1:25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  <c r="X1176" s="98">
        <v>4.2</v>
      </c>
      <c r="Y1176" s="97">
        <v>319.06666666666661</v>
      </c>
    </row>
    <row r="1177" spans="1:25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  <c r="X1177" s="98">
        <v>4.2</v>
      </c>
      <c r="Y1177" s="97">
        <v>387.4452380952381</v>
      </c>
    </row>
    <row r="1178" spans="1:25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  <c r="X1178" s="98">
        <v>4.2</v>
      </c>
      <c r="Y1178" s="97">
        <v>475.27857142857147</v>
      </c>
    </row>
    <row r="1179" spans="1:25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  <c r="X1179" s="98">
        <v>4.2</v>
      </c>
      <c r="Y1179" s="97">
        <v>166.46190476190475</v>
      </c>
    </row>
    <row r="1180" spans="1:25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  <c r="X1180" s="98">
        <v>4.2</v>
      </c>
      <c r="Y1180" s="97">
        <v>166.46190476190475</v>
      </c>
    </row>
    <row r="1181" spans="1:25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  <c r="X1181" s="98">
        <v>4.2</v>
      </c>
      <c r="Y1181" s="97">
        <v>149.73095238095235</v>
      </c>
    </row>
    <row r="1182" spans="1:25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  <c r="X1182" s="98">
        <v>4.2</v>
      </c>
      <c r="Y1182" s="97">
        <v>133</v>
      </c>
    </row>
    <row r="1183" spans="1:25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  <c r="X1183" s="98">
        <v>4.2</v>
      </c>
      <c r="Y1183" s="97">
        <v>425.08809523809521</v>
      </c>
    </row>
    <row r="1184" spans="1:25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  <c r="X1184" s="98">
        <v>4.2</v>
      </c>
      <c r="Y1184" s="97">
        <v>166.46190476190475</v>
      </c>
    </row>
    <row r="1185" spans="1:25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  <c r="X1185" s="98">
        <v>4.2</v>
      </c>
      <c r="Y1185" s="97">
        <v>374.89761904761906</v>
      </c>
    </row>
    <row r="1186" spans="1:25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  <c r="X1186" s="98">
        <v>4.2</v>
      </c>
      <c r="Y1186" s="97">
        <v>399.99285714285708</v>
      </c>
    </row>
    <row r="1187" spans="1:25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  <c r="X1187" s="98">
        <v>4.2</v>
      </c>
      <c r="Y1187" s="97">
        <v>399.99285714285708</v>
      </c>
    </row>
    <row r="1188" spans="1:25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  <c r="X1188" s="98">
        <v>4.2</v>
      </c>
      <c r="Y1188" s="97">
        <v>412.54047619047617</v>
      </c>
    </row>
    <row r="1189" spans="1:25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  <c r="X1189" s="98">
        <v>4.2</v>
      </c>
      <c r="Y1189" s="97">
        <v>319.06666666666661</v>
      </c>
    </row>
    <row r="1190" spans="1:25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  <c r="X1190" s="98">
        <v>4.2</v>
      </c>
      <c r="Y1190" s="97">
        <v>319.06666666666661</v>
      </c>
    </row>
    <row r="1191" spans="1:25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  <c r="X1191" s="98">
        <v>4.2</v>
      </c>
      <c r="Y1191" s="97">
        <v>183.19285714285712</v>
      </c>
    </row>
    <row r="1192" spans="1:25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  <c r="X1192" s="98">
        <v>4.2</v>
      </c>
      <c r="Y1192" s="97">
        <v>149.73095238095235</v>
      </c>
    </row>
    <row r="1193" spans="1:25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  <c r="X1193" s="98">
        <v>4.2</v>
      </c>
      <c r="Y1193" s="97">
        <v>183.19285714285712</v>
      </c>
    </row>
    <row r="1194" spans="1:25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  <c r="X1194" s="98">
        <v>4.2</v>
      </c>
      <c r="Y1194" s="97">
        <v>330.2714285714286</v>
      </c>
    </row>
    <row r="1195" spans="1:25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  <c r="X1195" s="98">
        <v>4.2</v>
      </c>
      <c r="Y1195" s="97">
        <v>199.92380952380952</v>
      </c>
    </row>
    <row r="1196" spans="1:25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  <c r="X1196" s="98">
        <v>4.2</v>
      </c>
      <c r="Y1196" s="97">
        <v>412.54047619047617</v>
      </c>
    </row>
    <row r="1197" spans="1:25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  <c r="X1197" s="98">
        <v>4.2</v>
      </c>
      <c r="Y1197" s="97">
        <v>133</v>
      </c>
    </row>
    <row r="1198" spans="1:25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  <c r="X1198" s="98">
        <v>4.2</v>
      </c>
      <c r="Y1198" s="97">
        <v>216.6547619047619</v>
      </c>
    </row>
    <row r="1199" spans="1:25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  <c r="X1199" s="98">
        <v>4.2</v>
      </c>
      <c r="Y1199" s="97">
        <v>216.6547619047619</v>
      </c>
    </row>
    <row r="1200" spans="1:25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  <c r="X1200" s="98">
        <v>4.2</v>
      </c>
      <c r="Y1200" s="97">
        <v>387.4452380952381</v>
      </c>
    </row>
    <row r="1201" spans="1:25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  <c r="X1201" s="98">
        <v>4.2</v>
      </c>
      <c r="Y1201" s="97">
        <v>183.19285714285712</v>
      </c>
    </row>
    <row r="1202" spans="1:25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  <c r="X1202" s="98">
        <v>4.2</v>
      </c>
      <c r="Y1202" s="97">
        <v>374.89761904761906</v>
      </c>
    </row>
    <row r="1203" spans="1:25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  <c r="X1203" s="98">
        <v>4.2</v>
      </c>
      <c r="Y1203" s="97">
        <v>387.4452380952381</v>
      </c>
    </row>
    <row r="1204" spans="1:25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  <c r="X1204" s="98">
        <v>4.2</v>
      </c>
      <c r="Y1204" s="97">
        <v>183.19285714285712</v>
      </c>
    </row>
    <row r="1205" spans="1:25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  <c r="X1205" s="98">
        <v>4.2</v>
      </c>
      <c r="Y1205" s="97">
        <v>367.91428571428571</v>
      </c>
    </row>
    <row r="1206" spans="1:25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  <c r="X1206" s="98">
        <v>4.2</v>
      </c>
      <c r="Y1206" s="97">
        <v>183.19285714285712</v>
      </c>
    </row>
    <row r="1207" spans="1:25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  <c r="X1207" s="98">
        <v>4.2</v>
      </c>
      <c r="Y1207" s="97">
        <v>412.54047619047617</v>
      </c>
    </row>
    <row r="1208" spans="1:25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  <c r="X1208" s="98">
        <v>4.2</v>
      </c>
      <c r="Y1208" s="97">
        <v>412.54047619047617</v>
      </c>
    </row>
    <row r="1209" spans="1:25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  <c r="X1209" s="98">
        <v>4.2</v>
      </c>
      <c r="Y1209" s="97">
        <v>425.08809523809521</v>
      </c>
    </row>
    <row r="1210" spans="1:25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  <c r="X1210" s="98">
        <v>4.2</v>
      </c>
      <c r="Y1210" s="97">
        <v>149.73095238095235</v>
      </c>
    </row>
    <row r="1211" spans="1:25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  <c r="X1211" s="98">
        <v>4.2</v>
      </c>
      <c r="Y1211" s="97">
        <v>216.6547619047619</v>
      </c>
    </row>
    <row r="1212" spans="1:25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  <c r="X1212" s="98">
        <v>4.2</v>
      </c>
      <c r="Y1212" s="97">
        <v>380.46190476190475</v>
      </c>
    </row>
    <row r="1213" spans="1:25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  <c r="X1213" s="98">
        <v>4.2</v>
      </c>
      <c r="Y1213" s="97">
        <v>418.10476190476186</v>
      </c>
    </row>
    <row r="1214" spans="1:25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  <c r="X1214" s="98">
        <v>4.2</v>
      </c>
      <c r="Y1214" s="97">
        <v>355.36666666666662</v>
      </c>
    </row>
    <row r="1215" spans="1:25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  <c r="X1215" s="98">
        <v>4.2</v>
      </c>
      <c r="Y1215" s="97">
        <v>342.81904761904764</v>
      </c>
    </row>
    <row r="1216" spans="1:25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  <c r="X1216" s="98">
        <v>4.2</v>
      </c>
      <c r="Y1216" s="97">
        <v>399.99285714285708</v>
      </c>
    </row>
    <row r="1217" spans="1:25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  <c r="X1217" s="98">
        <v>4.2</v>
      </c>
      <c r="Y1217" s="97">
        <v>374.89761904761906</v>
      </c>
    </row>
    <row r="1218" spans="1:25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  <c r="X1218" s="98">
        <v>4.2</v>
      </c>
      <c r="Y1218" s="97">
        <v>342.81904761904764</v>
      </c>
    </row>
    <row r="1219" spans="1:25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  <c r="X1219" s="98">
        <v>4.2</v>
      </c>
      <c r="Y1219" s="97">
        <v>425.08809523809521</v>
      </c>
    </row>
    <row r="1220" spans="1:25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  <c r="X1220" s="98">
        <v>4.2</v>
      </c>
      <c r="Y1220" s="97">
        <v>317.72380952380951</v>
      </c>
    </row>
    <row r="1221" spans="1:25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  <c r="X1221" s="98">
        <v>4.2</v>
      </c>
      <c r="Y1221" s="97">
        <v>317.72380952380951</v>
      </c>
    </row>
    <row r="1222" spans="1:25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  <c r="X1222" s="98">
        <v>4.2</v>
      </c>
      <c r="Y1222" s="97">
        <v>317.72380952380951</v>
      </c>
    </row>
    <row r="1223" spans="1:25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  <c r="X1223" s="98">
        <v>4.2</v>
      </c>
      <c r="Y1223" s="97">
        <v>355.36666666666662</v>
      </c>
    </row>
    <row r="1224" spans="1:25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  <c r="X1224" s="98">
        <v>4.2</v>
      </c>
      <c r="Y1224" s="97">
        <v>166.46190476190475</v>
      </c>
    </row>
    <row r="1225" spans="1:25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  <c r="X1225" s="98">
        <v>4.2</v>
      </c>
      <c r="Y1225" s="97">
        <v>342.81904761904764</v>
      </c>
    </row>
    <row r="1226" spans="1:25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  <c r="X1226" s="98">
        <v>4.2</v>
      </c>
      <c r="Y1226" s="97">
        <v>342.81904761904764</v>
      </c>
    </row>
    <row r="1227" spans="1:25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  <c r="X1227" s="98">
        <v>4.2</v>
      </c>
      <c r="Y1227" s="97">
        <v>405.55714285714282</v>
      </c>
    </row>
    <row r="1228" spans="1:25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  <c r="X1228" s="98">
        <v>4.2</v>
      </c>
      <c r="Y1228" s="97">
        <v>405.55714285714282</v>
      </c>
    </row>
    <row r="1229" spans="1:25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  <c r="X1229" s="98">
        <v>4.2</v>
      </c>
      <c r="Y1229" s="97">
        <v>199.92380952380952</v>
      </c>
    </row>
    <row r="1230" spans="1:25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  <c r="X1230" s="98">
        <v>4.2</v>
      </c>
      <c r="Y1230" s="97">
        <v>425.08809523809521</v>
      </c>
    </row>
    <row r="1231" spans="1:25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  <c r="X1231" s="98">
        <v>4.2</v>
      </c>
      <c r="Y1231" s="97">
        <v>199.92380952380952</v>
      </c>
    </row>
    <row r="1232" spans="1:25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  <c r="X1232" s="98">
        <v>4.2</v>
      </c>
      <c r="Y1232" s="97">
        <v>199.92380952380952</v>
      </c>
    </row>
    <row r="1233" spans="1:25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  <c r="X1233" s="98">
        <v>4.2</v>
      </c>
      <c r="Y1233" s="97">
        <v>133</v>
      </c>
    </row>
    <row r="1234" spans="1:25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  <c r="X1234" s="98">
        <v>4.2</v>
      </c>
      <c r="Y1234" s="97">
        <v>166.46190476190475</v>
      </c>
    </row>
    <row r="1235" spans="1:25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  <c r="X1235" s="98">
        <v>4.2</v>
      </c>
      <c r="Y1235" s="97">
        <v>199.92380952380952</v>
      </c>
    </row>
    <row r="1236" spans="1:25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  <c r="X1236" s="98">
        <v>4.2</v>
      </c>
      <c r="Y1236" s="97">
        <v>355.36666666666662</v>
      </c>
    </row>
    <row r="1237" spans="1:25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  <c r="X1237" s="98">
        <v>4.2</v>
      </c>
      <c r="Y1237" s="97">
        <v>374.89761904761906</v>
      </c>
    </row>
    <row r="1238" spans="1:25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  <c r="X1238" s="98">
        <v>4.2</v>
      </c>
      <c r="Y1238" s="97">
        <v>199.92380952380952</v>
      </c>
    </row>
    <row r="1239" spans="1:25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  <c r="X1239" s="98">
        <v>4.2</v>
      </c>
      <c r="Y1239" s="97">
        <v>317.72380952380951</v>
      </c>
    </row>
    <row r="1240" spans="1:25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  <c r="X1240" s="98">
        <v>4.2</v>
      </c>
      <c r="Y1240" s="97">
        <v>330.2714285714286</v>
      </c>
    </row>
    <row r="1241" spans="1:25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  <c r="X1241" s="98">
        <v>4.2</v>
      </c>
      <c r="Y1241" s="97">
        <v>166.46190476190475</v>
      </c>
    </row>
    <row r="1242" spans="1:25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  <c r="X1242" s="98">
        <v>4.2</v>
      </c>
      <c r="Y1242" s="97">
        <v>216.6547619047619</v>
      </c>
    </row>
    <row r="1243" spans="1:25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  <c r="X1243" s="98">
        <v>4.2</v>
      </c>
      <c r="Y1243" s="97">
        <v>199.92380952380952</v>
      </c>
    </row>
    <row r="1244" spans="1:25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  <c r="X1244" s="98">
        <v>4.2</v>
      </c>
      <c r="Y1244" s="97">
        <v>342.81904761904764</v>
      </c>
    </row>
    <row r="1245" spans="1:25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  <c r="X1245" s="98">
        <v>4.2</v>
      </c>
      <c r="Y1245" s="97">
        <v>166.46190476190475</v>
      </c>
    </row>
    <row r="1246" spans="1:25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  <c r="X1246" s="98">
        <v>4.2</v>
      </c>
      <c r="Y1246" s="97">
        <v>183.19285714285712</v>
      </c>
    </row>
    <row r="1247" spans="1:25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  <c r="X1247" s="98">
        <v>4.2</v>
      </c>
      <c r="Y1247" s="97">
        <v>330.2714285714286</v>
      </c>
    </row>
    <row r="1248" spans="1:25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  <c r="X1248" s="98">
        <v>4.2</v>
      </c>
      <c r="Y1248" s="97">
        <v>199.92380952380952</v>
      </c>
    </row>
    <row r="1249" spans="1:25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  <c r="X1249" s="98">
        <v>4.2</v>
      </c>
      <c r="Y1249" s="97">
        <v>149.73095238095235</v>
      </c>
    </row>
    <row r="1250" spans="1:25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  <c r="X1250" s="98">
        <v>4.2</v>
      </c>
      <c r="Y1250" s="97">
        <v>133</v>
      </c>
    </row>
    <row r="1251" spans="1:25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  <c r="X1251" s="98">
        <v>4.2</v>
      </c>
      <c r="Y1251" s="97">
        <v>374.89761904761906</v>
      </c>
    </row>
    <row r="1252" spans="1:25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  <c r="X1252" s="98">
        <v>4.2</v>
      </c>
      <c r="Y1252" s="97">
        <v>317.72380952380951</v>
      </c>
    </row>
    <row r="1253" spans="1:25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  <c r="X1253" s="98">
        <v>4.2</v>
      </c>
      <c r="Y1253" s="97">
        <v>450.18333333333334</v>
      </c>
    </row>
    <row r="1254" spans="1:25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  <c r="X1254" s="98">
        <v>4.2</v>
      </c>
      <c r="Y1254" s="97">
        <v>380.46190476190475</v>
      </c>
    </row>
    <row r="1255" spans="1:25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  <c r="X1255" s="98">
        <v>4.2</v>
      </c>
      <c r="Y1255" s="97">
        <v>367.91428571428571</v>
      </c>
    </row>
    <row r="1256" spans="1:25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  <c r="X1256" s="98">
        <v>4.2</v>
      </c>
      <c r="Y1256" s="97">
        <v>199.92380952380952</v>
      </c>
    </row>
    <row r="1257" spans="1:25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  <c r="X1257" s="98">
        <v>4.2</v>
      </c>
      <c r="Y1257" s="97">
        <v>166.46190476190475</v>
      </c>
    </row>
    <row r="1258" spans="1:25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  <c r="X1258" s="98">
        <v>4.2</v>
      </c>
      <c r="Y1258" s="97">
        <v>317.72380952380951</v>
      </c>
    </row>
    <row r="1259" spans="1:25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  <c r="X1259" s="98">
        <v>4.2</v>
      </c>
      <c r="Y1259" s="97">
        <v>330.2714285714286</v>
      </c>
    </row>
    <row r="1260" spans="1:25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  <c r="X1260" s="98">
        <v>4.2</v>
      </c>
      <c r="Y1260" s="97">
        <v>216.6547619047619</v>
      </c>
    </row>
    <row r="1261" spans="1:25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  <c r="X1261" s="98">
        <v>4.2</v>
      </c>
      <c r="Y1261" s="97">
        <v>199.92380952380952</v>
      </c>
    </row>
    <row r="1262" spans="1:25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  <c r="X1262" s="98">
        <v>4.2</v>
      </c>
      <c r="Y1262" s="97">
        <v>374.89761904761906</v>
      </c>
    </row>
    <row r="1263" spans="1:25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  <c r="X1263" s="98">
        <v>4.2</v>
      </c>
      <c r="Y1263" s="97">
        <v>367.91428571428571</v>
      </c>
    </row>
    <row r="1264" spans="1:25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  <c r="X1264" s="98">
        <v>4.2</v>
      </c>
      <c r="Y1264" s="97">
        <v>367.91428571428571</v>
      </c>
    </row>
    <row r="1265" spans="1:25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  <c r="X1265" s="98">
        <v>4.2</v>
      </c>
      <c r="Y1265" s="97">
        <v>393.00952380952378</v>
      </c>
    </row>
    <row r="1266" spans="1:25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  <c r="X1266" s="98">
        <v>4.2</v>
      </c>
      <c r="Y1266" s="97">
        <v>133</v>
      </c>
    </row>
    <row r="1267" spans="1:25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  <c r="X1267" s="98">
        <v>4.2</v>
      </c>
      <c r="Y1267" s="97">
        <v>133</v>
      </c>
    </row>
    <row r="1268" spans="1:25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  <c r="X1268" s="98">
        <v>4.2</v>
      </c>
      <c r="Y1268" s="97">
        <v>342.81904761904764</v>
      </c>
    </row>
    <row r="1269" spans="1:25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  <c r="X1269" s="98">
        <v>4.2</v>
      </c>
      <c r="Y1269" s="97">
        <v>317.72380952380951</v>
      </c>
    </row>
    <row r="1270" spans="1:25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  <c r="X1270" s="98">
        <v>4.2</v>
      </c>
      <c r="Y1270" s="97">
        <v>133</v>
      </c>
    </row>
    <row r="1271" spans="1:25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  <c r="X1271" s="98">
        <v>4.2</v>
      </c>
      <c r="Y1271" s="97">
        <v>487.82619047619045</v>
      </c>
    </row>
    <row r="1272" spans="1:25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  <c r="X1272" s="98">
        <v>4.2</v>
      </c>
      <c r="Y1272" s="97">
        <v>183.19285714285712</v>
      </c>
    </row>
    <row r="1273" spans="1:25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  <c r="X1273" s="98">
        <v>4.2</v>
      </c>
      <c r="Y1273" s="97">
        <v>380.46190476190475</v>
      </c>
    </row>
    <row r="1274" spans="1:25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  <c r="X1274" s="98">
        <v>4.2</v>
      </c>
      <c r="Y1274" s="97">
        <v>149.73095238095235</v>
      </c>
    </row>
    <row r="1275" spans="1:25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  <c r="X1275" s="98">
        <v>4.2</v>
      </c>
      <c r="Y1275" s="97">
        <v>450.18333333333334</v>
      </c>
    </row>
    <row r="1276" spans="1:25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  <c r="X1276" s="98">
        <v>4.2</v>
      </c>
      <c r="Y1276" s="97">
        <v>199.92380952380952</v>
      </c>
    </row>
    <row r="1277" spans="1:25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  <c r="X1277" s="98">
        <v>4.2</v>
      </c>
      <c r="Y1277" s="97">
        <v>166.46190476190475</v>
      </c>
    </row>
    <row r="1278" spans="1:25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  <c r="X1278" s="98">
        <v>4.2</v>
      </c>
      <c r="Y1278" s="97">
        <v>216.6547619047619</v>
      </c>
    </row>
    <row r="1279" spans="1:25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  <c r="X1279" s="98">
        <v>4.2</v>
      </c>
      <c r="Y1279" s="97">
        <v>166.46190476190475</v>
      </c>
    </row>
    <row r="1280" spans="1:25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  <c r="X1280" s="98">
        <v>4.2</v>
      </c>
      <c r="Y1280" s="97">
        <v>199.92380952380952</v>
      </c>
    </row>
    <row r="1281" spans="1:25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  <c r="X1281" s="98">
        <v>4.2</v>
      </c>
      <c r="Y1281" s="97">
        <v>183.19285714285712</v>
      </c>
    </row>
    <row r="1282" spans="1:25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  <c r="X1282" s="98">
        <v>4.2</v>
      </c>
      <c r="Y1282" s="97">
        <v>355.36666666666662</v>
      </c>
    </row>
    <row r="1283" spans="1:25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  <c r="X1283" s="98">
        <v>4.2</v>
      </c>
      <c r="Y1283" s="97">
        <v>116.26904761904763</v>
      </c>
    </row>
    <row r="1284" spans="1:25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  <c r="X1284" s="98">
        <v>4.2</v>
      </c>
      <c r="Y1284" s="97">
        <v>149.73095238095235</v>
      </c>
    </row>
    <row r="1285" spans="1:25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  <c r="X1285" s="98">
        <v>4.2</v>
      </c>
      <c r="Y1285" s="97">
        <v>317.72380952380951</v>
      </c>
    </row>
    <row r="1286" spans="1:25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  <c r="X1286" s="98">
        <v>4.2</v>
      </c>
      <c r="Y1286" s="97">
        <v>342.81904761904764</v>
      </c>
    </row>
    <row r="1287" spans="1:25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  <c r="X1287" s="98">
        <v>4.2</v>
      </c>
      <c r="Y1287" s="97">
        <v>317.72380952380951</v>
      </c>
    </row>
    <row r="1288" spans="1:25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  <c r="X1288" s="98">
        <v>4.2</v>
      </c>
      <c r="Y1288" s="97">
        <v>342.81904761904764</v>
      </c>
    </row>
    <row r="1289" spans="1:25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  <c r="X1289" s="98">
        <v>4.2</v>
      </c>
      <c r="Y1289" s="97">
        <v>317.72380952380951</v>
      </c>
    </row>
    <row r="1290" spans="1:25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  <c r="X1290" s="98">
        <v>4.2</v>
      </c>
      <c r="Y1290" s="97">
        <v>342.81904761904764</v>
      </c>
    </row>
    <row r="1291" spans="1:25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  <c r="X1291" s="98">
        <v>4.2</v>
      </c>
      <c r="Y1291" s="97">
        <v>374.89761904761906</v>
      </c>
    </row>
    <row r="1292" spans="1:25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  <c r="X1292" s="98">
        <v>4.2</v>
      </c>
      <c r="Y1292" s="97">
        <v>317.72380952380951</v>
      </c>
    </row>
    <row r="1293" spans="1:25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  <c r="X1293" s="98">
        <v>4.2</v>
      </c>
      <c r="Y1293" s="97">
        <v>116.26904761904763</v>
      </c>
    </row>
    <row r="1294" spans="1:25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  <c r="X1294" s="98">
        <v>4.2</v>
      </c>
      <c r="Y1294" s="97">
        <v>399.99285714285708</v>
      </c>
    </row>
    <row r="1295" spans="1:25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  <c r="X1295" s="98">
        <v>4.2</v>
      </c>
      <c r="Y1295" s="97">
        <v>500.37380952380948</v>
      </c>
    </row>
    <row r="1296" spans="1:25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  <c r="X1296" s="98">
        <v>4.2</v>
      </c>
      <c r="Y1296" s="97">
        <v>538.01666666666654</v>
      </c>
    </row>
    <row r="1297" spans="1:25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  <c r="X1297" s="98">
        <v>4.2</v>
      </c>
      <c r="Y1297" s="97">
        <v>199.92380952380952</v>
      </c>
    </row>
    <row r="1298" spans="1:25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  <c r="X1298" s="98">
        <v>4.2</v>
      </c>
      <c r="Y1298" s="97">
        <v>199.92380952380952</v>
      </c>
    </row>
    <row r="1299" spans="1:25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  <c r="X1299" s="98">
        <v>4.2</v>
      </c>
      <c r="Y1299" s="97">
        <v>437.63571428571424</v>
      </c>
    </row>
    <row r="1300" spans="1:25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  <c r="X1300" s="98">
        <v>4.2</v>
      </c>
      <c r="Y1300" s="97">
        <v>319.06666666666661</v>
      </c>
    </row>
    <row r="1301" spans="1:25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  <c r="X1301" s="98">
        <v>4.2</v>
      </c>
      <c r="Y1301" s="97">
        <v>387.4452380952381</v>
      </c>
    </row>
    <row r="1302" spans="1:25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  <c r="X1302" s="98">
        <v>4.2</v>
      </c>
      <c r="Y1302" s="97">
        <v>380.46190476190475</v>
      </c>
    </row>
    <row r="1303" spans="1:25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  <c r="X1303" s="98">
        <v>4.2</v>
      </c>
      <c r="Y1303" s="97">
        <v>355.36666666666662</v>
      </c>
    </row>
    <row r="1304" spans="1:25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  <c r="X1304" s="98">
        <v>4.2</v>
      </c>
      <c r="Y1304" s="97">
        <v>199.92380952380952</v>
      </c>
    </row>
    <row r="1305" spans="1:25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  <c r="X1305" s="98">
        <v>4.2</v>
      </c>
      <c r="Y1305" s="97">
        <v>199.92380952380952</v>
      </c>
    </row>
    <row r="1306" spans="1:25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  <c r="X1306" s="98">
        <v>4.2</v>
      </c>
      <c r="Y1306" s="97">
        <v>149.73095238095235</v>
      </c>
    </row>
    <row r="1307" spans="1:25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  <c r="X1307" s="98">
        <v>4.2</v>
      </c>
      <c r="Y1307" s="97">
        <v>450.18333333333334</v>
      </c>
    </row>
    <row r="1308" spans="1:25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  <c r="X1308" s="98">
        <v>4.2</v>
      </c>
      <c r="Y1308" s="97">
        <v>166.46190476190475</v>
      </c>
    </row>
    <row r="1309" spans="1:25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  <c r="X1309" s="98">
        <v>4.2</v>
      </c>
      <c r="Y1309" s="97">
        <v>450.18333333333334</v>
      </c>
    </row>
    <row r="1310" spans="1:25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  <c r="X1310" s="98">
        <v>4.2</v>
      </c>
      <c r="Y1310" s="97">
        <v>199.92380952380952</v>
      </c>
    </row>
    <row r="1311" spans="1:25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  <c r="X1311" s="98">
        <v>4.2</v>
      </c>
      <c r="Y1311" s="97">
        <v>367.91428571428571</v>
      </c>
    </row>
    <row r="1312" spans="1:25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  <c r="X1312" s="98">
        <v>4.2</v>
      </c>
      <c r="Y1312" s="97">
        <v>342.81904761904764</v>
      </c>
    </row>
    <row r="1313" spans="1:25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  <c r="X1313" s="98">
        <v>4.2</v>
      </c>
      <c r="Y1313" s="97">
        <v>183.19285714285712</v>
      </c>
    </row>
    <row r="1314" spans="1:25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  <c r="X1314" s="98">
        <v>4.2</v>
      </c>
      <c r="Y1314" s="97">
        <v>149.73095238095235</v>
      </c>
    </row>
    <row r="1315" spans="1:25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  <c r="X1315" s="98">
        <v>4.2</v>
      </c>
      <c r="Y1315" s="97">
        <v>183.19285714285712</v>
      </c>
    </row>
    <row r="1316" spans="1:25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  <c r="X1316" s="98">
        <v>4.2</v>
      </c>
      <c r="Y1316" s="97">
        <v>133</v>
      </c>
    </row>
    <row r="1317" spans="1:25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  <c r="X1317" s="98">
        <v>4.2</v>
      </c>
      <c r="Y1317" s="97">
        <v>149.73095238095235</v>
      </c>
    </row>
    <row r="1318" spans="1:25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  <c r="X1318" s="98">
        <v>4.2</v>
      </c>
      <c r="Y1318" s="97">
        <v>183.19285714285712</v>
      </c>
    </row>
    <row r="1319" spans="1:25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  <c r="X1319" s="98">
        <v>4.2</v>
      </c>
      <c r="Y1319" s="97">
        <v>199.92380952380952</v>
      </c>
    </row>
    <row r="1320" spans="1:25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  <c r="X1320" s="98">
        <v>4.2</v>
      </c>
      <c r="Y1320" s="97">
        <v>199.92380952380952</v>
      </c>
    </row>
    <row r="1321" spans="1:25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  <c r="X1321" s="98">
        <v>4.2</v>
      </c>
      <c r="Y1321" s="97">
        <v>199.92380952380952</v>
      </c>
    </row>
    <row r="1322" spans="1:25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  <c r="X1322" s="98">
        <v>4.2</v>
      </c>
      <c r="Y1322" s="97">
        <v>199.92380952380952</v>
      </c>
    </row>
    <row r="1323" spans="1:25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  <c r="X1323" s="98">
        <v>4.2</v>
      </c>
      <c r="Y1323" s="97">
        <v>462.73095238095237</v>
      </c>
    </row>
    <row r="1324" spans="1:25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  <c r="X1324" s="98">
        <v>4.2</v>
      </c>
      <c r="Y1324" s="97">
        <v>367.91428571428571</v>
      </c>
    </row>
    <row r="1325" spans="1:25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  <c r="X1325" s="98">
        <v>4.2</v>
      </c>
      <c r="Y1325" s="97">
        <v>317.72380952380951</v>
      </c>
    </row>
    <row r="1326" spans="1:25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  <c r="X1326" s="98">
        <v>4.2</v>
      </c>
      <c r="Y1326" s="97">
        <v>199.92380952380952</v>
      </c>
    </row>
    <row r="1327" spans="1:25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  <c r="X1327" s="98">
        <v>4.2</v>
      </c>
      <c r="Y1327" s="97">
        <v>317.72380952380951</v>
      </c>
    </row>
    <row r="1328" spans="1:25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  <c r="X1328" s="98">
        <v>4.2</v>
      </c>
      <c r="Y1328" s="97">
        <v>149.73095238095235</v>
      </c>
    </row>
    <row r="1329" spans="1:25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  <c r="X1329" s="98">
        <v>4.2</v>
      </c>
      <c r="Y1329" s="97">
        <v>183.19285714285712</v>
      </c>
    </row>
    <row r="1330" spans="1:25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  <c r="X1330" s="98">
        <v>4.2</v>
      </c>
      <c r="Y1330" s="97">
        <v>183.19285714285712</v>
      </c>
    </row>
    <row r="1331" spans="1:25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  <c r="X1331" s="98">
        <v>4.2</v>
      </c>
      <c r="Y1331" s="97">
        <v>393.00952380952378</v>
      </c>
    </row>
    <row r="1332" spans="1:25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  <c r="X1332" s="98">
        <v>4.2</v>
      </c>
      <c r="Y1332" s="97">
        <v>166.46190476190475</v>
      </c>
    </row>
    <row r="1333" spans="1:25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  <c r="X1333" s="98">
        <v>4.2</v>
      </c>
      <c r="Y1333" s="97">
        <v>183.19285714285712</v>
      </c>
    </row>
    <row r="1334" spans="1:25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  <c r="X1334" s="98">
        <v>4.2</v>
      </c>
      <c r="Y1334" s="97">
        <v>199.92380952380952</v>
      </c>
    </row>
    <row r="1335" spans="1:25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  <c r="X1335" s="98">
        <v>4.2</v>
      </c>
      <c r="Y1335" s="97">
        <v>216.6547619047619</v>
      </c>
    </row>
    <row r="1336" spans="1:25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  <c r="X1336" s="98">
        <v>4.2</v>
      </c>
      <c r="Y1336" s="97">
        <v>166.46190476190475</v>
      </c>
    </row>
    <row r="1337" spans="1:25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  <c r="X1337" s="98">
        <v>4.2</v>
      </c>
      <c r="Y1337" s="97">
        <v>216.6547619047619</v>
      </c>
    </row>
    <row r="1338" spans="1:25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  <c r="X1338" s="98">
        <v>4.2</v>
      </c>
      <c r="Y1338" s="97">
        <v>183.19285714285712</v>
      </c>
    </row>
    <row r="1339" spans="1:25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  <c r="X1339" s="98">
        <v>4.2</v>
      </c>
      <c r="Y1339" s="97">
        <v>317.72380952380951</v>
      </c>
    </row>
    <row r="1340" spans="1:25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  <c r="X1340" s="98">
        <v>4.2</v>
      </c>
      <c r="Y1340" s="97">
        <v>216.6547619047619</v>
      </c>
    </row>
    <row r="1341" spans="1:25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  <c r="X1341" s="98">
        <v>4.2</v>
      </c>
      <c r="Y1341" s="97">
        <v>116.26904761904763</v>
      </c>
    </row>
    <row r="1342" spans="1:25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  <c r="X1342" s="98">
        <v>4.2</v>
      </c>
      <c r="Y1342" s="97">
        <v>149.73095238095235</v>
      </c>
    </row>
    <row r="1343" spans="1:25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  <c r="X1343" s="98">
        <v>4.2</v>
      </c>
      <c r="Y1343" s="97">
        <v>399.99285714285708</v>
      </c>
    </row>
    <row r="1344" spans="1:25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  <c r="X1344" s="98">
        <v>4.2</v>
      </c>
      <c r="Y1344" s="97">
        <v>166.46190476190475</v>
      </c>
    </row>
    <row r="1345" spans="1:25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  <c r="X1345" s="98">
        <v>4.2</v>
      </c>
      <c r="Y1345" s="97">
        <v>425.08809523809521</v>
      </c>
    </row>
    <row r="1346" spans="1:25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  <c r="X1346" s="98">
        <v>4.2</v>
      </c>
      <c r="Y1346" s="97">
        <v>425.08809523809521</v>
      </c>
    </row>
    <row r="1347" spans="1:25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  <c r="X1347" s="98">
        <v>4.2</v>
      </c>
      <c r="Y1347" s="97">
        <v>199.92380952380952</v>
      </c>
    </row>
    <row r="1348" spans="1:25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  <c r="X1348" s="98">
        <v>4.2</v>
      </c>
      <c r="Y1348" s="97">
        <v>342.81904761904764</v>
      </c>
    </row>
    <row r="1349" spans="1:25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  <c r="X1349" s="98">
        <v>4.2</v>
      </c>
      <c r="Y1349" s="97">
        <v>425.08809523809521</v>
      </c>
    </row>
    <row r="1350" spans="1:25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  <c r="X1350" s="98">
        <v>4.2</v>
      </c>
      <c r="Y1350" s="97">
        <v>166.46190476190475</v>
      </c>
    </row>
    <row r="1351" spans="1:25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  <c r="X1351" s="98">
        <v>4.2</v>
      </c>
      <c r="Y1351" s="97">
        <v>418.10476190476186</v>
      </c>
    </row>
    <row r="1352" spans="1:25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  <c r="X1352" s="98">
        <v>4.2</v>
      </c>
      <c r="Y1352" s="97">
        <v>418.10476190476186</v>
      </c>
    </row>
    <row r="1353" spans="1:25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  <c r="X1353" s="98">
        <v>4.2</v>
      </c>
      <c r="Y1353" s="97">
        <v>216.6547619047619</v>
      </c>
    </row>
    <row r="1354" spans="1:25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  <c r="X1354" s="98">
        <v>4.2</v>
      </c>
      <c r="Y1354" s="97">
        <v>216.6547619047619</v>
      </c>
    </row>
    <row r="1355" spans="1:25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  <c r="X1355" s="98">
        <v>4.2</v>
      </c>
      <c r="Y1355" s="97">
        <v>116.26904761904763</v>
      </c>
    </row>
    <row r="1356" spans="1:25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  <c r="X1356" s="98">
        <v>4.2</v>
      </c>
      <c r="Y1356" s="97">
        <v>166.46190476190475</v>
      </c>
    </row>
    <row r="1357" spans="1:25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  <c r="X1357" s="98">
        <v>4.2</v>
      </c>
      <c r="Y1357" s="97">
        <v>149.73095238095235</v>
      </c>
    </row>
    <row r="1358" spans="1:25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  <c r="X1358" s="98">
        <v>4.2</v>
      </c>
      <c r="Y1358" s="97">
        <v>412.54047619047617</v>
      </c>
    </row>
    <row r="1359" spans="1:25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  <c r="X1359" s="98">
        <v>4.2</v>
      </c>
      <c r="Y1359" s="97">
        <v>116.26904761904763</v>
      </c>
    </row>
    <row r="1360" spans="1:25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  <c r="X1360" s="98">
        <v>4.2</v>
      </c>
      <c r="Y1360" s="97">
        <v>380.46190476190475</v>
      </c>
    </row>
    <row r="1361" spans="1:25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  <c r="X1361" s="98">
        <v>4.2</v>
      </c>
      <c r="Y1361" s="97">
        <v>216.6547619047619</v>
      </c>
    </row>
    <row r="1362" spans="1:25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  <c r="X1362" s="98">
        <v>4.2</v>
      </c>
      <c r="Y1362" s="97">
        <v>183.19285714285712</v>
      </c>
    </row>
    <row r="1363" spans="1:25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  <c r="X1363" s="98">
        <v>4.2</v>
      </c>
      <c r="Y1363" s="97">
        <v>199.92380952380952</v>
      </c>
    </row>
    <row r="1364" spans="1:25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  <c r="X1364" s="98">
        <v>4.2</v>
      </c>
      <c r="Y1364" s="97">
        <v>116.26904761904763</v>
      </c>
    </row>
    <row r="1365" spans="1:25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  <c r="X1365" s="98">
        <v>4.2</v>
      </c>
      <c r="Y1365" s="97">
        <v>399.99285714285708</v>
      </c>
    </row>
    <row r="1366" spans="1:25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  <c r="X1366" s="98">
        <v>4.2</v>
      </c>
      <c r="Y1366" s="97">
        <v>355.36666666666662</v>
      </c>
    </row>
    <row r="1367" spans="1:25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  <c r="X1367" s="98">
        <v>4.2</v>
      </c>
      <c r="Y1367" s="97">
        <v>199.92380952380952</v>
      </c>
    </row>
    <row r="1368" spans="1:25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  <c r="X1368" s="98">
        <v>4.2</v>
      </c>
      <c r="Y1368" s="97">
        <v>216.6547619047619</v>
      </c>
    </row>
    <row r="1369" spans="1:25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  <c r="X1369" s="98">
        <v>4.2</v>
      </c>
      <c r="Y1369" s="97">
        <v>116.26904761904763</v>
      </c>
    </row>
    <row r="1370" spans="1:25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  <c r="X1370" s="98">
        <v>4.2</v>
      </c>
      <c r="Y1370" s="97">
        <v>462.73095238095237</v>
      </c>
    </row>
    <row r="1371" spans="1:25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  <c r="X1371" s="98">
        <v>4.2</v>
      </c>
      <c r="Y1371" s="97">
        <v>342.81904761904764</v>
      </c>
    </row>
    <row r="1372" spans="1:25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  <c r="X1372" s="98">
        <v>4.2</v>
      </c>
      <c r="Y1372" s="97">
        <v>412.54047619047617</v>
      </c>
    </row>
    <row r="1373" spans="1:25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  <c r="X1373" s="98">
        <v>4.2</v>
      </c>
      <c r="Y1373" s="97">
        <v>437.63571428571424</v>
      </c>
    </row>
    <row r="1374" spans="1:25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  <c r="X1374" s="98">
        <v>4.2</v>
      </c>
      <c r="Y1374" s="97">
        <v>437.63571428571424</v>
      </c>
    </row>
    <row r="1375" spans="1:25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  <c r="X1375" s="98">
        <v>4.2</v>
      </c>
      <c r="Y1375" s="97">
        <v>512.92142857142858</v>
      </c>
    </row>
    <row r="1376" spans="1:25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  <c r="X1376" s="98">
        <v>4.2</v>
      </c>
      <c r="Y1376" s="97">
        <v>387.4452380952381</v>
      </c>
    </row>
    <row r="1377" spans="1:25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  <c r="X1377" s="98">
        <v>4.2</v>
      </c>
      <c r="Y1377" s="97">
        <v>199.92380952380952</v>
      </c>
    </row>
    <row r="1378" spans="1:25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  <c r="X1378" s="98">
        <v>4.2</v>
      </c>
      <c r="Y1378" s="97">
        <v>355.36666666666662</v>
      </c>
    </row>
    <row r="1379" spans="1:25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  <c r="X1379" s="98">
        <v>4.2</v>
      </c>
      <c r="Y1379" s="97">
        <v>380.46190476190475</v>
      </c>
    </row>
    <row r="1380" spans="1:25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  <c r="X1380" s="98">
        <v>4.2</v>
      </c>
      <c r="Y1380" s="97">
        <v>380.46190476190475</v>
      </c>
    </row>
    <row r="1381" spans="1:25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  <c r="X1381" s="98">
        <v>4.2</v>
      </c>
      <c r="Y1381" s="97">
        <v>216.6547619047619</v>
      </c>
    </row>
    <row r="1382" spans="1:25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  <c r="X1382" s="98">
        <v>4.2</v>
      </c>
      <c r="Y1382" s="97">
        <v>317.72380952380951</v>
      </c>
    </row>
    <row r="1383" spans="1:25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  <c r="X1383" s="98">
        <v>4.2</v>
      </c>
      <c r="Y1383" s="97">
        <v>216.6547619047619</v>
      </c>
    </row>
    <row r="1384" spans="1:25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  <c r="X1384" s="98">
        <v>4.2</v>
      </c>
      <c r="Y1384" s="97">
        <v>330.2714285714286</v>
      </c>
    </row>
    <row r="1385" spans="1:25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  <c r="X1385" s="98">
        <v>4.2</v>
      </c>
      <c r="Y1385" s="97">
        <v>355.36666666666662</v>
      </c>
    </row>
    <row r="1386" spans="1:25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  <c r="X1386" s="98">
        <v>4.2</v>
      </c>
      <c r="Y1386" s="97">
        <v>330.2714285714286</v>
      </c>
    </row>
    <row r="1387" spans="1:25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  <c r="X1387" s="98">
        <v>4.2</v>
      </c>
      <c r="Y1387" s="97">
        <v>199.92380952380952</v>
      </c>
    </row>
    <row r="1388" spans="1:25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  <c r="X1388" s="98">
        <v>4.2</v>
      </c>
      <c r="Y1388" s="97">
        <v>216.6547619047619</v>
      </c>
    </row>
    <row r="1389" spans="1:25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  <c r="X1389" s="98">
        <v>4.2</v>
      </c>
      <c r="Y1389" s="97">
        <v>183.19285714285712</v>
      </c>
    </row>
    <row r="1390" spans="1:25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  <c r="X1390" s="98">
        <v>4.2</v>
      </c>
      <c r="Y1390" s="97">
        <v>430.65238095238095</v>
      </c>
    </row>
    <row r="1391" spans="1:25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  <c r="X1391" s="98">
        <v>4.2</v>
      </c>
      <c r="Y1391" s="97">
        <v>317.72380952380951</v>
      </c>
    </row>
    <row r="1392" spans="1:25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  <c r="X1392" s="98">
        <v>4.2</v>
      </c>
      <c r="Y1392" s="97">
        <v>393.00952380952378</v>
      </c>
    </row>
    <row r="1393" spans="1:25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  <c r="X1393" s="98">
        <v>4.2</v>
      </c>
      <c r="Y1393" s="97">
        <v>355.36666666666662</v>
      </c>
    </row>
    <row r="1394" spans="1:25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  <c r="X1394" s="98">
        <v>4.2</v>
      </c>
      <c r="Y1394" s="97">
        <v>355.36666666666662</v>
      </c>
    </row>
    <row r="1395" spans="1:25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  <c r="X1395" s="98">
        <v>4.2</v>
      </c>
      <c r="Y1395" s="97">
        <v>317.72380952380951</v>
      </c>
    </row>
    <row r="1396" spans="1:25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  <c r="X1396" s="98">
        <v>4.2</v>
      </c>
      <c r="Y1396" s="97">
        <v>393.00952380952378</v>
      </c>
    </row>
    <row r="1397" spans="1:25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  <c r="X1397" s="98">
        <v>4.2</v>
      </c>
      <c r="Y1397" s="97">
        <v>367.91428571428571</v>
      </c>
    </row>
    <row r="1398" spans="1:25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  <c r="X1398" s="98">
        <v>4.2</v>
      </c>
      <c r="Y1398" s="97">
        <v>367.91428571428571</v>
      </c>
    </row>
    <row r="1399" spans="1:25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  <c r="X1399" s="98">
        <v>4.2</v>
      </c>
      <c r="Y1399" s="97">
        <v>367.91428571428571</v>
      </c>
    </row>
    <row r="1400" spans="1:25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  <c r="X1400" s="98">
        <v>4.2</v>
      </c>
      <c r="Y1400" s="97">
        <v>512.92142857142858</v>
      </c>
    </row>
    <row r="1401" spans="1:25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  <c r="X1401" s="98">
        <v>4.2</v>
      </c>
      <c r="Y1401" s="97">
        <v>405.55714285714282</v>
      </c>
    </row>
    <row r="1402" spans="1:25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  <c r="X1402" s="98">
        <v>4.2</v>
      </c>
      <c r="Y1402" s="97">
        <v>412.54047619047617</v>
      </c>
    </row>
    <row r="1403" spans="1:25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  <c r="X1403" s="98">
        <v>4.2</v>
      </c>
      <c r="Y1403" s="97">
        <v>412.54047619047617</v>
      </c>
    </row>
    <row r="1404" spans="1:25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  <c r="X1404" s="98">
        <v>4.2</v>
      </c>
      <c r="Y1404" s="97">
        <v>166.46190476190475</v>
      </c>
    </row>
    <row r="1405" spans="1:25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  <c r="X1405" s="98">
        <v>4.2</v>
      </c>
      <c r="Y1405" s="97">
        <v>405.55714285714282</v>
      </c>
    </row>
    <row r="1406" spans="1:25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  <c r="X1406" s="98">
        <v>4.2</v>
      </c>
      <c r="Y1406" s="97">
        <v>355.36666666666662</v>
      </c>
    </row>
    <row r="1407" spans="1:25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  <c r="X1407" s="98">
        <v>4.2</v>
      </c>
      <c r="Y1407" s="97">
        <v>317.72380952380951</v>
      </c>
    </row>
    <row r="1408" spans="1:25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  <c r="X1408" s="98">
        <v>4.2</v>
      </c>
      <c r="Y1408" s="97">
        <v>116.26904761904763</v>
      </c>
    </row>
    <row r="1409" spans="1:25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  <c r="X1409" s="98">
        <v>4.2</v>
      </c>
      <c r="Y1409" s="97">
        <v>199.92380952380952</v>
      </c>
    </row>
    <row r="1410" spans="1:25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  <c r="X1410" s="98">
        <v>4.2</v>
      </c>
      <c r="Y1410" s="97">
        <v>149.73095238095235</v>
      </c>
    </row>
    <row r="1411" spans="1:25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  <c r="X1411" s="98">
        <v>4.2</v>
      </c>
      <c r="Y1411" s="97">
        <v>183.19285714285712</v>
      </c>
    </row>
    <row r="1412" spans="1:25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  <c r="X1412" s="98">
        <v>4.2</v>
      </c>
      <c r="Y1412" s="97">
        <v>199.92380952380952</v>
      </c>
    </row>
    <row r="1413" spans="1:25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  <c r="X1413" s="98">
        <v>4.2</v>
      </c>
      <c r="Y1413" s="97">
        <v>133</v>
      </c>
    </row>
    <row r="1414" spans="1:25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  <c r="X1414" s="98">
        <v>4.2</v>
      </c>
      <c r="Y1414" s="97">
        <v>216.6547619047619</v>
      </c>
    </row>
    <row r="1415" spans="1:25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  <c r="X1415" s="98">
        <v>4.2</v>
      </c>
      <c r="Y1415" s="97">
        <v>183.19285714285712</v>
      </c>
    </row>
    <row r="1416" spans="1:25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  <c r="X1416" s="98">
        <v>4.2</v>
      </c>
      <c r="Y1416" s="97">
        <v>149.73095238095235</v>
      </c>
    </row>
    <row r="1417" spans="1:25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  <c r="X1417" s="98">
        <v>4.2</v>
      </c>
      <c r="Y1417" s="97">
        <v>166.46190476190475</v>
      </c>
    </row>
    <row r="1418" spans="1:25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  <c r="X1418" s="98">
        <v>4.2</v>
      </c>
      <c r="Y1418" s="97">
        <v>216.6547619047619</v>
      </c>
    </row>
    <row r="1419" spans="1:25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  <c r="X1419" s="98">
        <v>4.2</v>
      </c>
      <c r="Y1419" s="97">
        <v>317.72380952380951</v>
      </c>
    </row>
    <row r="1420" spans="1:25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  <c r="X1420" s="98">
        <v>4.2</v>
      </c>
      <c r="Y1420" s="97">
        <v>183.19285714285712</v>
      </c>
    </row>
    <row r="1421" spans="1:25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  <c r="X1421" s="98">
        <v>4.2</v>
      </c>
      <c r="Y1421" s="97">
        <v>166.46190476190475</v>
      </c>
    </row>
    <row r="1422" spans="1:25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  <c r="X1422" s="98">
        <v>4.2</v>
      </c>
      <c r="Y1422" s="97">
        <v>216.6547619047619</v>
      </c>
    </row>
    <row r="1423" spans="1:25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  <c r="X1423" s="98">
        <v>4.2</v>
      </c>
      <c r="Y1423" s="97">
        <v>183.19285714285712</v>
      </c>
    </row>
    <row r="1424" spans="1:25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  <c r="X1424" s="98">
        <v>4.2</v>
      </c>
      <c r="Y1424" s="97">
        <v>216.6547619047619</v>
      </c>
    </row>
    <row r="1425" spans="1:25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  <c r="X1425" s="98">
        <v>4.2</v>
      </c>
      <c r="Y1425" s="97">
        <v>199.92380952380952</v>
      </c>
    </row>
    <row r="1426" spans="1:25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  <c r="X1426" s="98">
        <v>4.2</v>
      </c>
      <c r="Y1426" s="97">
        <v>405.55714285714282</v>
      </c>
    </row>
    <row r="1427" spans="1:25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  <c r="X1427" s="98">
        <v>4.2</v>
      </c>
      <c r="Y1427" s="97">
        <v>443.2</v>
      </c>
    </row>
    <row r="1428" spans="1:25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  <c r="X1428" s="98">
        <v>4.2</v>
      </c>
      <c r="Y1428" s="97">
        <v>443.2</v>
      </c>
    </row>
    <row r="1429" spans="1:25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  <c r="X1429" s="98">
        <v>4.2</v>
      </c>
      <c r="Y1429" s="97">
        <v>367.91428571428571</v>
      </c>
    </row>
    <row r="1430" spans="1:25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  <c r="X1430" s="98">
        <v>4.2</v>
      </c>
      <c r="Y1430" s="97">
        <v>367.91428571428571</v>
      </c>
    </row>
    <row r="1431" spans="1:25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  <c r="X1431" s="98">
        <v>4.2</v>
      </c>
      <c r="Y1431" s="97">
        <v>330.2714285714286</v>
      </c>
    </row>
    <row r="1432" spans="1:25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  <c r="X1432" s="98">
        <v>4.2</v>
      </c>
      <c r="Y1432" s="97">
        <v>355.36666666666662</v>
      </c>
    </row>
    <row r="1433" spans="1:25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  <c r="X1433" s="98">
        <v>4.2</v>
      </c>
      <c r="Y1433" s="97">
        <v>342.81904761904764</v>
      </c>
    </row>
    <row r="1434" spans="1:25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  <c r="X1434" s="98">
        <v>4.2</v>
      </c>
      <c r="Y1434" s="97">
        <v>133</v>
      </c>
    </row>
    <row r="1435" spans="1:25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  <c r="X1435" s="98">
        <v>4.2</v>
      </c>
      <c r="Y1435" s="97">
        <v>393.00952380952378</v>
      </c>
    </row>
    <row r="1436" spans="1:25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  <c r="X1436" s="98">
        <v>4.2</v>
      </c>
      <c r="Y1436" s="97">
        <v>367.91428571428571</v>
      </c>
    </row>
    <row r="1437" spans="1:25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  <c r="X1437" s="98">
        <v>4.2</v>
      </c>
      <c r="Y1437" s="97">
        <v>380.46190476190475</v>
      </c>
    </row>
    <row r="1438" spans="1:25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  <c r="X1438" s="98">
        <v>4.2</v>
      </c>
      <c r="Y1438" s="97">
        <v>475.27857142857147</v>
      </c>
    </row>
    <row r="1439" spans="1:25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  <c r="X1439" s="98">
        <v>4.2</v>
      </c>
      <c r="Y1439" s="97">
        <v>430.65238095238095</v>
      </c>
    </row>
    <row r="1440" spans="1:25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  <c r="X1440" s="98">
        <v>4.2</v>
      </c>
      <c r="Y1440" s="97">
        <v>430.65238095238095</v>
      </c>
    </row>
    <row r="1441" spans="1:25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  <c r="X1441" s="98">
        <v>4.2</v>
      </c>
      <c r="Y1441" s="97">
        <v>430.65238095238095</v>
      </c>
    </row>
    <row r="1442" spans="1:25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  <c r="X1442" s="98">
        <v>4.2</v>
      </c>
      <c r="Y1442" s="97">
        <v>487.82619047619045</v>
      </c>
    </row>
    <row r="1443" spans="1:25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  <c r="X1443" s="98">
        <v>4.2</v>
      </c>
      <c r="Y1443" s="97">
        <v>199.92380952380952</v>
      </c>
    </row>
    <row r="1444" spans="1:25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  <c r="X1444" s="98">
        <v>4.2</v>
      </c>
      <c r="Y1444" s="97">
        <v>443.2</v>
      </c>
    </row>
    <row r="1445" spans="1:25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  <c r="X1445" s="98">
        <v>4.2</v>
      </c>
      <c r="Y1445" s="97">
        <v>468.29523809523806</v>
      </c>
    </row>
    <row r="1446" spans="1:25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  <c r="X1446" s="98">
        <v>4.2</v>
      </c>
      <c r="Y1446" s="97">
        <v>676.04047619047628</v>
      </c>
    </row>
    <row r="1447" spans="1:25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  <c r="X1447" s="98">
        <v>4.2</v>
      </c>
      <c r="Y1447" s="97">
        <v>380.46190476190475</v>
      </c>
    </row>
    <row r="1448" spans="1:25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  <c r="X1448" s="98">
        <v>4.2</v>
      </c>
      <c r="Y1448" s="97">
        <v>380.46190476190475</v>
      </c>
    </row>
    <row r="1449" spans="1:25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  <c r="X1449" s="98">
        <v>4.2</v>
      </c>
      <c r="Y1449" s="97">
        <v>330.2714285714286</v>
      </c>
    </row>
    <row r="1450" spans="1:25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  <c r="X1450" s="98">
        <v>4.2</v>
      </c>
      <c r="Y1450" s="97">
        <v>166.46190476190475</v>
      </c>
    </row>
    <row r="1451" spans="1:25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  <c r="X1451" s="98">
        <v>4.2</v>
      </c>
      <c r="Y1451" s="97">
        <v>216.6547619047619</v>
      </c>
    </row>
    <row r="1452" spans="1:25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  <c r="X1452" s="98">
        <v>4.2</v>
      </c>
      <c r="Y1452" s="97">
        <v>342.81904761904764</v>
      </c>
    </row>
    <row r="1453" spans="1:25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  <c r="X1453" s="98">
        <v>4.2</v>
      </c>
      <c r="Y1453" s="97">
        <v>317.72380952380951</v>
      </c>
    </row>
    <row r="1454" spans="1:25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  <c r="X1454" s="98">
        <v>4.2</v>
      </c>
      <c r="Y1454" s="97">
        <v>166.46190476190475</v>
      </c>
    </row>
    <row r="1455" spans="1:25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  <c r="X1455" s="98">
        <v>4.2</v>
      </c>
      <c r="Y1455" s="97">
        <v>149.73095238095235</v>
      </c>
    </row>
    <row r="1456" spans="1:25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  <c r="X1456" s="98">
        <v>4.2</v>
      </c>
      <c r="Y1456" s="97">
        <v>183.19285714285712</v>
      </c>
    </row>
    <row r="1457" spans="1:25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  <c r="X1457" s="98">
        <v>4.2</v>
      </c>
      <c r="Y1457" s="97">
        <v>183.19285714285712</v>
      </c>
    </row>
    <row r="1458" spans="1:25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  <c r="X1458" s="98">
        <v>4.2</v>
      </c>
      <c r="Y1458" s="97">
        <v>199.92380952380952</v>
      </c>
    </row>
    <row r="1459" spans="1:25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  <c r="X1459" s="98">
        <v>4.2</v>
      </c>
      <c r="Y1459" s="97">
        <v>166.46190476190475</v>
      </c>
    </row>
    <row r="1460" spans="1:25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  <c r="X1460" s="98">
        <v>4.2</v>
      </c>
      <c r="Y1460" s="97">
        <v>216.6547619047619</v>
      </c>
    </row>
    <row r="1461" spans="1:25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  <c r="X1461" s="98">
        <v>4.2</v>
      </c>
      <c r="Y1461" s="97">
        <v>437.63571428571424</v>
      </c>
    </row>
    <row r="1462" spans="1:25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  <c r="X1462" s="98">
        <v>4.2</v>
      </c>
      <c r="Y1462" s="97">
        <v>487.82619047619045</v>
      </c>
    </row>
    <row r="1463" spans="1:25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  <c r="X1463" s="98">
        <v>4.2</v>
      </c>
      <c r="Y1463" s="97">
        <v>330.2714285714286</v>
      </c>
    </row>
    <row r="1464" spans="1:25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  <c r="X1464" s="98">
        <v>4.2</v>
      </c>
      <c r="Y1464" s="97">
        <v>425.08809523809521</v>
      </c>
    </row>
    <row r="1465" spans="1:25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  <c r="X1465" s="98">
        <v>4.2</v>
      </c>
      <c r="Y1465" s="97">
        <v>425.08809523809521</v>
      </c>
    </row>
    <row r="1466" spans="1:25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  <c r="X1466" s="98">
        <v>4.2</v>
      </c>
      <c r="Y1466" s="97">
        <v>450.18333333333334</v>
      </c>
    </row>
    <row r="1467" spans="1:25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  <c r="X1467" s="98">
        <v>4.2</v>
      </c>
      <c r="Y1467" s="97">
        <v>355.36666666666662</v>
      </c>
    </row>
    <row r="1468" spans="1:25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  <c r="X1468" s="98">
        <v>4.2</v>
      </c>
      <c r="Y1468" s="97">
        <v>462.73095238095237</v>
      </c>
    </row>
    <row r="1469" spans="1:25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  <c r="X1469" s="98">
        <v>4.2</v>
      </c>
      <c r="Y1469" s="97">
        <v>317.72380952380951</v>
      </c>
    </row>
    <row r="1470" spans="1:25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  <c r="X1470" s="98">
        <v>4.2</v>
      </c>
      <c r="Y1470" s="97">
        <v>487.82619047619045</v>
      </c>
    </row>
    <row r="1471" spans="1:25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  <c r="X1471" s="98">
        <v>4.2</v>
      </c>
      <c r="Y1471" s="97">
        <v>330.2714285714286</v>
      </c>
    </row>
    <row r="1472" spans="1:25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  <c r="X1472" s="98">
        <v>4.2</v>
      </c>
      <c r="Y1472" s="97">
        <v>380.46190476190475</v>
      </c>
    </row>
    <row r="1473" spans="1:25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  <c r="X1473" s="98">
        <v>4.2</v>
      </c>
      <c r="Y1473" s="97">
        <v>149.73095238095235</v>
      </c>
    </row>
    <row r="1474" spans="1:25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  <c r="X1474" s="98">
        <v>4.2</v>
      </c>
      <c r="Y1474" s="97">
        <v>387.4452380952381</v>
      </c>
    </row>
    <row r="1475" spans="1:25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  <c r="X1475" s="98">
        <v>4.2</v>
      </c>
      <c r="Y1475" s="97">
        <v>374.89761904761906</v>
      </c>
    </row>
    <row r="1476" spans="1:25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  <c r="X1476" s="98">
        <v>4.2</v>
      </c>
      <c r="Y1476" s="97">
        <v>133</v>
      </c>
    </row>
    <row r="1477" spans="1:25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  <c r="X1477" s="98">
        <v>4.2</v>
      </c>
      <c r="Y1477" s="97">
        <v>149.73095238095235</v>
      </c>
    </row>
    <row r="1478" spans="1:25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  <c r="X1478" s="98">
        <v>4.2</v>
      </c>
      <c r="Y1478" s="97">
        <v>149.73095238095235</v>
      </c>
    </row>
    <row r="1479" spans="1:25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  <c r="X1479" s="98">
        <v>4.2</v>
      </c>
      <c r="Y1479" s="97">
        <v>319.06666666666661</v>
      </c>
    </row>
    <row r="1480" spans="1:25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  <c r="X1480" s="98">
        <v>4.2</v>
      </c>
      <c r="Y1480" s="97">
        <v>399.99285714285708</v>
      </c>
    </row>
    <row r="1481" spans="1:25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  <c r="X1481" s="98">
        <v>4.2</v>
      </c>
      <c r="Y1481" s="97">
        <v>399.99285714285708</v>
      </c>
    </row>
    <row r="1482" spans="1:25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  <c r="X1482" s="98">
        <v>4.2</v>
      </c>
      <c r="Y1482" s="97">
        <v>387.4452380952381</v>
      </c>
    </row>
    <row r="1483" spans="1:25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  <c r="X1483" s="98">
        <v>4.2</v>
      </c>
      <c r="Y1483" s="97">
        <v>374.89761904761906</v>
      </c>
    </row>
    <row r="1484" spans="1:25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  <c r="X1484" s="98">
        <v>4.2</v>
      </c>
      <c r="Y1484" s="97">
        <v>387.4452380952381</v>
      </c>
    </row>
    <row r="1485" spans="1:25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  <c r="X1485" s="98">
        <v>4.2</v>
      </c>
      <c r="Y1485" s="97">
        <v>342.81904761904764</v>
      </c>
    </row>
    <row r="1486" spans="1:25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  <c r="X1486" s="98">
        <v>4.2</v>
      </c>
      <c r="Y1486" s="97">
        <v>317.72380952380951</v>
      </c>
    </row>
    <row r="1487" spans="1:25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  <c r="X1487" s="98">
        <v>4.2</v>
      </c>
      <c r="Y1487" s="97">
        <v>216.6547619047619</v>
      </c>
    </row>
    <row r="1488" spans="1:25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  <c r="X1488" s="98">
        <v>4.2</v>
      </c>
      <c r="Y1488" s="97">
        <v>425.08809523809521</v>
      </c>
    </row>
    <row r="1489" spans="1:25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  <c r="X1489" s="98">
        <v>4.2</v>
      </c>
      <c r="Y1489" s="97">
        <v>387.4452380952381</v>
      </c>
    </row>
    <row r="1490" spans="1:25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  <c r="X1490" s="98">
        <v>4.2</v>
      </c>
      <c r="Y1490" s="97">
        <v>367.91428571428571</v>
      </c>
    </row>
    <row r="1491" spans="1:25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  <c r="X1491" s="98">
        <v>4.2</v>
      </c>
      <c r="Y1491" s="97">
        <v>487.82619047619045</v>
      </c>
    </row>
    <row r="1492" spans="1:25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  <c r="X1492" s="98">
        <v>4.2</v>
      </c>
      <c r="Y1492" s="97">
        <v>512.92142857142858</v>
      </c>
    </row>
    <row r="1493" spans="1:25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  <c r="X1493" s="98">
        <v>4.2</v>
      </c>
      <c r="Y1493" s="97">
        <v>450.18333333333334</v>
      </c>
    </row>
    <row r="1494" spans="1:25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  <c r="X1494" s="98">
        <v>4.2</v>
      </c>
      <c r="Y1494" s="97">
        <v>437.63571428571424</v>
      </c>
    </row>
    <row r="1495" spans="1:25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  <c r="X1495" s="98">
        <v>4.2</v>
      </c>
      <c r="Y1495" s="97">
        <v>475.27857142857147</v>
      </c>
    </row>
    <row r="1496" spans="1:25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  <c r="X1496" s="98">
        <v>4.2</v>
      </c>
      <c r="Y1496" s="97">
        <v>399.99285714285708</v>
      </c>
    </row>
    <row r="1497" spans="1:25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  <c r="X1497" s="98">
        <v>4.2</v>
      </c>
      <c r="Y1497" s="97">
        <v>374.89761904761906</v>
      </c>
    </row>
    <row r="1498" spans="1:25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  <c r="X1498" s="98">
        <v>4.2</v>
      </c>
      <c r="Y1498" s="97">
        <v>500.37380952380948</v>
      </c>
    </row>
    <row r="1499" spans="1:25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  <c r="X1499" s="98">
        <v>4.2</v>
      </c>
      <c r="Y1499" s="97">
        <v>317.72380952380951</v>
      </c>
    </row>
    <row r="1500" spans="1:25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  <c r="X1500" s="98">
        <v>4.2</v>
      </c>
      <c r="Y1500" s="97">
        <v>475.27857142857147</v>
      </c>
    </row>
    <row r="1501" spans="1:25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  <c r="X1501" s="98">
        <v>4.2</v>
      </c>
      <c r="Y1501" s="97">
        <v>387.4452380952381</v>
      </c>
    </row>
    <row r="1502" spans="1:25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  <c r="X1502" s="98">
        <v>4.2</v>
      </c>
      <c r="Y1502" s="97">
        <v>319.06666666666661</v>
      </c>
    </row>
    <row r="1503" spans="1:25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  <c r="X1503" s="98">
        <v>4.2</v>
      </c>
      <c r="Y1503" s="97">
        <v>342.81904761904764</v>
      </c>
    </row>
    <row r="1504" spans="1:25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  <c r="X1504" s="98">
        <v>4.2</v>
      </c>
      <c r="Y1504" s="97">
        <v>183.19285714285712</v>
      </c>
    </row>
    <row r="1505" spans="1:25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  <c r="X1505" s="98">
        <v>4.2</v>
      </c>
      <c r="Y1505" s="97">
        <v>462.73095238095237</v>
      </c>
    </row>
    <row r="1506" spans="1:25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  <c r="X1506" s="98">
        <v>4.2</v>
      </c>
      <c r="Y1506" s="97">
        <v>450.18333333333334</v>
      </c>
    </row>
    <row r="1507" spans="1:25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  <c r="X1507" s="98">
        <v>4.2</v>
      </c>
      <c r="Y1507" s="97">
        <v>462.73095238095237</v>
      </c>
    </row>
    <row r="1508" spans="1:25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  <c r="X1508" s="98">
        <v>4.2</v>
      </c>
      <c r="Y1508" s="97">
        <v>450.18333333333334</v>
      </c>
    </row>
    <row r="1509" spans="1:25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  <c r="X1509" s="98">
        <v>4.2</v>
      </c>
      <c r="Y1509" s="97">
        <v>367.91428571428571</v>
      </c>
    </row>
    <row r="1510" spans="1:25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  <c r="X1510" s="98">
        <v>4.2</v>
      </c>
      <c r="Y1510" s="97">
        <v>355.36666666666662</v>
      </c>
    </row>
    <row r="1511" spans="1:25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  <c r="X1511" s="98">
        <v>4.2</v>
      </c>
      <c r="Y1511" s="97">
        <v>330.2714285714286</v>
      </c>
    </row>
    <row r="1512" spans="1:25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  <c r="X1512" s="98">
        <v>4.2</v>
      </c>
      <c r="Y1512" s="97">
        <v>412.54047619047617</v>
      </c>
    </row>
    <row r="1513" spans="1:25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  <c r="X1513" s="98">
        <v>4.2</v>
      </c>
      <c r="Y1513" s="97">
        <v>399.99285714285708</v>
      </c>
    </row>
    <row r="1514" spans="1:25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  <c r="X1514" s="98">
        <v>4.2</v>
      </c>
      <c r="Y1514" s="97">
        <v>133</v>
      </c>
    </row>
    <row r="1515" spans="1:25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  <c r="X1515" s="98">
        <v>4.2</v>
      </c>
      <c r="Y1515" s="97">
        <v>355.36666666666662</v>
      </c>
    </row>
    <row r="1516" spans="1:25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  <c r="X1516" s="98">
        <v>4.2</v>
      </c>
      <c r="Y1516" s="97">
        <v>342.81904761904764</v>
      </c>
    </row>
    <row r="1517" spans="1:25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  <c r="X1517" s="98">
        <v>4.2</v>
      </c>
      <c r="Y1517" s="97">
        <v>166.46190476190475</v>
      </c>
    </row>
    <row r="1518" spans="1:25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  <c r="X1518" s="98">
        <v>4.2</v>
      </c>
      <c r="Y1518" s="97">
        <v>330.2714285714286</v>
      </c>
    </row>
    <row r="1519" spans="1:25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  <c r="X1519" s="98">
        <v>4.2</v>
      </c>
      <c r="Y1519" s="97">
        <v>166.46190476190475</v>
      </c>
    </row>
    <row r="1520" spans="1:25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  <c r="X1520" s="98">
        <v>4.2</v>
      </c>
      <c r="Y1520" s="97">
        <v>149.73095238095235</v>
      </c>
    </row>
    <row r="1521" spans="1:25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  <c r="X1521" s="98">
        <v>4.2</v>
      </c>
      <c r="Y1521" s="97">
        <v>317.72380952380951</v>
      </c>
    </row>
    <row r="1522" spans="1:25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  <c r="X1522" s="98">
        <v>4.2</v>
      </c>
      <c r="Y1522" s="97">
        <v>317.72380952380951</v>
      </c>
    </row>
    <row r="1523" spans="1:25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  <c r="X1523" s="98">
        <v>4.2</v>
      </c>
      <c r="Y1523" s="97">
        <v>330.2714285714286</v>
      </c>
    </row>
    <row r="1524" spans="1:25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  <c r="X1524" s="98">
        <v>4.2</v>
      </c>
      <c r="Y1524" s="97">
        <v>116.26904761904763</v>
      </c>
    </row>
    <row r="1525" spans="1:25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  <c r="X1525" s="98">
        <v>4.2</v>
      </c>
      <c r="Y1525" s="97">
        <v>133</v>
      </c>
    </row>
    <row r="1526" spans="1:25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  <c r="X1526" s="98">
        <v>4.2</v>
      </c>
      <c r="Y1526" s="97">
        <v>133</v>
      </c>
    </row>
    <row r="1527" spans="1:25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  <c r="X1527" s="98">
        <v>4.2</v>
      </c>
      <c r="Y1527" s="97">
        <v>133</v>
      </c>
    </row>
    <row r="1528" spans="1:25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  <c r="X1528" s="98">
        <v>4.2</v>
      </c>
      <c r="Y1528" s="97">
        <v>387.4452380952381</v>
      </c>
    </row>
    <row r="1529" spans="1:25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  <c r="X1529" s="98">
        <v>4.2</v>
      </c>
      <c r="Y1529" s="97">
        <v>317.72380952380951</v>
      </c>
    </row>
    <row r="1530" spans="1:25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  <c r="X1530" s="98">
        <v>4.2</v>
      </c>
      <c r="Y1530" s="97">
        <v>412.54047619047617</v>
      </c>
    </row>
    <row r="1531" spans="1:25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  <c r="X1531" s="98">
        <v>4.2</v>
      </c>
      <c r="Y1531" s="97">
        <v>462.73095238095237</v>
      </c>
    </row>
    <row r="1532" spans="1:25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  <c r="X1532" s="98">
        <v>4.2</v>
      </c>
      <c r="Y1532" s="97">
        <v>475.27857142857147</v>
      </c>
    </row>
    <row r="1533" spans="1:25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  <c r="X1533" s="98">
        <v>4.2</v>
      </c>
      <c r="Y1533" s="97">
        <v>317.72380952380951</v>
      </c>
    </row>
    <row r="1534" spans="1:25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  <c r="X1534" s="98">
        <v>4.2</v>
      </c>
      <c r="Y1534" s="97">
        <v>330.2714285714286</v>
      </c>
    </row>
    <row r="1535" spans="1:25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  <c r="X1535" s="98">
        <v>4.2</v>
      </c>
      <c r="Y1535" s="97">
        <v>355.36666666666662</v>
      </c>
    </row>
    <row r="1536" spans="1:25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  <c r="X1536" s="98">
        <v>4.2</v>
      </c>
      <c r="Y1536" s="97">
        <v>355.36666666666662</v>
      </c>
    </row>
    <row r="1537" spans="1:25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  <c r="X1537" s="98">
        <v>4.2</v>
      </c>
      <c r="Y1537" s="97">
        <v>342.81904761904764</v>
      </c>
    </row>
    <row r="1538" spans="1:25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  <c r="X1538" s="98">
        <v>4.2</v>
      </c>
      <c r="Y1538" s="97">
        <v>216.6547619047619</v>
      </c>
    </row>
    <row r="1539" spans="1:25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  <c r="X1539" s="98">
        <v>4.2</v>
      </c>
      <c r="Y1539" s="97">
        <v>487.82619047619045</v>
      </c>
    </row>
    <row r="1540" spans="1:25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  <c r="X1540" s="98">
        <v>4.2</v>
      </c>
      <c r="Y1540" s="97">
        <v>342.81904761904764</v>
      </c>
    </row>
    <row r="1541" spans="1:25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  <c r="X1541" s="98">
        <v>4.2</v>
      </c>
      <c r="Y1541" s="97">
        <v>216.6547619047619</v>
      </c>
    </row>
    <row r="1542" spans="1:25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  <c r="X1542" s="98">
        <v>4.2</v>
      </c>
      <c r="Y1542" s="97">
        <v>183.19285714285712</v>
      </c>
    </row>
    <row r="1543" spans="1:25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  <c r="X1543" s="98">
        <v>4.2</v>
      </c>
      <c r="Y1543" s="97">
        <v>166.46190476190475</v>
      </c>
    </row>
    <row r="1544" spans="1:25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  <c r="X1544" s="98">
        <v>4.2</v>
      </c>
      <c r="Y1544" s="97">
        <v>216.6547619047619</v>
      </c>
    </row>
    <row r="1545" spans="1:25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  <c r="X1545" s="98">
        <v>4.2</v>
      </c>
      <c r="Y1545" s="97">
        <v>450.18333333333334</v>
      </c>
    </row>
    <row r="1546" spans="1:25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  <c r="X1546" s="98">
        <v>4.2</v>
      </c>
      <c r="Y1546" s="97">
        <v>342.81904761904764</v>
      </c>
    </row>
    <row r="1547" spans="1:25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  <c r="X1547" s="98">
        <v>4.2</v>
      </c>
      <c r="Y1547" s="97">
        <v>355.36666666666662</v>
      </c>
    </row>
    <row r="1548" spans="1:25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  <c r="X1548" s="98">
        <v>4.2</v>
      </c>
      <c r="Y1548" s="97">
        <v>166.46190476190475</v>
      </c>
    </row>
    <row r="1549" spans="1:25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  <c r="X1549" s="98">
        <v>4.2</v>
      </c>
      <c r="Y1549" s="97">
        <v>342.81904761904764</v>
      </c>
    </row>
    <row r="1550" spans="1:25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  <c r="X1550" s="98">
        <v>4.2</v>
      </c>
      <c r="Y1550" s="97">
        <v>133</v>
      </c>
    </row>
    <row r="1551" spans="1:25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  <c r="X1551" s="98">
        <v>4.2</v>
      </c>
      <c r="Y1551" s="97">
        <v>216.6547619047619</v>
      </c>
    </row>
    <row r="1552" spans="1:25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  <c r="X1552" s="98">
        <v>4.2</v>
      </c>
      <c r="Y1552" s="97">
        <v>166.46190476190475</v>
      </c>
    </row>
    <row r="1553" spans="1:25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  <c r="X1553" s="98">
        <v>4.2</v>
      </c>
      <c r="Y1553" s="97">
        <v>166.46190476190475</v>
      </c>
    </row>
    <row r="1554" spans="1:25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  <c r="X1554" s="98">
        <v>4.2</v>
      </c>
      <c r="Y1554" s="97">
        <v>216.6547619047619</v>
      </c>
    </row>
    <row r="1555" spans="1:25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  <c r="X1555" s="98">
        <v>4.2</v>
      </c>
      <c r="Y1555" s="97">
        <v>216.6547619047619</v>
      </c>
    </row>
    <row r="1556" spans="1:25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  <c r="X1556" s="98">
        <v>4.2</v>
      </c>
      <c r="Y1556" s="97">
        <v>330.2714285714286</v>
      </c>
    </row>
    <row r="1557" spans="1:25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  <c r="X1557" s="98">
        <v>4.2</v>
      </c>
      <c r="Y1557" s="97">
        <v>500.37380952380948</v>
      </c>
    </row>
    <row r="1558" spans="1:25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  <c r="X1558" s="98">
        <v>4.2</v>
      </c>
      <c r="Y1558" s="97">
        <v>199.92380952380952</v>
      </c>
    </row>
    <row r="1559" spans="1:25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  <c r="X1559" s="98">
        <v>4.2</v>
      </c>
      <c r="Y1559" s="97">
        <v>437.63571428571424</v>
      </c>
    </row>
    <row r="1560" spans="1:25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  <c r="X1560" s="98">
        <v>4.2</v>
      </c>
      <c r="Y1560" s="97">
        <v>367.91428571428571</v>
      </c>
    </row>
    <row r="1561" spans="1:25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  <c r="X1561" s="98">
        <v>4.2</v>
      </c>
      <c r="Y1561" s="97">
        <v>183.19285714285712</v>
      </c>
    </row>
    <row r="1562" spans="1:25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  <c r="X1562" s="98">
        <v>4.2</v>
      </c>
      <c r="Y1562" s="97">
        <v>183.19285714285712</v>
      </c>
    </row>
    <row r="1563" spans="1:25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  <c r="X1563" s="98">
        <v>4.2</v>
      </c>
      <c r="Y1563" s="97">
        <v>317.72380952380951</v>
      </c>
    </row>
    <row r="1564" spans="1:25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  <c r="X1564" s="98">
        <v>4.2</v>
      </c>
      <c r="Y1564" s="97">
        <v>183.19285714285712</v>
      </c>
    </row>
    <row r="1565" spans="1:25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  <c r="X1565" s="98">
        <v>4.2</v>
      </c>
      <c r="Y1565" s="97">
        <v>149.73095238095235</v>
      </c>
    </row>
    <row r="1566" spans="1:25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  <c r="X1566" s="98">
        <v>4.2</v>
      </c>
      <c r="Y1566" s="97">
        <v>166.46190476190475</v>
      </c>
    </row>
    <row r="1567" spans="1:25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  <c r="X1567" s="98">
        <v>4.2</v>
      </c>
      <c r="Y1567" s="97">
        <v>450.18333333333334</v>
      </c>
    </row>
    <row r="1568" spans="1:25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  <c r="X1568" s="98">
        <v>4.2</v>
      </c>
      <c r="Y1568" s="97">
        <v>133</v>
      </c>
    </row>
    <row r="1569" spans="1:25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  <c r="X1569" s="98">
        <v>4.2</v>
      </c>
      <c r="Y1569" s="97">
        <v>330.2714285714286</v>
      </c>
    </row>
    <row r="1570" spans="1:25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  <c r="X1570" s="98">
        <v>16.8</v>
      </c>
      <c r="Y1570" s="97">
        <v>111.65416666666665</v>
      </c>
    </row>
    <row r="1571" spans="1:25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  <c r="X1571" s="98">
        <v>4.2</v>
      </c>
      <c r="Y1571" s="97">
        <v>317.72380952380951</v>
      </c>
    </row>
    <row r="1572" spans="1:25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  <c r="X1572" s="98">
        <v>4.2</v>
      </c>
      <c r="Y1572" s="97">
        <v>317.72380952380951</v>
      </c>
    </row>
    <row r="1573" spans="1:25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  <c r="X1573" s="98">
        <v>4.2</v>
      </c>
      <c r="Y1573" s="97">
        <v>425.08809523809521</v>
      </c>
    </row>
    <row r="1574" spans="1:25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  <c r="X1574" s="98">
        <v>4.2</v>
      </c>
      <c r="Y1574" s="97">
        <v>399.99285714285708</v>
      </c>
    </row>
    <row r="1575" spans="1:25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  <c r="X1575" s="98">
        <v>21</v>
      </c>
      <c r="Y1575" s="97">
        <v>99.361904761904768</v>
      </c>
    </row>
    <row r="1576" spans="1:25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  <c r="X1576" s="98">
        <v>12.600000000000001</v>
      </c>
      <c r="Y1576" s="97">
        <v>162.60873015873014</v>
      </c>
    </row>
    <row r="1577" spans="1:25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  <c r="X1577" s="98">
        <v>8.4</v>
      </c>
      <c r="Y1577" s="97">
        <v>193.72261904761905</v>
      </c>
    </row>
    <row r="1578" spans="1:25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  <c r="X1578" s="98">
        <v>12.600000000000001</v>
      </c>
      <c r="Y1578" s="97">
        <v>133.33095238095237</v>
      </c>
    </row>
    <row r="1579" spans="1:25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  <c r="X1579" s="98">
        <v>12.600000000000001</v>
      </c>
      <c r="Y1579" s="97">
        <v>150.0611111111111</v>
      </c>
    </row>
    <row r="1580" spans="1:25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  <c r="X1580" s="98">
        <v>4.2</v>
      </c>
      <c r="Y1580" s="97">
        <v>387.4452380952381</v>
      </c>
    </row>
    <row r="1581" spans="1:25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  <c r="X1581" s="98">
        <v>21</v>
      </c>
      <c r="Y1581" s="97">
        <v>96.015714285714282</v>
      </c>
    </row>
    <row r="1582" spans="1:25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  <c r="X1582" s="98">
        <v>4.2</v>
      </c>
      <c r="Y1582" s="97">
        <v>166.46190476190475</v>
      </c>
    </row>
    <row r="1583" spans="1:25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  <c r="X1583" s="98">
        <v>16.8</v>
      </c>
      <c r="Y1583" s="97">
        <v>75.077380952380949</v>
      </c>
    </row>
    <row r="1584" spans="1:25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  <c r="X1584" s="98">
        <v>8.4</v>
      </c>
      <c r="Y1584" s="97">
        <v>189.35714285714283</v>
      </c>
    </row>
    <row r="1585" spans="1:25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  <c r="X1585" s="98">
        <v>4.2</v>
      </c>
      <c r="Y1585" s="97">
        <v>380.46190476190475</v>
      </c>
    </row>
    <row r="1586" spans="1:25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  <c r="X1586" s="98">
        <v>4.2</v>
      </c>
      <c r="Y1586" s="97">
        <v>342.81904761904764</v>
      </c>
    </row>
    <row r="1587" spans="1:25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  <c r="X1587" s="98">
        <v>4.2</v>
      </c>
      <c r="Y1587" s="97">
        <v>342.81904761904764</v>
      </c>
    </row>
    <row r="1588" spans="1:25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  <c r="X1588" s="98">
        <v>4.2</v>
      </c>
      <c r="Y1588" s="97">
        <v>216.6547619047619</v>
      </c>
    </row>
    <row r="1589" spans="1:25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  <c r="X1589" s="98">
        <v>8.4</v>
      </c>
      <c r="Y1589" s="97">
        <v>164.26190476190479</v>
      </c>
    </row>
    <row r="1590" spans="1:25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  <c r="X1590" s="98">
        <v>4.2</v>
      </c>
      <c r="Y1590" s="97">
        <v>317.72380952380951</v>
      </c>
    </row>
    <row r="1591" spans="1:25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  <c r="X1591" s="98">
        <v>12.600000000000001</v>
      </c>
      <c r="Y1591" s="97">
        <v>72.218253968253961</v>
      </c>
    </row>
    <row r="1592" spans="1:25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  <c r="X1592" s="98">
        <v>4.2</v>
      </c>
      <c r="Y1592" s="97">
        <v>330.2714285714286</v>
      </c>
    </row>
    <row r="1593" spans="1:25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  <c r="X1593" s="98">
        <v>4.2</v>
      </c>
      <c r="Y1593" s="97">
        <v>367.91428571428571</v>
      </c>
    </row>
    <row r="1594" spans="1:25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  <c r="X1594" s="98">
        <v>4.2</v>
      </c>
      <c r="Y1594" s="97">
        <v>166.46190476190475</v>
      </c>
    </row>
    <row r="1595" spans="1:25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  <c r="X1595" s="98">
        <v>4.2</v>
      </c>
      <c r="Y1595" s="97">
        <v>149.73095238095235</v>
      </c>
    </row>
    <row r="1596" spans="1:25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  <c r="X1596" s="98">
        <v>4.2</v>
      </c>
      <c r="Y1596" s="97">
        <v>199.92380952380952</v>
      </c>
    </row>
    <row r="1597" spans="1:25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  <c r="X1597" s="98">
        <v>4.2</v>
      </c>
      <c r="Y1597" s="97">
        <v>330.2714285714286</v>
      </c>
    </row>
    <row r="1598" spans="1:25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  <c r="X1598" s="98">
        <v>21</v>
      </c>
      <c r="Y1598" s="97">
        <v>63.408095238095235</v>
      </c>
    </row>
    <row r="1599" spans="1:25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  <c r="X1599" s="98">
        <v>8.4</v>
      </c>
      <c r="Y1599" s="97">
        <v>227</v>
      </c>
    </row>
    <row r="1600" spans="1:25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  <c r="X1600" s="98">
        <v>16.8</v>
      </c>
      <c r="Y1600" s="97">
        <v>87.625595238095244</v>
      </c>
    </row>
    <row r="1601" spans="1:25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  <c r="X1601" s="98">
        <v>4.2</v>
      </c>
      <c r="Y1601" s="97">
        <v>430.65238095238095</v>
      </c>
    </row>
    <row r="1602" spans="1:25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  <c r="X1602" s="98">
        <v>4.2</v>
      </c>
      <c r="Y1602" s="97">
        <v>430.65238095238095</v>
      </c>
    </row>
    <row r="1603" spans="1:25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  <c r="X1603" s="98">
        <v>4.2</v>
      </c>
      <c r="Y1603" s="97">
        <v>355.36666666666662</v>
      </c>
    </row>
    <row r="1604" spans="1:25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  <c r="X1604" s="98">
        <v>4.2</v>
      </c>
      <c r="Y1604" s="97">
        <v>380.46190476190475</v>
      </c>
    </row>
    <row r="1605" spans="1:25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  <c r="X1605" s="98">
        <v>4.2</v>
      </c>
      <c r="Y1605" s="97">
        <v>380.46190476190475</v>
      </c>
    </row>
    <row r="1606" spans="1:25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  <c r="X1606" s="98">
        <v>8.4</v>
      </c>
      <c r="Y1606" s="97">
        <v>195.63095238095238</v>
      </c>
    </row>
    <row r="1607" spans="1:25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  <c r="X1607" s="98">
        <v>12.600000000000001</v>
      </c>
      <c r="Y1607" s="97">
        <v>116.63095238095237</v>
      </c>
    </row>
    <row r="1608" spans="1:25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  <c r="X1608" s="98">
        <v>4.2</v>
      </c>
      <c r="Y1608" s="97">
        <v>367.91428571428571</v>
      </c>
    </row>
    <row r="1609" spans="1:25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  <c r="X1609" s="98">
        <v>4.2</v>
      </c>
      <c r="Y1609" s="97">
        <v>330.2714285714286</v>
      </c>
    </row>
    <row r="1610" spans="1:25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  <c r="X1610" s="98">
        <v>4.2</v>
      </c>
      <c r="Y1610" s="97">
        <v>367.91428571428571</v>
      </c>
    </row>
    <row r="1611" spans="1:25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  <c r="X1611" s="98">
        <v>8.4</v>
      </c>
      <c r="Y1611" s="97">
        <v>214.45238095238096</v>
      </c>
    </row>
    <row r="1612" spans="1:25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  <c r="X1612" s="98">
        <v>8.4</v>
      </c>
      <c r="Y1612" s="97">
        <v>220.72619047619045</v>
      </c>
    </row>
    <row r="1613" spans="1:25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  <c r="X1613" s="98">
        <v>4.2</v>
      </c>
      <c r="Y1613" s="97">
        <v>430.65238095238095</v>
      </c>
    </row>
    <row r="1614" spans="1:25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  <c r="X1614" s="98">
        <v>4.2</v>
      </c>
      <c r="Y1614" s="97">
        <v>418.10476190476186</v>
      </c>
    </row>
    <row r="1615" spans="1:25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  <c r="X1615" s="98">
        <v>8.4</v>
      </c>
      <c r="Y1615" s="97">
        <v>208.17857142857142</v>
      </c>
    </row>
    <row r="1616" spans="1:25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  <c r="X1616" s="98">
        <v>37.800000000000004</v>
      </c>
      <c r="Y1616" s="97">
        <v>47.464814814814808</v>
      </c>
    </row>
    <row r="1617" spans="1:25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  <c r="X1617" s="98">
        <v>8.4</v>
      </c>
      <c r="Y1617" s="97">
        <v>189.35714285714283</v>
      </c>
    </row>
    <row r="1618" spans="1:25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  <c r="X1618" s="98">
        <v>4.2</v>
      </c>
      <c r="Y1618" s="97">
        <v>380.46190476190475</v>
      </c>
    </row>
    <row r="1619" spans="1:25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  <c r="X1619" s="98">
        <v>4.2</v>
      </c>
      <c r="Y1619" s="97">
        <v>405.55714285714282</v>
      </c>
    </row>
    <row r="1620" spans="1:25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  <c r="X1620" s="98">
        <v>12.600000000000001</v>
      </c>
      <c r="Y1620" s="97">
        <v>175.15634920634918</v>
      </c>
    </row>
    <row r="1621" spans="1:25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  <c r="X1621" s="98">
        <v>4.2</v>
      </c>
      <c r="Y1621" s="97">
        <v>380.46190476190475</v>
      </c>
    </row>
    <row r="1622" spans="1:25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  <c r="X1622" s="98">
        <v>42</v>
      </c>
      <c r="Y1622" s="97">
        <v>42.718333333333341</v>
      </c>
    </row>
    <row r="1623" spans="1:25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  <c r="X1623" s="98">
        <v>4.2</v>
      </c>
      <c r="Y1623" s="97">
        <v>342.81904761904764</v>
      </c>
    </row>
    <row r="1624" spans="1:25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  <c r="X1624" s="98">
        <v>12.600000000000001</v>
      </c>
      <c r="Y1624" s="97">
        <v>116.63095238095237</v>
      </c>
    </row>
    <row r="1625" spans="1:25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  <c r="X1625" s="98">
        <v>4.2</v>
      </c>
      <c r="Y1625" s="97">
        <v>330.2714285714286</v>
      </c>
    </row>
    <row r="1626" spans="1:25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  <c r="X1626" s="98">
        <v>25.200000000000003</v>
      </c>
      <c r="Y1626" s="97">
        <v>52.576190476190469</v>
      </c>
    </row>
    <row r="1627" spans="1:25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  <c r="X1627" s="98">
        <v>12.600000000000001</v>
      </c>
      <c r="Y1627" s="97">
        <v>145.87857142857141</v>
      </c>
    </row>
    <row r="1628" spans="1:25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  <c r="X1628" s="98">
        <v>8.4</v>
      </c>
      <c r="Y1628" s="97">
        <v>99.961904761904762</v>
      </c>
    </row>
    <row r="1629" spans="1:25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  <c r="X1629" s="98">
        <v>4.2</v>
      </c>
      <c r="Y1629" s="97">
        <v>183.19285714285712</v>
      </c>
    </row>
    <row r="1630" spans="1:25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  <c r="X1630" s="98">
        <v>12.600000000000001</v>
      </c>
      <c r="Y1630" s="97">
        <v>66.641269841269832</v>
      </c>
    </row>
    <row r="1631" spans="1:25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  <c r="X1631" s="98">
        <v>4.2</v>
      </c>
      <c r="Y1631" s="97">
        <v>166.46190476190475</v>
      </c>
    </row>
    <row r="1632" spans="1:25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  <c r="X1632" s="98">
        <v>8.4</v>
      </c>
      <c r="Y1632" s="97">
        <v>91.596428571428561</v>
      </c>
    </row>
    <row r="1633" spans="1:25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  <c r="X1633" s="98">
        <v>12.600000000000001</v>
      </c>
      <c r="Y1633" s="97">
        <v>72.218253968253961</v>
      </c>
    </row>
    <row r="1634" spans="1:25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  <c r="X1634" s="98">
        <v>8.4</v>
      </c>
      <c r="Y1634" s="97">
        <v>83.230952380952374</v>
      </c>
    </row>
    <row r="1635" spans="1:25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  <c r="X1635" s="98">
        <v>4.2</v>
      </c>
      <c r="Y1635" s="97">
        <v>393.00952380952378</v>
      </c>
    </row>
    <row r="1636" spans="1:25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  <c r="X1636" s="98">
        <v>12.600000000000001</v>
      </c>
      <c r="Y1636" s="97">
        <v>145.90873015873015</v>
      </c>
    </row>
    <row r="1637" spans="1:25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  <c r="X1637" s="98">
        <v>4.2</v>
      </c>
      <c r="Y1637" s="97">
        <v>405.55714285714282</v>
      </c>
    </row>
    <row r="1638" spans="1:25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  <c r="X1638" s="98">
        <v>21</v>
      </c>
      <c r="Y1638" s="97">
        <v>60.061904761904763</v>
      </c>
    </row>
    <row r="1639" spans="1:25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  <c r="X1639" s="98">
        <v>12.600000000000001</v>
      </c>
      <c r="Y1639" s="97">
        <v>112.44841269841268</v>
      </c>
    </row>
    <row r="1640" spans="1:25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  <c r="X1640" s="98">
        <v>4.2</v>
      </c>
      <c r="Y1640" s="97">
        <v>342.81904761904764</v>
      </c>
    </row>
    <row r="1641" spans="1:25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  <c r="X1641" s="98">
        <v>12.600000000000001</v>
      </c>
      <c r="Y1641" s="97">
        <v>116.63095238095237</v>
      </c>
    </row>
    <row r="1642" spans="1:25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  <c r="X1642" s="98">
        <v>4.2</v>
      </c>
      <c r="Y1642" s="97">
        <v>330.2714285714286</v>
      </c>
    </row>
    <row r="1643" spans="1:25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  <c r="X1643" s="98">
        <v>4.2</v>
      </c>
      <c r="Y1643" s="97">
        <v>216.6547619047619</v>
      </c>
    </row>
    <row r="1644" spans="1:25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  <c r="X1644" s="98">
        <v>4.2</v>
      </c>
      <c r="Y1644" s="97">
        <v>199.92380952380952</v>
      </c>
    </row>
    <row r="1645" spans="1:25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  <c r="X1645" s="98">
        <v>8.4</v>
      </c>
      <c r="Y1645" s="97">
        <v>74.865476190476173</v>
      </c>
    </row>
    <row r="1646" spans="1:25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  <c r="X1646" s="98">
        <v>8.4</v>
      </c>
      <c r="Y1646" s="97">
        <v>83.230952380952374</v>
      </c>
    </row>
    <row r="1647" spans="1:25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  <c r="X1647" s="98">
        <v>4.2</v>
      </c>
      <c r="Y1647" s="97">
        <v>116.26904761904763</v>
      </c>
    </row>
    <row r="1648" spans="1:25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  <c r="X1648" s="98">
        <v>4.2</v>
      </c>
      <c r="Y1648" s="97">
        <v>216.6547619047619</v>
      </c>
    </row>
    <row r="1649" spans="1:25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  <c r="X1649" s="98">
        <v>8.4</v>
      </c>
      <c r="Y1649" s="97">
        <v>83.230952380952374</v>
      </c>
    </row>
    <row r="1650" spans="1:25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  <c r="X1650" s="98">
        <v>4.2</v>
      </c>
      <c r="Y1650" s="97">
        <v>133</v>
      </c>
    </row>
    <row r="1651" spans="1:25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  <c r="X1651" s="98">
        <v>4.2</v>
      </c>
      <c r="Y1651" s="97">
        <v>166.46190476190475</v>
      </c>
    </row>
    <row r="1652" spans="1:25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  <c r="X1652" s="98">
        <v>4.2</v>
      </c>
      <c r="Y1652" s="97">
        <v>199.92380952380952</v>
      </c>
    </row>
    <row r="1653" spans="1:25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  <c r="X1653" s="98">
        <v>4.2</v>
      </c>
      <c r="Y1653" s="97">
        <v>317.72380952380951</v>
      </c>
    </row>
    <row r="1654" spans="1:25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  <c r="X1654" s="98">
        <v>8.4</v>
      </c>
      <c r="Y1654" s="97">
        <v>108.32738095238095</v>
      </c>
    </row>
    <row r="1655" spans="1:25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  <c r="X1655" s="98">
        <v>4.2</v>
      </c>
      <c r="Y1655" s="97">
        <v>149.73095238095235</v>
      </c>
    </row>
    <row r="1656" spans="1:25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  <c r="X1656" s="98">
        <v>21</v>
      </c>
      <c r="Y1656" s="97">
        <v>36.638571428571431</v>
      </c>
    </row>
    <row r="1657" spans="1:25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  <c r="X1657" s="98">
        <v>16.8</v>
      </c>
      <c r="Y1657" s="97">
        <v>54.163690476190474</v>
      </c>
    </row>
    <row r="1658" spans="1:25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  <c r="X1658" s="98">
        <v>16.8</v>
      </c>
      <c r="Y1658" s="97">
        <v>58.346428571428568</v>
      </c>
    </row>
    <row r="1659" spans="1:25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  <c r="X1659" s="98">
        <v>4.2</v>
      </c>
      <c r="Y1659" s="97">
        <v>216.6547619047619</v>
      </c>
    </row>
    <row r="1660" spans="1:25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  <c r="X1660" s="98">
        <v>8.4</v>
      </c>
      <c r="Y1660" s="97">
        <v>170.53571428571428</v>
      </c>
    </row>
    <row r="1661" spans="1:25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  <c r="X1661" s="98">
        <v>8.4</v>
      </c>
      <c r="Y1661" s="97">
        <v>91.596428571428561</v>
      </c>
    </row>
    <row r="1662" spans="1:25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  <c r="X1662" s="98">
        <v>8.4</v>
      </c>
      <c r="Y1662" s="97">
        <v>170.53571428571428</v>
      </c>
    </row>
    <row r="1663" spans="1:25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  <c r="X1663" s="98">
        <v>8.4</v>
      </c>
      <c r="Y1663" s="97">
        <v>164.26190476190479</v>
      </c>
    </row>
    <row r="1664" spans="1:25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  <c r="X1664" s="98">
        <v>4.2</v>
      </c>
      <c r="Y1664" s="97">
        <v>330.2714285714286</v>
      </c>
    </row>
    <row r="1665" spans="1:25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  <c r="X1665" s="98">
        <v>4.2</v>
      </c>
      <c r="Y1665" s="97">
        <v>317.72380952380951</v>
      </c>
    </row>
    <row r="1666" spans="1:25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  <c r="X1666" s="98">
        <v>4.2</v>
      </c>
      <c r="Y1666" s="97">
        <v>133</v>
      </c>
    </row>
    <row r="1667" spans="1:25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  <c r="X1667" s="98">
        <v>4.2</v>
      </c>
      <c r="Y1667" s="97">
        <v>199.92380952380952</v>
      </c>
    </row>
    <row r="1668" spans="1:25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  <c r="X1668" s="98">
        <v>4.2</v>
      </c>
      <c r="Y1668" s="97">
        <v>116.26904761904763</v>
      </c>
    </row>
    <row r="1669" spans="1:25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  <c r="X1669" s="98">
        <v>12.600000000000001</v>
      </c>
      <c r="Y1669" s="97">
        <v>141.69603174603171</v>
      </c>
    </row>
    <row r="1670" spans="1:25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  <c r="X1670" s="98">
        <v>4.2</v>
      </c>
      <c r="Y1670" s="97">
        <v>374.89761904761906</v>
      </c>
    </row>
    <row r="1671" spans="1:25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  <c r="X1671" s="98">
        <v>4.2</v>
      </c>
      <c r="Y1671" s="97">
        <v>149.73095238095235</v>
      </c>
    </row>
    <row r="1672" spans="1:25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  <c r="X1672" s="98">
        <v>4.2</v>
      </c>
      <c r="Y1672" s="97">
        <v>149.73095238095235</v>
      </c>
    </row>
    <row r="1673" spans="1:25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  <c r="X1673" s="98">
        <v>4.2</v>
      </c>
      <c r="Y1673" s="97">
        <v>430.65238095238095</v>
      </c>
    </row>
    <row r="1674" spans="1:25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  <c r="X1674" s="98">
        <v>16.8</v>
      </c>
      <c r="Y1674" s="97">
        <v>79.260119047619042</v>
      </c>
    </row>
    <row r="1675" spans="1:25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  <c r="X1675" s="98">
        <v>16.8</v>
      </c>
      <c r="Y1675" s="97">
        <v>45.79821428571428</v>
      </c>
    </row>
    <row r="1676" spans="1:25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  <c r="X1676" s="98">
        <v>12.600000000000001</v>
      </c>
      <c r="Y1676" s="97">
        <v>72.218253968253961</v>
      </c>
    </row>
    <row r="1677" spans="1:25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  <c r="X1677" s="98">
        <v>46.2</v>
      </c>
      <c r="Y1677" s="97">
        <v>47.258008658008656</v>
      </c>
    </row>
    <row r="1678" spans="1:25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  <c r="X1678" s="98">
        <v>29.400000000000006</v>
      </c>
      <c r="Y1678" s="97">
        <v>48.086734693877546</v>
      </c>
    </row>
    <row r="1679" spans="1:25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  <c r="X1679" s="98">
        <v>12.600000000000001</v>
      </c>
      <c r="Y1679" s="97">
        <v>120.81349206349205</v>
      </c>
    </row>
    <row r="1680" spans="1:25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  <c r="X1680" s="98">
        <v>4.2</v>
      </c>
      <c r="Y1680" s="97">
        <v>500.37380952380948</v>
      </c>
    </row>
    <row r="1681" spans="1:25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  <c r="X1681" s="98">
        <v>4.2</v>
      </c>
      <c r="Y1681" s="97">
        <v>342.81904761904764</v>
      </c>
    </row>
    <row r="1682" spans="1:25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  <c r="X1682" s="98">
        <v>16.8</v>
      </c>
      <c r="Y1682" s="97">
        <v>49.980952380952381</v>
      </c>
    </row>
    <row r="1683" spans="1:25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  <c r="X1683" s="98">
        <v>21</v>
      </c>
      <c r="Y1683" s="97">
        <v>50.023333333333333</v>
      </c>
    </row>
    <row r="1684" spans="1:25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  <c r="X1684" s="98">
        <v>21</v>
      </c>
      <c r="Y1684" s="97">
        <v>86.83142857142856</v>
      </c>
    </row>
    <row r="1685" spans="1:25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  <c r="X1685" s="98">
        <v>4.2</v>
      </c>
      <c r="Y1685" s="97">
        <v>455.74761904761908</v>
      </c>
    </row>
    <row r="1686" spans="1:25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  <c r="X1686" s="98">
        <v>8.4</v>
      </c>
      <c r="Y1686" s="97">
        <v>220.72619047619045</v>
      </c>
    </row>
    <row r="1687" spans="1:25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  <c r="X1687" s="98">
        <v>4.2</v>
      </c>
      <c r="Y1687" s="97">
        <v>443.2</v>
      </c>
    </row>
    <row r="1688" spans="1:25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  <c r="X1688" s="98">
        <v>4.2</v>
      </c>
      <c r="Y1688" s="97">
        <v>418.10476190476186</v>
      </c>
    </row>
    <row r="1689" spans="1:25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  <c r="X1689" s="98">
        <v>4.2</v>
      </c>
      <c r="Y1689" s="97">
        <v>405.55714285714282</v>
      </c>
    </row>
    <row r="1690" spans="1:25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  <c r="X1690" s="98">
        <v>21</v>
      </c>
      <c r="Y1690" s="97">
        <v>76.792857142857144</v>
      </c>
    </row>
    <row r="1691" spans="1:25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  <c r="X1691" s="98">
        <v>4.2</v>
      </c>
      <c r="Y1691" s="97">
        <v>443.2</v>
      </c>
    </row>
    <row r="1692" spans="1:25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  <c r="X1692" s="98">
        <v>4.2</v>
      </c>
      <c r="Y1692" s="97">
        <v>430.65238095238095</v>
      </c>
    </row>
    <row r="1693" spans="1:25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  <c r="X1693" s="98">
        <v>4.2</v>
      </c>
      <c r="Y1693" s="97">
        <v>500.37380952380948</v>
      </c>
    </row>
    <row r="1694" spans="1:25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  <c r="X1694" s="98">
        <v>4.2</v>
      </c>
      <c r="Y1694" s="97">
        <v>638.39761904761906</v>
      </c>
    </row>
    <row r="1695" spans="1:25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  <c r="X1695" s="98">
        <v>4.2</v>
      </c>
      <c r="Y1695" s="97">
        <v>468.29523809523806</v>
      </c>
    </row>
    <row r="1696" spans="1:25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  <c r="X1696" s="98">
        <v>4.2</v>
      </c>
      <c r="Y1696" s="97">
        <v>638.39761904761906</v>
      </c>
    </row>
    <row r="1697" spans="1:25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  <c r="X1697" s="98">
        <v>4.2</v>
      </c>
      <c r="Y1697" s="97">
        <v>638.39761904761906</v>
      </c>
    </row>
    <row r="1698" spans="1:25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  <c r="X1698" s="98">
        <v>4.2</v>
      </c>
      <c r="Y1698" s="97">
        <v>443.2</v>
      </c>
    </row>
    <row r="1699" spans="1:25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  <c r="X1699" s="98">
        <v>4.2</v>
      </c>
      <c r="Y1699" s="97">
        <v>713.68333333333328</v>
      </c>
    </row>
    <row r="1700" spans="1:25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  <c r="X1700" s="98">
        <v>21</v>
      </c>
      <c r="Y1700" s="97">
        <v>162.93952380952382</v>
      </c>
    </row>
    <row r="1701" spans="1:25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  <c r="X1701" s="98">
        <v>16.8</v>
      </c>
      <c r="Y1701" s="97">
        <v>212.03988095238094</v>
      </c>
    </row>
    <row r="1702" spans="1:25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  <c r="X1702" s="98">
        <v>8.4</v>
      </c>
      <c r="Y1702" s="97">
        <v>183.08333333333331</v>
      </c>
    </row>
    <row r="1703" spans="1:25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  <c r="X1703" s="98">
        <v>16.8</v>
      </c>
      <c r="Y1703" s="97">
        <v>66.711904761904762</v>
      </c>
    </row>
    <row r="1704" spans="1:25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  <c r="X1704" s="98">
        <v>29.400000000000006</v>
      </c>
      <c r="Y1704" s="97">
        <v>42.043877551020394</v>
      </c>
    </row>
    <row r="1705" spans="1:25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  <c r="X1705" s="98">
        <v>25.200000000000003</v>
      </c>
      <c r="Y1705" s="97">
        <v>123.35873015873015</v>
      </c>
    </row>
    <row r="1706" spans="1:25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  <c r="X1706" s="98">
        <v>50.400000000000006</v>
      </c>
      <c r="Y1706" s="97">
        <v>43.319841269841262</v>
      </c>
    </row>
    <row r="1707" spans="1:25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  <c r="X1707" s="98">
        <v>16.8</v>
      </c>
      <c r="Y1707" s="97">
        <v>132.56785714285712</v>
      </c>
    </row>
    <row r="1708" spans="1:25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  <c r="X1708" s="98">
        <v>4.2</v>
      </c>
      <c r="Y1708" s="97">
        <v>317.72380952380951</v>
      </c>
    </row>
    <row r="1709" spans="1:25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  <c r="X1709" s="98">
        <v>21</v>
      </c>
      <c r="Y1709" s="97">
        <v>56.715714285714284</v>
      </c>
    </row>
    <row r="1710" spans="1:25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  <c r="X1710" s="98">
        <v>4.2</v>
      </c>
      <c r="Y1710" s="97">
        <v>355.36666666666662</v>
      </c>
    </row>
    <row r="1711" spans="1:25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  <c r="X1711" s="98">
        <v>4.2</v>
      </c>
      <c r="Y1711" s="97">
        <v>399.99285714285708</v>
      </c>
    </row>
    <row r="1712" spans="1:25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  <c r="X1712" s="98">
        <v>12.600000000000001</v>
      </c>
      <c r="Y1712" s="97">
        <v>61.06428571428571</v>
      </c>
    </row>
    <row r="1713" spans="1:25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  <c r="X1713" s="98">
        <v>4.2</v>
      </c>
      <c r="Y1713" s="97">
        <v>149.73095238095235</v>
      </c>
    </row>
    <row r="1714" spans="1:25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  <c r="X1714" s="98">
        <v>4.2</v>
      </c>
      <c r="Y1714" s="97">
        <v>468.29523809523806</v>
      </c>
    </row>
    <row r="1715" spans="1:25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  <c r="X1715" s="98">
        <v>4.2</v>
      </c>
      <c r="Y1715" s="97">
        <v>216.6547619047619</v>
      </c>
    </row>
    <row r="1716" spans="1:25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  <c r="X1716" s="98">
        <v>4.2</v>
      </c>
      <c r="Y1716" s="97">
        <v>387.4452380952381</v>
      </c>
    </row>
    <row r="1717" spans="1:25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  <c r="X1717" s="98">
        <v>21</v>
      </c>
      <c r="Y1717" s="97">
        <v>73.851904761904763</v>
      </c>
    </row>
    <row r="1718" spans="1:25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  <c r="X1718" s="98">
        <v>4.2</v>
      </c>
      <c r="Y1718" s="97">
        <v>387.4452380952381</v>
      </c>
    </row>
    <row r="1719" spans="1:25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  <c r="X1719" s="98">
        <v>4.2</v>
      </c>
      <c r="Y1719" s="97">
        <v>319.06666666666661</v>
      </c>
    </row>
    <row r="1720" spans="1:25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  <c r="X1720" s="98">
        <v>4.2</v>
      </c>
      <c r="Y1720" s="97">
        <v>487.82619047619045</v>
      </c>
    </row>
    <row r="1721" spans="1:25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  <c r="X1721" s="98">
        <v>8.4</v>
      </c>
      <c r="Y1721" s="97">
        <v>231.36547619047619</v>
      </c>
    </row>
    <row r="1722" spans="1:25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  <c r="X1722" s="98">
        <v>4.2</v>
      </c>
      <c r="Y1722" s="97">
        <v>342.81904761904764</v>
      </c>
    </row>
    <row r="1723" spans="1:25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  <c r="X1723" s="98">
        <v>4.2</v>
      </c>
      <c r="Y1723" s="97">
        <v>216.6547619047619</v>
      </c>
    </row>
    <row r="1724" spans="1:25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  <c r="X1724" s="98">
        <v>4.2</v>
      </c>
      <c r="Y1724" s="97">
        <v>199.92380952380952</v>
      </c>
    </row>
    <row r="1725" spans="1:25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  <c r="X1725" s="98">
        <v>21</v>
      </c>
      <c r="Y1725" s="97">
        <v>56.715714285714284</v>
      </c>
    </row>
    <row r="1726" spans="1:25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  <c r="X1726" s="98">
        <v>4.2</v>
      </c>
      <c r="Y1726" s="97">
        <v>412.54047619047617</v>
      </c>
    </row>
    <row r="1727" spans="1:25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  <c r="X1727" s="98">
        <v>4.2</v>
      </c>
      <c r="Y1727" s="97">
        <v>500.37380952380948</v>
      </c>
    </row>
    <row r="1728" spans="1:25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  <c r="X1728" s="98">
        <v>4.2</v>
      </c>
      <c r="Y1728" s="97">
        <v>133</v>
      </c>
    </row>
    <row r="1729" spans="1:25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  <c r="X1729" s="98">
        <v>4.2</v>
      </c>
      <c r="Y1729" s="97">
        <v>116.26904761904763</v>
      </c>
    </row>
    <row r="1730" spans="1:25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  <c r="X1730" s="98">
        <v>4.2</v>
      </c>
      <c r="Y1730" s="97">
        <v>199.92380952380952</v>
      </c>
    </row>
    <row r="1731" spans="1:25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  <c r="X1731" s="98">
        <v>4.2</v>
      </c>
      <c r="Y1731" s="97">
        <v>319.06666666666661</v>
      </c>
    </row>
    <row r="1732" spans="1:25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  <c r="X1732" s="98">
        <v>4.2</v>
      </c>
      <c r="Y1732" s="97">
        <v>149.73095238095235</v>
      </c>
    </row>
    <row r="1733" spans="1:25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  <c r="X1733" s="98">
        <v>4.2</v>
      </c>
      <c r="Y1733" s="97">
        <v>133</v>
      </c>
    </row>
    <row r="1734" spans="1:25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  <c r="X1734" s="98">
        <v>4.2</v>
      </c>
      <c r="Y1734" s="97">
        <v>374.89761904761906</v>
      </c>
    </row>
    <row r="1735" spans="1:25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  <c r="X1735" s="98">
        <v>4.2</v>
      </c>
      <c r="Y1735" s="97">
        <v>374.89761904761906</v>
      </c>
    </row>
    <row r="1736" spans="1:25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  <c r="X1736" s="98">
        <v>4.2</v>
      </c>
      <c r="Y1736" s="97">
        <v>412.54047619047617</v>
      </c>
    </row>
    <row r="1737" spans="1:25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  <c r="X1737" s="98">
        <v>4.2</v>
      </c>
      <c r="Y1737" s="97">
        <v>387.4452380952381</v>
      </c>
    </row>
    <row r="1738" spans="1:25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  <c r="X1738" s="98">
        <v>4.2</v>
      </c>
      <c r="Y1738" s="97">
        <v>412.54047619047617</v>
      </c>
    </row>
    <row r="1739" spans="1:25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  <c r="X1739" s="98">
        <v>4.2</v>
      </c>
      <c r="Y1739" s="97">
        <v>199.92380952380952</v>
      </c>
    </row>
    <row r="1740" spans="1:25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  <c r="X1740" s="98">
        <v>8.4</v>
      </c>
      <c r="Y1740" s="97">
        <v>108.32738095238095</v>
      </c>
    </row>
    <row r="1741" spans="1:25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  <c r="X1741" s="98">
        <v>4.2</v>
      </c>
      <c r="Y1741" s="97">
        <v>374.89761904761906</v>
      </c>
    </row>
    <row r="1742" spans="1:25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  <c r="X1742" s="98">
        <v>8.4</v>
      </c>
      <c r="Y1742" s="97">
        <v>199.99642857142854</v>
      </c>
    </row>
    <row r="1743" spans="1:25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  <c r="X1743" s="98">
        <v>4.2</v>
      </c>
      <c r="Y1743" s="97">
        <v>319.06666666666661</v>
      </c>
    </row>
    <row r="1744" spans="1:25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  <c r="X1744" s="98">
        <v>4.2</v>
      </c>
      <c r="Y1744" s="97">
        <v>319.06666666666661</v>
      </c>
    </row>
    <row r="1745" spans="1:25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  <c r="X1745" s="98">
        <v>4.2</v>
      </c>
      <c r="Y1745" s="97">
        <v>149.73095238095235</v>
      </c>
    </row>
    <row r="1746" spans="1:25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  <c r="X1746" s="98">
        <v>4.2</v>
      </c>
      <c r="Y1746" s="97">
        <v>116.26904761904763</v>
      </c>
    </row>
    <row r="1747" spans="1:25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  <c r="X1747" s="98">
        <v>8.4</v>
      </c>
      <c r="Y1747" s="97">
        <v>212.5440476190476</v>
      </c>
    </row>
    <row r="1748" spans="1:25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  <c r="X1748" s="98">
        <v>4.2</v>
      </c>
      <c r="Y1748" s="97">
        <v>166.46190476190475</v>
      </c>
    </row>
    <row r="1749" spans="1:25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  <c r="X1749" s="98">
        <v>4.2</v>
      </c>
      <c r="Y1749" s="97">
        <v>450.18333333333334</v>
      </c>
    </row>
    <row r="1750" spans="1:25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  <c r="X1750" s="98">
        <v>4.2</v>
      </c>
      <c r="Y1750" s="97">
        <v>133</v>
      </c>
    </row>
    <row r="1751" spans="1:25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  <c r="X1751" s="98">
        <v>4.2</v>
      </c>
      <c r="Y1751" s="97">
        <v>116.26904761904763</v>
      </c>
    </row>
    <row r="1752" spans="1:25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  <c r="X1752" s="98">
        <v>4.2</v>
      </c>
      <c r="Y1752" s="97">
        <v>399.99285714285708</v>
      </c>
    </row>
    <row r="1753" spans="1:25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  <c r="X1753" s="98">
        <v>4.2</v>
      </c>
      <c r="Y1753" s="97">
        <v>149.73095238095235</v>
      </c>
    </row>
    <row r="1754" spans="1:25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  <c r="X1754" s="98">
        <v>4.2</v>
      </c>
      <c r="Y1754" s="97">
        <v>133</v>
      </c>
    </row>
    <row r="1755" spans="1:25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  <c r="X1755" s="98">
        <v>4.2</v>
      </c>
      <c r="Y1755" s="97">
        <v>319.06666666666661</v>
      </c>
    </row>
    <row r="1756" spans="1:25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  <c r="X1756" s="98">
        <v>4.2</v>
      </c>
      <c r="Y1756" s="97">
        <v>133</v>
      </c>
    </row>
    <row r="1757" spans="1:25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  <c r="X1757" s="98">
        <v>4.2</v>
      </c>
      <c r="Y1757" s="97">
        <v>399.99285714285708</v>
      </c>
    </row>
    <row r="1758" spans="1:25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  <c r="X1758" s="98">
        <v>8.4</v>
      </c>
      <c r="Y1758" s="97">
        <v>218.81785714285712</v>
      </c>
    </row>
    <row r="1759" spans="1:25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  <c r="X1759" s="98">
        <v>4.2</v>
      </c>
      <c r="Y1759" s="97">
        <v>425.08809523809521</v>
      </c>
    </row>
    <row r="1760" spans="1:25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  <c r="X1760" s="98">
        <v>4.2</v>
      </c>
      <c r="Y1760" s="97">
        <v>450.18333333333334</v>
      </c>
    </row>
    <row r="1761" spans="1:25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  <c r="X1761" s="98">
        <v>8.4</v>
      </c>
      <c r="Y1761" s="97">
        <v>99.961904761904762</v>
      </c>
    </row>
    <row r="1762" spans="1:25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  <c r="X1762" s="98">
        <v>4.2</v>
      </c>
      <c r="Y1762" s="97">
        <v>199.92380952380952</v>
      </c>
    </row>
    <row r="1763" spans="1:25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  <c r="X1763" s="98">
        <v>54.6</v>
      </c>
      <c r="Y1763" s="97">
        <v>47.709523809523809</v>
      </c>
    </row>
    <row r="1764" spans="1:25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  <c r="X1764" s="98">
        <v>4.2</v>
      </c>
      <c r="Y1764" s="97">
        <v>183.19285714285712</v>
      </c>
    </row>
    <row r="1765" spans="1:25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  <c r="X1765" s="98">
        <v>4.2</v>
      </c>
      <c r="Y1765" s="97">
        <v>399.99285714285708</v>
      </c>
    </row>
    <row r="1766" spans="1:25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  <c r="X1766" s="98">
        <v>4.2</v>
      </c>
      <c r="Y1766" s="97">
        <v>425.08809523809521</v>
      </c>
    </row>
    <row r="1767" spans="1:25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  <c r="X1767" s="98">
        <v>8.4</v>
      </c>
      <c r="Y1767" s="97">
        <v>199.99642857142854</v>
      </c>
    </row>
    <row r="1768" spans="1:25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  <c r="X1768" s="98">
        <v>4.2</v>
      </c>
      <c r="Y1768" s="97">
        <v>462.73095238095237</v>
      </c>
    </row>
    <row r="1769" spans="1:25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  <c r="X1769" s="98">
        <v>16.8</v>
      </c>
      <c r="Y1769" s="97">
        <v>115.83690476190476</v>
      </c>
    </row>
    <row r="1770" spans="1:25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  <c r="X1770" s="98">
        <v>8.4</v>
      </c>
      <c r="Y1770" s="97">
        <v>206.27023809523808</v>
      </c>
    </row>
    <row r="1771" spans="1:25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  <c r="X1771" s="98">
        <v>16.8</v>
      </c>
      <c r="Y1771" s="97">
        <v>120.01964285714286</v>
      </c>
    </row>
    <row r="1772" spans="1:25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  <c r="X1772" s="98">
        <v>4.2</v>
      </c>
      <c r="Y1772" s="97">
        <v>437.63571428571424</v>
      </c>
    </row>
    <row r="1773" spans="1:25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  <c r="X1773" s="98">
        <v>21</v>
      </c>
      <c r="Y1773" s="97">
        <v>39.984761904761903</v>
      </c>
    </row>
    <row r="1774" spans="1:25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  <c r="X1774" s="98">
        <v>4.2</v>
      </c>
      <c r="Y1774" s="97">
        <v>437.63571428571424</v>
      </c>
    </row>
    <row r="1775" spans="1:25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  <c r="X1775" s="98">
        <v>4.2</v>
      </c>
      <c r="Y1775" s="97">
        <v>199.92380952380952</v>
      </c>
    </row>
    <row r="1776" spans="1:25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  <c r="X1776" s="98">
        <v>4.2</v>
      </c>
      <c r="Y1776" s="97">
        <v>166.46190476190475</v>
      </c>
    </row>
    <row r="1777" spans="1:25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  <c r="X1777" s="98">
        <v>4.2</v>
      </c>
      <c r="Y1777" s="97">
        <v>216.6547619047619</v>
      </c>
    </row>
    <row r="1778" spans="1:25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  <c r="X1778" s="98">
        <v>33.6</v>
      </c>
      <c r="Y1778" s="97">
        <v>43.463988095238093</v>
      </c>
    </row>
    <row r="1779" spans="1:25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  <c r="X1779" s="98">
        <v>4.2</v>
      </c>
      <c r="Y1779" s="97">
        <v>412.54047619047617</v>
      </c>
    </row>
    <row r="1780" spans="1:25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  <c r="X1780" s="98">
        <v>4.2</v>
      </c>
      <c r="Y1780" s="97">
        <v>399.99285714285708</v>
      </c>
    </row>
    <row r="1781" spans="1:25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  <c r="X1781" s="98">
        <v>4.2</v>
      </c>
      <c r="Y1781" s="97">
        <v>166.46190476190475</v>
      </c>
    </row>
    <row r="1782" spans="1:25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  <c r="X1782" s="98">
        <v>4.2</v>
      </c>
      <c r="Y1782" s="97">
        <v>216.6547619047619</v>
      </c>
    </row>
    <row r="1783" spans="1:25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  <c r="X1783" s="98">
        <v>4.2</v>
      </c>
      <c r="Y1783" s="97">
        <v>330.2714285714286</v>
      </c>
    </row>
    <row r="1784" spans="1:25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  <c r="X1784" s="98">
        <v>4.2</v>
      </c>
      <c r="Y1784" s="97">
        <v>355.36666666666662</v>
      </c>
    </row>
    <row r="1785" spans="1:25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  <c r="X1785" s="98">
        <v>4.2</v>
      </c>
      <c r="Y1785" s="97">
        <v>380.46190476190475</v>
      </c>
    </row>
    <row r="1786" spans="1:25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  <c r="X1786" s="98">
        <v>4.2</v>
      </c>
      <c r="Y1786" s="97">
        <v>412.54047619047617</v>
      </c>
    </row>
    <row r="1787" spans="1:25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  <c r="X1787" s="98">
        <v>16.8</v>
      </c>
      <c r="Y1787" s="97">
        <v>136.75059523809523</v>
      </c>
    </row>
    <row r="1788" spans="1:25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  <c r="X1788" s="98">
        <v>12.600000000000001</v>
      </c>
      <c r="Y1788" s="97">
        <v>158.42619047619044</v>
      </c>
    </row>
    <row r="1789" spans="1:25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  <c r="X1789" s="98">
        <v>12.600000000000001</v>
      </c>
      <c r="Y1789" s="97">
        <v>154.24365079365077</v>
      </c>
    </row>
    <row r="1790" spans="1:25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  <c r="X1790" s="98">
        <v>4.2</v>
      </c>
      <c r="Y1790" s="97">
        <v>399.99285714285708</v>
      </c>
    </row>
    <row r="1791" spans="1:25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  <c r="X1791" s="98">
        <v>4.2</v>
      </c>
      <c r="Y1791" s="97">
        <v>425.08809523809521</v>
      </c>
    </row>
    <row r="1792" spans="1:25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  <c r="X1792" s="98">
        <v>21</v>
      </c>
      <c r="Y1792" s="97">
        <v>106.05428571428571</v>
      </c>
    </row>
    <row r="1793" spans="1:25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  <c r="X1793" s="98">
        <v>4.2</v>
      </c>
      <c r="Y1793" s="97">
        <v>166.46190476190475</v>
      </c>
    </row>
    <row r="1794" spans="1:25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  <c r="X1794" s="98">
        <v>8.4</v>
      </c>
      <c r="Y1794" s="97">
        <v>231.36547619047619</v>
      </c>
    </row>
    <row r="1795" spans="1:25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  <c r="X1795" s="98">
        <v>4.2</v>
      </c>
      <c r="Y1795" s="97">
        <v>487.82619047619045</v>
      </c>
    </row>
    <row r="1796" spans="1:25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  <c r="X1796" s="98">
        <v>21</v>
      </c>
      <c r="Y1796" s="97">
        <v>112.74666666666667</v>
      </c>
    </row>
    <row r="1797" spans="1:25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  <c r="X1797" s="98">
        <v>4.2</v>
      </c>
      <c r="Y1797" s="97">
        <v>437.63571428571424</v>
      </c>
    </row>
    <row r="1798" spans="1:25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  <c r="X1798" s="98">
        <v>16.8</v>
      </c>
      <c r="Y1798" s="97">
        <v>145.11607142857142</v>
      </c>
    </row>
    <row r="1799" spans="1:25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  <c r="X1799" s="98">
        <v>4.2</v>
      </c>
      <c r="Y1799" s="97">
        <v>425.08809523809521</v>
      </c>
    </row>
    <row r="1800" spans="1:25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  <c r="X1800" s="98">
        <v>4.2</v>
      </c>
      <c r="Y1800" s="97">
        <v>412.54047619047617</v>
      </c>
    </row>
    <row r="1801" spans="1:25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  <c r="X1801" s="98">
        <v>8.4</v>
      </c>
      <c r="Y1801" s="97">
        <v>225.09166666666667</v>
      </c>
    </row>
    <row r="1802" spans="1:25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  <c r="X1802" s="98">
        <v>4.2</v>
      </c>
      <c r="Y1802" s="97">
        <v>412.54047619047617</v>
      </c>
    </row>
    <row r="1803" spans="1:25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  <c r="X1803" s="98">
        <v>8.4</v>
      </c>
      <c r="Y1803" s="97">
        <v>83.230952380952374</v>
      </c>
    </row>
    <row r="1804" spans="1:25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  <c r="X1804" s="98">
        <v>4.2</v>
      </c>
      <c r="Y1804" s="97">
        <v>116.26904761904763</v>
      </c>
    </row>
    <row r="1805" spans="1:25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  <c r="X1805" s="98">
        <v>29.400000000000006</v>
      </c>
      <c r="Y1805" s="97">
        <v>39.022448979591829</v>
      </c>
    </row>
    <row r="1806" spans="1:25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  <c r="X1806" s="98">
        <v>42</v>
      </c>
      <c r="Y1806" s="97">
        <v>29.473095238095237</v>
      </c>
    </row>
    <row r="1807" spans="1:25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  <c r="X1807" s="98">
        <v>4.2</v>
      </c>
      <c r="Y1807" s="97">
        <v>199.92380952380952</v>
      </c>
    </row>
    <row r="1808" spans="1:25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  <c r="X1808" s="98">
        <v>4.2</v>
      </c>
      <c r="Y1808" s="97">
        <v>330.2714285714286</v>
      </c>
    </row>
    <row r="1809" spans="1:25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  <c r="X1809" s="98">
        <v>16.8</v>
      </c>
      <c r="Y1809" s="97">
        <v>58.346428571428568</v>
      </c>
    </row>
    <row r="1810" spans="1:25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  <c r="X1810" s="98">
        <v>4.2</v>
      </c>
      <c r="Y1810" s="97">
        <v>330.2714285714286</v>
      </c>
    </row>
    <row r="1811" spans="1:25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  <c r="X1811" s="98">
        <v>58.800000000000011</v>
      </c>
      <c r="Y1811" s="97">
        <v>51.472108843537406</v>
      </c>
    </row>
    <row r="1812" spans="1:25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  <c r="X1812" s="98">
        <v>12.600000000000001</v>
      </c>
      <c r="Y1812" s="97">
        <v>116.63095238095237</v>
      </c>
    </row>
    <row r="1813" spans="1:25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  <c r="X1813" s="98">
        <v>8.4</v>
      </c>
      <c r="Y1813" s="97">
        <v>164.26190476190479</v>
      </c>
    </row>
    <row r="1814" spans="1:25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  <c r="X1814" s="98">
        <v>4.2</v>
      </c>
      <c r="Y1814" s="97">
        <v>367.91428571428571</v>
      </c>
    </row>
    <row r="1815" spans="1:25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  <c r="X1815" s="98">
        <v>21</v>
      </c>
      <c r="Y1815" s="97">
        <v>60.061904761904763</v>
      </c>
    </row>
    <row r="1816" spans="1:25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  <c r="X1816" s="98">
        <v>4.2</v>
      </c>
      <c r="Y1816" s="97">
        <v>216.6547619047619</v>
      </c>
    </row>
    <row r="1817" spans="1:25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  <c r="X1817" s="98">
        <v>8.4</v>
      </c>
      <c r="Y1817" s="97">
        <v>99.961904761904762</v>
      </c>
    </row>
    <row r="1818" spans="1:25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  <c r="X1818" s="98">
        <v>21</v>
      </c>
      <c r="Y1818" s="97">
        <v>29.946190476190477</v>
      </c>
    </row>
    <row r="1819" spans="1:25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  <c r="X1819" s="98">
        <v>4.2</v>
      </c>
      <c r="Y1819" s="97">
        <v>437.63571428571424</v>
      </c>
    </row>
    <row r="1820" spans="1:25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  <c r="X1820" s="98">
        <v>4.2</v>
      </c>
      <c r="Y1820" s="97">
        <v>317.72380952380951</v>
      </c>
    </row>
    <row r="1821" spans="1:25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  <c r="X1821" s="98">
        <v>21</v>
      </c>
      <c r="Y1821" s="97">
        <v>53.369523809523812</v>
      </c>
    </row>
    <row r="1822" spans="1:25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  <c r="X1822" s="98">
        <v>21</v>
      </c>
      <c r="Y1822" s="97">
        <v>109.40047619047618</v>
      </c>
    </row>
    <row r="1823" spans="1:25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  <c r="X1823" s="98">
        <v>8.4</v>
      </c>
      <c r="Y1823" s="97">
        <v>250.18690476190474</v>
      </c>
    </row>
    <row r="1824" spans="1:25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  <c r="X1824" s="98">
        <v>4.2</v>
      </c>
      <c r="Y1824" s="97">
        <v>399.99285714285708</v>
      </c>
    </row>
    <row r="1825" spans="1:25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  <c r="X1825" s="98">
        <v>4.2</v>
      </c>
      <c r="Y1825" s="97">
        <v>133</v>
      </c>
    </row>
    <row r="1826" spans="1:25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  <c r="X1826" s="98">
        <v>92.4</v>
      </c>
      <c r="Y1826" s="97">
        <v>16.784523809523808</v>
      </c>
    </row>
    <row r="1827" spans="1:25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  <c r="X1827" s="98">
        <v>4.2</v>
      </c>
      <c r="Y1827" s="97">
        <v>133</v>
      </c>
    </row>
    <row r="1828" spans="1:25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  <c r="X1828" s="98">
        <v>8.4</v>
      </c>
      <c r="Y1828" s="97">
        <v>170.53571428571428</v>
      </c>
    </row>
    <row r="1829" spans="1:25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  <c r="X1829" s="98">
        <v>12.600000000000001</v>
      </c>
      <c r="Y1829" s="97">
        <v>116.63095238095237</v>
      </c>
    </row>
    <row r="1830" spans="1:25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  <c r="X1830" s="98">
        <v>25.200000000000003</v>
      </c>
      <c r="Y1830" s="97">
        <v>112.78373015873015</v>
      </c>
    </row>
    <row r="1831" spans="1:25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  <c r="X1831" s="98">
        <v>8.4</v>
      </c>
      <c r="Y1831" s="97">
        <v>164.26190476190479</v>
      </c>
    </row>
    <row r="1832" spans="1:25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  <c r="X1832" s="98">
        <v>105</v>
      </c>
      <c r="Y1832" s="97">
        <v>32.839809523809528</v>
      </c>
    </row>
    <row r="1833" spans="1:25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  <c r="X1833" s="98">
        <v>21</v>
      </c>
      <c r="Y1833" s="97">
        <v>53.369523809523812</v>
      </c>
    </row>
    <row r="1834" spans="1:25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  <c r="X1834" s="98">
        <v>8.4</v>
      </c>
      <c r="Y1834" s="97">
        <v>164.26190476190479</v>
      </c>
    </row>
    <row r="1835" spans="1:25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  <c r="X1835" s="98">
        <v>8.4</v>
      </c>
      <c r="Y1835" s="97">
        <v>108.32738095238095</v>
      </c>
    </row>
    <row r="1836" spans="1:25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  <c r="X1836" s="98">
        <v>4.2</v>
      </c>
      <c r="Y1836" s="97">
        <v>133</v>
      </c>
    </row>
    <row r="1837" spans="1:25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  <c r="X1837" s="98">
        <v>4.2</v>
      </c>
      <c r="Y1837" s="97">
        <v>149.73095238095235</v>
      </c>
    </row>
    <row r="1838" spans="1:25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  <c r="X1838" s="98">
        <v>8.4</v>
      </c>
      <c r="Y1838" s="97">
        <v>83.230952380952374</v>
      </c>
    </row>
    <row r="1839" spans="1:25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  <c r="X1839" s="98">
        <v>4.2</v>
      </c>
      <c r="Y1839" s="97">
        <v>183.19285714285712</v>
      </c>
    </row>
    <row r="1840" spans="1:25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  <c r="X1840" s="98">
        <v>4.2</v>
      </c>
      <c r="Y1840" s="97">
        <v>450.18333333333334</v>
      </c>
    </row>
    <row r="1841" spans="1:25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  <c r="X1841" s="98">
        <v>4.2</v>
      </c>
      <c r="Y1841" s="97">
        <v>450.18333333333334</v>
      </c>
    </row>
    <row r="1842" spans="1:25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  <c r="X1842" s="98">
        <v>4.2</v>
      </c>
      <c r="Y1842" s="97">
        <v>317.72380952380951</v>
      </c>
    </row>
    <row r="1843" spans="1:25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  <c r="X1843" s="98">
        <v>4.2</v>
      </c>
      <c r="Y1843" s="97">
        <v>317.72380952380951</v>
      </c>
    </row>
    <row r="1844" spans="1:25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  <c r="X1844" s="98">
        <v>4.2</v>
      </c>
      <c r="Y1844" s="97">
        <v>183.19285714285712</v>
      </c>
    </row>
    <row r="1845" spans="1:25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  <c r="X1845" s="98">
        <v>4.2</v>
      </c>
      <c r="Y1845" s="97">
        <v>216.6547619047619</v>
      </c>
    </row>
    <row r="1846" spans="1:25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  <c r="X1846" s="98">
        <v>4.2</v>
      </c>
      <c r="Y1846" s="97">
        <v>149.73095238095235</v>
      </c>
    </row>
    <row r="1847" spans="1:25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  <c r="X1847" s="98">
        <v>4.2</v>
      </c>
      <c r="Y1847" s="97">
        <v>317.72380952380951</v>
      </c>
    </row>
    <row r="1848" spans="1:25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  <c r="X1848" s="98">
        <v>4.2</v>
      </c>
      <c r="Y1848" s="97">
        <v>199.92380952380952</v>
      </c>
    </row>
    <row r="1849" spans="1:25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  <c r="X1849" s="98">
        <v>21</v>
      </c>
      <c r="Y1849" s="97">
        <v>43.330952380952382</v>
      </c>
    </row>
    <row r="1850" spans="1:25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  <c r="X1850" s="98">
        <v>4.2</v>
      </c>
      <c r="Y1850" s="97">
        <v>462.73095238095237</v>
      </c>
    </row>
    <row r="1851" spans="1:25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  <c r="X1851" s="98">
        <v>4.2</v>
      </c>
      <c r="Y1851" s="97">
        <v>450.18333333333334</v>
      </c>
    </row>
    <row r="1852" spans="1:25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  <c r="X1852" s="98">
        <v>8.4</v>
      </c>
      <c r="Y1852" s="97">
        <v>212.5440476190476</v>
      </c>
    </row>
    <row r="1853" spans="1:25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  <c r="X1853" s="98">
        <v>4.2</v>
      </c>
      <c r="Y1853" s="97">
        <v>437.63571428571424</v>
      </c>
    </row>
    <row r="1854" spans="1:25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  <c r="X1854" s="98">
        <v>4.2</v>
      </c>
      <c r="Y1854" s="97">
        <v>437.63571428571424</v>
      </c>
    </row>
    <row r="1855" spans="1:25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  <c r="X1855" s="98">
        <v>4.2</v>
      </c>
      <c r="Y1855" s="97">
        <v>149.73095238095235</v>
      </c>
    </row>
    <row r="1856" spans="1:25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  <c r="X1856" s="98">
        <v>4.2</v>
      </c>
      <c r="Y1856" s="97">
        <v>317.72380952380951</v>
      </c>
    </row>
    <row r="1857" spans="1:25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  <c r="X1857" s="98">
        <v>4.2</v>
      </c>
      <c r="Y1857" s="97">
        <v>149.73095238095235</v>
      </c>
    </row>
    <row r="1858" spans="1:25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  <c r="X1858" s="98">
        <v>4.2</v>
      </c>
      <c r="Y1858" s="97">
        <v>430.65238095238095</v>
      </c>
    </row>
    <row r="1859" spans="1:25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  <c r="X1859" s="98">
        <v>4.2</v>
      </c>
      <c r="Y1859" s="97">
        <v>355.36666666666662</v>
      </c>
    </row>
    <row r="1860" spans="1:25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  <c r="X1860" s="98">
        <v>4.2</v>
      </c>
      <c r="Y1860" s="97">
        <v>367.91428571428571</v>
      </c>
    </row>
    <row r="1861" spans="1:25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  <c r="X1861" s="98">
        <v>4.2</v>
      </c>
      <c r="Y1861" s="97">
        <v>199.92380952380952</v>
      </c>
    </row>
    <row r="1862" spans="1:25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  <c r="X1862" s="98">
        <v>4.2</v>
      </c>
      <c r="Y1862" s="97">
        <v>166.46190476190475</v>
      </c>
    </row>
    <row r="1863" spans="1:25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  <c r="X1863" s="98">
        <v>8.4</v>
      </c>
      <c r="Y1863" s="97">
        <v>164.26190476190479</v>
      </c>
    </row>
    <row r="1864" spans="1:25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  <c r="X1864" s="98">
        <v>4.2</v>
      </c>
      <c r="Y1864" s="97">
        <v>330.2714285714286</v>
      </c>
    </row>
    <row r="1865" spans="1:25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  <c r="X1865" s="98">
        <v>4.2</v>
      </c>
      <c r="Y1865" s="97">
        <v>367.91428571428571</v>
      </c>
    </row>
    <row r="1866" spans="1:25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  <c r="X1866" s="98">
        <v>4.2</v>
      </c>
      <c r="Y1866" s="97">
        <v>149.73095238095235</v>
      </c>
    </row>
    <row r="1867" spans="1:25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  <c r="X1867" s="98">
        <v>16.8</v>
      </c>
      <c r="Y1867" s="97">
        <v>49.980952380952381</v>
      </c>
    </row>
    <row r="1868" spans="1:25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  <c r="X1868" s="98">
        <v>4.2</v>
      </c>
      <c r="Y1868" s="97">
        <v>412.54047619047617</v>
      </c>
    </row>
    <row r="1869" spans="1:25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  <c r="X1869" s="98">
        <v>4.2</v>
      </c>
      <c r="Y1869" s="97">
        <v>405.55714285714282</v>
      </c>
    </row>
    <row r="1870" spans="1:25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  <c r="X1870" s="98">
        <v>4.2</v>
      </c>
      <c r="Y1870" s="97">
        <v>216.6547619047619</v>
      </c>
    </row>
    <row r="1871" spans="1:25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  <c r="X1871" s="98">
        <v>4.2</v>
      </c>
      <c r="Y1871" s="97">
        <v>317.72380952380951</v>
      </c>
    </row>
    <row r="1872" spans="1:25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  <c r="X1872" s="98">
        <v>4.2</v>
      </c>
      <c r="Y1872" s="97">
        <v>199.92380952380952</v>
      </c>
    </row>
    <row r="1873" spans="1:25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  <c r="X1873" s="98">
        <v>4.2</v>
      </c>
      <c r="Y1873" s="97">
        <v>199.92380952380952</v>
      </c>
    </row>
    <row r="1874" spans="1:25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  <c r="X1874" s="98">
        <v>4.2</v>
      </c>
      <c r="Y1874" s="97">
        <v>355.36666666666662</v>
      </c>
    </row>
    <row r="1875" spans="1:25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  <c r="X1875" s="98">
        <v>4.2</v>
      </c>
      <c r="Y1875" s="97">
        <v>367.91428571428571</v>
      </c>
    </row>
    <row r="1876" spans="1:25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  <c r="X1876" s="98">
        <v>4.2</v>
      </c>
      <c r="Y1876" s="97">
        <v>183.19285714285712</v>
      </c>
    </row>
    <row r="1877" spans="1:25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  <c r="X1877" s="98">
        <v>12.600000000000001</v>
      </c>
      <c r="Y1877" s="97">
        <v>141.69603174603171</v>
      </c>
    </row>
    <row r="1878" spans="1:25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  <c r="X1878" s="98">
        <v>4.2</v>
      </c>
      <c r="Y1878" s="97">
        <v>330.2714285714286</v>
      </c>
    </row>
    <row r="1879" spans="1:25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  <c r="X1879" s="98">
        <v>4.2</v>
      </c>
      <c r="Y1879" s="97">
        <v>183.19285714285712</v>
      </c>
    </row>
    <row r="1880" spans="1:25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  <c r="X1880" s="98">
        <v>8.4</v>
      </c>
      <c r="Y1880" s="97">
        <v>91.596428571428561</v>
      </c>
    </row>
    <row r="1881" spans="1:25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  <c r="X1881" s="98">
        <v>4.2</v>
      </c>
      <c r="Y1881" s="97">
        <v>133</v>
      </c>
    </row>
    <row r="1882" spans="1:25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  <c r="X1882" s="98">
        <v>8.4</v>
      </c>
      <c r="Y1882" s="97">
        <v>91.596428571428561</v>
      </c>
    </row>
    <row r="1883" spans="1:25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  <c r="X1883" s="98">
        <v>4.2</v>
      </c>
      <c r="Y1883" s="97">
        <v>412.54047619047617</v>
      </c>
    </row>
    <row r="1884" spans="1:25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  <c r="X1884" s="98">
        <v>4.2</v>
      </c>
      <c r="Y1884" s="97">
        <v>166.46190476190475</v>
      </c>
    </row>
    <row r="1885" spans="1:25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  <c r="X1885" s="98">
        <v>4.2</v>
      </c>
      <c r="Y1885" s="97">
        <v>412.54047619047617</v>
      </c>
    </row>
    <row r="1886" spans="1:25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  <c r="X1886" s="98">
        <v>25.200000000000003</v>
      </c>
      <c r="Y1886" s="97">
        <v>52.576190476190469</v>
      </c>
    </row>
    <row r="1887" spans="1:25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  <c r="X1887" s="98">
        <v>21</v>
      </c>
      <c r="Y1887" s="97">
        <v>50.023333333333333</v>
      </c>
    </row>
    <row r="1888" spans="1:25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  <c r="X1888" s="98">
        <v>4.2</v>
      </c>
      <c r="Y1888" s="97">
        <v>342.81904761904764</v>
      </c>
    </row>
    <row r="1889" spans="1:25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  <c r="X1889" s="98">
        <v>25.200000000000003</v>
      </c>
      <c r="Y1889" s="97">
        <v>42.00119047619048</v>
      </c>
    </row>
    <row r="1890" spans="1:25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  <c r="X1890" s="98">
        <v>4.2</v>
      </c>
      <c r="Y1890" s="97">
        <v>317.72380952380951</v>
      </c>
    </row>
    <row r="1891" spans="1:25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  <c r="X1891" s="98">
        <v>4.2</v>
      </c>
      <c r="Y1891" s="97">
        <v>183.19285714285712</v>
      </c>
    </row>
    <row r="1892" spans="1:25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  <c r="X1892" s="98">
        <v>8.4</v>
      </c>
      <c r="Y1892" s="97">
        <v>176.8095238095238</v>
      </c>
    </row>
    <row r="1893" spans="1:25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  <c r="X1893" s="98">
        <v>4.2</v>
      </c>
      <c r="Y1893" s="97">
        <v>450.18333333333334</v>
      </c>
    </row>
    <row r="1894" spans="1:25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  <c r="X1894" s="98">
        <v>4.2</v>
      </c>
      <c r="Y1894" s="97">
        <v>149.73095238095235</v>
      </c>
    </row>
    <row r="1895" spans="1:25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  <c r="X1895" s="98">
        <v>4.2</v>
      </c>
      <c r="Y1895" s="97">
        <v>133</v>
      </c>
    </row>
    <row r="1896" spans="1:25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  <c r="X1896" s="98">
        <v>4.2</v>
      </c>
      <c r="Y1896" s="97">
        <v>183.19285714285712</v>
      </c>
    </row>
    <row r="1897" spans="1:25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  <c r="X1897" s="98">
        <v>4.2</v>
      </c>
      <c r="Y1897" s="97">
        <v>183.19285714285712</v>
      </c>
    </row>
    <row r="1898" spans="1:25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  <c r="X1898" s="98">
        <v>12.600000000000001</v>
      </c>
      <c r="Y1898" s="97">
        <v>129.17857142857142</v>
      </c>
    </row>
    <row r="1899" spans="1:25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  <c r="X1899" s="98">
        <v>4.2</v>
      </c>
      <c r="Y1899" s="97">
        <v>437.63571428571424</v>
      </c>
    </row>
    <row r="1900" spans="1:25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  <c r="X1900" s="98">
        <v>4.2</v>
      </c>
      <c r="Y1900" s="97">
        <v>199.92380952380952</v>
      </c>
    </row>
    <row r="1901" spans="1:25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  <c r="X1901" s="98">
        <v>4.2</v>
      </c>
      <c r="Y1901" s="97">
        <v>216.6547619047619</v>
      </c>
    </row>
    <row r="1902" spans="1:25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  <c r="X1902" s="98">
        <v>4.2</v>
      </c>
      <c r="Y1902" s="97">
        <v>317.72380952380951</v>
      </c>
    </row>
    <row r="1903" spans="1:25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  <c r="X1903" s="98">
        <v>4.2</v>
      </c>
      <c r="Y1903" s="97">
        <v>199.92380952380952</v>
      </c>
    </row>
    <row r="1904" spans="1:25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  <c r="X1904" s="98">
        <v>4.2</v>
      </c>
      <c r="Y1904" s="97">
        <v>430.65238095238095</v>
      </c>
    </row>
    <row r="1905" spans="1:25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  <c r="X1905" s="98">
        <v>4.2</v>
      </c>
      <c r="Y1905" s="97">
        <v>374.89761904761906</v>
      </c>
    </row>
    <row r="1906" spans="1:25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  <c r="X1906" s="98">
        <v>4.2</v>
      </c>
      <c r="Y1906" s="97">
        <v>437.63571428571424</v>
      </c>
    </row>
    <row r="1907" spans="1:25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  <c r="X1907" s="98">
        <v>4.2</v>
      </c>
      <c r="Y1907" s="97">
        <v>216.6547619047619</v>
      </c>
    </row>
    <row r="1908" spans="1:25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  <c r="X1908" s="98">
        <v>4.2</v>
      </c>
      <c r="Y1908" s="97">
        <v>199.92380952380952</v>
      </c>
    </row>
    <row r="1909" spans="1:25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  <c r="X1909" s="98">
        <v>4.2</v>
      </c>
      <c r="Y1909" s="97">
        <v>183.19285714285712</v>
      </c>
    </row>
    <row r="1910" spans="1:25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  <c r="X1910" s="98">
        <v>8.4</v>
      </c>
      <c r="Y1910" s="97">
        <v>189.35714285714283</v>
      </c>
    </row>
    <row r="1911" spans="1:25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  <c r="X1911" s="98">
        <v>4.2</v>
      </c>
      <c r="Y1911" s="97">
        <v>166.46190476190475</v>
      </c>
    </row>
    <row r="1912" spans="1:25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  <c r="X1912" s="98">
        <v>4.2</v>
      </c>
      <c r="Y1912" s="97">
        <v>199.92380952380952</v>
      </c>
    </row>
    <row r="1913" spans="1:25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  <c r="X1913" s="98">
        <v>4.2</v>
      </c>
      <c r="Y1913" s="97">
        <v>199.92380952380952</v>
      </c>
    </row>
    <row r="1914" spans="1:25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  <c r="X1914" s="98">
        <v>4.2</v>
      </c>
      <c r="Y1914" s="97">
        <v>330.2714285714286</v>
      </c>
    </row>
    <row r="1915" spans="1:25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  <c r="X1915" s="98">
        <v>4.2</v>
      </c>
      <c r="Y1915" s="97">
        <v>199.92380952380952</v>
      </c>
    </row>
    <row r="1916" spans="1:25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  <c r="X1916" s="98">
        <v>4.2</v>
      </c>
      <c r="Y1916" s="97">
        <v>412.54047619047617</v>
      </c>
    </row>
    <row r="1917" spans="1:25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  <c r="X1917" s="98">
        <v>4.2</v>
      </c>
      <c r="Y1917" s="97">
        <v>133</v>
      </c>
    </row>
    <row r="1918" spans="1:25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  <c r="X1918" s="98">
        <v>4.2</v>
      </c>
      <c r="Y1918" s="97">
        <v>199.92380952380952</v>
      </c>
    </row>
    <row r="1919" spans="1:25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  <c r="X1919" s="98">
        <v>37.800000000000004</v>
      </c>
      <c r="Y1919" s="97">
        <v>69.349470899470901</v>
      </c>
    </row>
    <row r="1920" spans="1:25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  <c r="X1920" s="98">
        <v>4.2</v>
      </c>
      <c r="Y1920" s="97">
        <v>367.91428571428571</v>
      </c>
    </row>
    <row r="1921" spans="1:25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  <c r="X1921" s="98">
        <v>4.2</v>
      </c>
      <c r="Y1921" s="97">
        <v>216.6547619047619</v>
      </c>
    </row>
    <row r="1922" spans="1:25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  <c r="X1922" s="98">
        <v>4.2</v>
      </c>
      <c r="Y1922" s="97">
        <v>342.81904761904764</v>
      </c>
    </row>
    <row r="1923" spans="1:25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  <c r="X1923" s="98">
        <v>4.2</v>
      </c>
      <c r="Y1923" s="97">
        <v>342.81904761904764</v>
      </c>
    </row>
    <row r="1924" spans="1:25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  <c r="X1924" s="98">
        <v>4.2</v>
      </c>
      <c r="Y1924" s="97">
        <v>330.2714285714286</v>
      </c>
    </row>
    <row r="1925" spans="1:25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  <c r="X1925" s="98">
        <v>4.2</v>
      </c>
      <c r="Y1925" s="97">
        <v>216.6547619047619</v>
      </c>
    </row>
    <row r="1926" spans="1:25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  <c r="X1926" s="98">
        <v>4.2</v>
      </c>
      <c r="Y1926" s="97">
        <v>216.6547619047619</v>
      </c>
    </row>
    <row r="1927" spans="1:25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  <c r="X1927" s="98">
        <v>21</v>
      </c>
      <c r="Y1927" s="97">
        <v>36.638571428571431</v>
      </c>
    </row>
    <row r="1928" spans="1:25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  <c r="X1928" s="98">
        <v>4.2</v>
      </c>
      <c r="Y1928" s="97">
        <v>183.19285714285712</v>
      </c>
    </row>
    <row r="1929" spans="1:25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  <c r="X1929" s="98">
        <v>4.2</v>
      </c>
      <c r="Y1929" s="97">
        <v>133</v>
      </c>
    </row>
    <row r="1930" spans="1:25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  <c r="X1930" s="98">
        <v>4.2</v>
      </c>
      <c r="Y1930" s="97">
        <v>183.19285714285712</v>
      </c>
    </row>
    <row r="1931" spans="1:25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  <c r="X1931" s="98">
        <v>4.2</v>
      </c>
      <c r="Y1931" s="97">
        <v>183.19285714285712</v>
      </c>
    </row>
    <row r="1932" spans="1:25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  <c r="X1932" s="98">
        <v>4.2</v>
      </c>
      <c r="Y1932" s="97">
        <v>355.36666666666662</v>
      </c>
    </row>
    <row r="1933" spans="1:25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  <c r="X1933" s="98">
        <v>4.2</v>
      </c>
      <c r="Y1933" s="97">
        <v>149.73095238095235</v>
      </c>
    </row>
    <row r="1934" spans="1:25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  <c r="X1934" s="98">
        <v>4.2</v>
      </c>
      <c r="Y1934" s="97">
        <v>317.72380952380951</v>
      </c>
    </row>
    <row r="1935" spans="1:25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  <c r="X1935" s="98">
        <v>4.2</v>
      </c>
      <c r="Y1935" s="97">
        <v>425.08809523809521</v>
      </c>
    </row>
    <row r="1936" spans="1:25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  <c r="X1936" s="98">
        <v>4.2</v>
      </c>
      <c r="Y1936" s="97">
        <v>183.19285714285712</v>
      </c>
    </row>
    <row r="1937" spans="1:25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  <c r="X1937" s="98">
        <v>8.4</v>
      </c>
      <c r="Y1937" s="97">
        <v>74.865476190476173</v>
      </c>
    </row>
    <row r="1938" spans="1:25">
      <c r="X1938" s="98">
        <v>12.600000000000001</v>
      </c>
      <c r="Y1938" s="97">
        <v>129.17857142857142</v>
      </c>
    </row>
  </sheetData>
  <mergeCells count="1">
    <mergeCell ref="AC3:AD3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200B-55A9-4071-AF7F-CF4CC5335CAE}">
  <sheetPr codeName="Sheet2"/>
  <dimension ref="B1:BG34"/>
  <sheetViews>
    <sheetView topLeftCell="C1" zoomScale="60" zoomScaleNormal="60" workbookViewId="0">
      <selection activeCell="AA25" sqref="AA25"/>
    </sheetView>
  </sheetViews>
  <sheetFormatPr defaultColWidth="8.81640625" defaultRowHeight="14.5"/>
  <cols>
    <col min="1" max="1" width="4.453125" customWidth="1"/>
    <col min="2" max="2" width="43.54296875" customWidth="1"/>
    <col min="3" max="3" width="40.453125" customWidth="1"/>
    <col min="4" max="4" width="14.54296875" customWidth="1"/>
    <col min="5" max="5" width="20.453125" customWidth="1"/>
    <col min="6" max="8" width="7.453125" customWidth="1"/>
    <col min="9" max="9" width="9" bestFit="1" customWidth="1"/>
    <col min="10" max="10" width="14.1796875" customWidth="1"/>
    <col min="11" max="11" width="7.453125" customWidth="1"/>
    <col min="12" max="12" width="11.453125" customWidth="1"/>
    <col min="13" max="13" width="7.453125" customWidth="1"/>
    <col min="14" max="14" width="8.81640625" bestFit="1" customWidth="1"/>
    <col min="15" max="15" width="12.453125" customWidth="1"/>
    <col min="16" max="16" width="13.54296875" customWidth="1"/>
    <col min="17" max="39" width="7.453125" customWidth="1"/>
    <col min="41" max="41" width="14.453125" customWidth="1"/>
    <col min="42" max="42" width="27.1796875" bestFit="1" customWidth="1"/>
    <col min="43" max="43" width="87.453125" bestFit="1" customWidth="1"/>
    <col min="50" max="50" width="14.54296875" customWidth="1"/>
    <col min="51" max="51" width="14.453125" bestFit="1" customWidth="1"/>
    <col min="52" max="52" width="22.81640625" bestFit="1" customWidth="1"/>
    <col min="270" max="270" width="4.453125" customWidth="1"/>
    <col min="271" max="271" width="25.81640625" customWidth="1"/>
    <col min="272" max="272" width="55" bestFit="1" customWidth="1"/>
    <col min="273" max="273" width="42.453125" customWidth="1"/>
    <col min="274" max="274" width="11.81640625" customWidth="1"/>
    <col min="275" max="275" width="8.1796875" customWidth="1"/>
    <col min="276" max="276" width="12" customWidth="1"/>
    <col min="277" max="277" width="11.81640625" customWidth="1"/>
    <col min="278" max="278" width="12.453125" customWidth="1"/>
    <col min="279" max="279" width="10.54296875" bestFit="1" customWidth="1"/>
    <col min="280" max="280" width="11" customWidth="1"/>
    <col min="281" max="282" width="10.54296875" customWidth="1"/>
    <col min="283" max="284" width="8.1796875" customWidth="1"/>
    <col min="285" max="295" width="9.453125" customWidth="1"/>
    <col min="526" max="526" width="4.453125" customWidth="1"/>
    <col min="527" max="527" width="25.81640625" customWidth="1"/>
    <col min="528" max="528" width="55" bestFit="1" customWidth="1"/>
    <col min="529" max="529" width="42.453125" customWidth="1"/>
    <col min="530" max="530" width="11.81640625" customWidth="1"/>
    <col min="531" max="531" width="8.1796875" customWidth="1"/>
    <col min="532" max="532" width="12" customWidth="1"/>
    <col min="533" max="533" width="11.81640625" customWidth="1"/>
    <col min="534" max="534" width="12.453125" customWidth="1"/>
    <col min="535" max="535" width="10.54296875" bestFit="1" customWidth="1"/>
    <col min="536" max="536" width="11" customWidth="1"/>
    <col min="537" max="538" width="10.54296875" customWidth="1"/>
    <col min="539" max="540" width="8.1796875" customWidth="1"/>
    <col min="541" max="551" width="9.453125" customWidth="1"/>
    <col min="782" max="782" width="4.453125" customWidth="1"/>
    <col min="783" max="783" width="25.81640625" customWidth="1"/>
    <col min="784" max="784" width="55" bestFit="1" customWidth="1"/>
    <col min="785" max="785" width="42.453125" customWidth="1"/>
    <col min="786" max="786" width="11.81640625" customWidth="1"/>
    <col min="787" max="787" width="8.1796875" customWidth="1"/>
    <col min="788" max="788" width="12" customWidth="1"/>
    <col min="789" max="789" width="11.81640625" customWidth="1"/>
    <col min="790" max="790" width="12.453125" customWidth="1"/>
    <col min="791" max="791" width="10.54296875" bestFit="1" customWidth="1"/>
    <col min="792" max="792" width="11" customWidth="1"/>
    <col min="793" max="794" width="10.54296875" customWidth="1"/>
    <col min="795" max="796" width="8.1796875" customWidth="1"/>
    <col min="797" max="807" width="9.453125" customWidth="1"/>
    <col min="1038" max="1038" width="4.453125" customWidth="1"/>
    <col min="1039" max="1039" width="25.81640625" customWidth="1"/>
    <col min="1040" max="1040" width="55" bestFit="1" customWidth="1"/>
    <col min="1041" max="1041" width="42.453125" customWidth="1"/>
    <col min="1042" max="1042" width="11.81640625" customWidth="1"/>
    <col min="1043" max="1043" width="8.1796875" customWidth="1"/>
    <col min="1044" max="1044" width="12" customWidth="1"/>
    <col min="1045" max="1045" width="11.81640625" customWidth="1"/>
    <col min="1046" max="1046" width="12.453125" customWidth="1"/>
    <col min="1047" max="1047" width="10.54296875" bestFit="1" customWidth="1"/>
    <col min="1048" max="1048" width="11" customWidth="1"/>
    <col min="1049" max="1050" width="10.54296875" customWidth="1"/>
    <col min="1051" max="1052" width="8.1796875" customWidth="1"/>
    <col min="1053" max="1063" width="9.453125" customWidth="1"/>
    <col min="1294" max="1294" width="4.453125" customWidth="1"/>
    <col min="1295" max="1295" width="25.81640625" customWidth="1"/>
    <col min="1296" max="1296" width="55" bestFit="1" customWidth="1"/>
    <col min="1297" max="1297" width="42.453125" customWidth="1"/>
    <col min="1298" max="1298" width="11.81640625" customWidth="1"/>
    <col min="1299" max="1299" width="8.1796875" customWidth="1"/>
    <col min="1300" max="1300" width="12" customWidth="1"/>
    <col min="1301" max="1301" width="11.81640625" customWidth="1"/>
    <col min="1302" max="1302" width="12.453125" customWidth="1"/>
    <col min="1303" max="1303" width="10.54296875" bestFit="1" customWidth="1"/>
    <col min="1304" max="1304" width="11" customWidth="1"/>
    <col min="1305" max="1306" width="10.54296875" customWidth="1"/>
    <col min="1307" max="1308" width="8.1796875" customWidth="1"/>
    <col min="1309" max="1319" width="9.453125" customWidth="1"/>
    <col min="1550" max="1550" width="4.453125" customWidth="1"/>
    <col min="1551" max="1551" width="25.81640625" customWidth="1"/>
    <col min="1552" max="1552" width="55" bestFit="1" customWidth="1"/>
    <col min="1553" max="1553" width="42.453125" customWidth="1"/>
    <col min="1554" max="1554" width="11.81640625" customWidth="1"/>
    <col min="1555" max="1555" width="8.1796875" customWidth="1"/>
    <col min="1556" max="1556" width="12" customWidth="1"/>
    <col min="1557" max="1557" width="11.81640625" customWidth="1"/>
    <col min="1558" max="1558" width="12.453125" customWidth="1"/>
    <col min="1559" max="1559" width="10.54296875" bestFit="1" customWidth="1"/>
    <col min="1560" max="1560" width="11" customWidth="1"/>
    <col min="1561" max="1562" width="10.54296875" customWidth="1"/>
    <col min="1563" max="1564" width="8.1796875" customWidth="1"/>
    <col min="1565" max="1575" width="9.453125" customWidth="1"/>
    <col min="1806" max="1806" width="4.453125" customWidth="1"/>
    <col min="1807" max="1807" width="25.81640625" customWidth="1"/>
    <col min="1808" max="1808" width="55" bestFit="1" customWidth="1"/>
    <col min="1809" max="1809" width="42.453125" customWidth="1"/>
    <col min="1810" max="1810" width="11.81640625" customWidth="1"/>
    <col min="1811" max="1811" width="8.1796875" customWidth="1"/>
    <col min="1812" max="1812" width="12" customWidth="1"/>
    <col min="1813" max="1813" width="11.81640625" customWidth="1"/>
    <col min="1814" max="1814" width="12.453125" customWidth="1"/>
    <col min="1815" max="1815" width="10.54296875" bestFit="1" customWidth="1"/>
    <col min="1816" max="1816" width="11" customWidth="1"/>
    <col min="1817" max="1818" width="10.54296875" customWidth="1"/>
    <col min="1819" max="1820" width="8.1796875" customWidth="1"/>
    <col min="1821" max="1831" width="9.453125" customWidth="1"/>
    <col min="2062" max="2062" width="4.453125" customWidth="1"/>
    <col min="2063" max="2063" width="25.81640625" customWidth="1"/>
    <col min="2064" max="2064" width="55" bestFit="1" customWidth="1"/>
    <col min="2065" max="2065" width="42.453125" customWidth="1"/>
    <col min="2066" max="2066" width="11.81640625" customWidth="1"/>
    <col min="2067" max="2067" width="8.1796875" customWidth="1"/>
    <col min="2068" max="2068" width="12" customWidth="1"/>
    <col min="2069" max="2069" width="11.81640625" customWidth="1"/>
    <col min="2070" max="2070" width="12.453125" customWidth="1"/>
    <col min="2071" max="2071" width="10.54296875" bestFit="1" customWidth="1"/>
    <col min="2072" max="2072" width="11" customWidth="1"/>
    <col min="2073" max="2074" width="10.54296875" customWidth="1"/>
    <col min="2075" max="2076" width="8.1796875" customWidth="1"/>
    <col min="2077" max="2087" width="9.453125" customWidth="1"/>
    <col min="2318" max="2318" width="4.453125" customWidth="1"/>
    <col min="2319" max="2319" width="25.81640625" customWidth="1"/>
    <col min="2320" max="2320" width="55" bestFit="1" customWidth="1"/>
    <col min="2321" max="2321" width="42.453125" customWidth="1"/>
    <col min="2322" max="2322" width="11.81640625" customWidth="1"/>
    <col min="2323" max="2323" width="8.1796875" customWidth="1"/>
    <col min="2324" max="2324" width="12" customWidth="1"/>
    <col min="2325" max="2325" width="11.81640625" customWidth="1"/>
    <col min="2326" max="2326" width="12.453125" customWidth="1"/>
    <col min="2327" max="2327" width="10.54296875" bestFit="1" customWidth="1"/>
    <col min="2328" max="2328" width="11" customWidth="1"/>
    <col min="2329" max="2330" width="10.54296875" customWidth="1"/>
    <col min="2331" max="2332" width="8.1796875" customWidth="1"/>
    <col min="2333" max="2343" width="9.453125" customWidth="1"/>
    <col min="2574" max="2574" width="4.453125" customWidth="1"/>
    <col min="2575" max="2575" width="25.81640625" customWidth="1"/>
    <col min="2576" max="2576" width="55" bestFit="1" customWidth="1"/>
    <col min="2577" max="2577" width="42.453125" customWidth="1"/>
    <col min="2578" max="2578" width="11.81640625" customWidth="1"/>
    <col min="2579" max="2579" width="8.1796875" customWidth="1"/>
    <col min="2580" max="2580" width="12" customWidth="1"/>
    <col min="2581" max="2581" width="11.81640625" customWidth="1"/>
    <col min="2582" max="2582" width="12.453125" customWidth="1"/>
    <col min="2583" max="2583" width="10.54296875" bestFit="1" customWidth="1"/>
    <col min="2584" max="2584" width="11" customWidth="1"/>
    <col min="2585" max="2586" width="10.54296875" customWidth="1"/>
    <col min="2587" max="2588" width="8.1796875" customWidth="1"/>
    <col min="2589" max="2599" width="9.453125" customWidth="1"/>
    <col min="2830" max="2830" width="4.453125" customWidth="1"/>
    <col min="2831" max="2831" width="25.81640625" customWidth="1"/>
    <col min="2832" max="2832" width="55" bestFit="1" customWidth="1"/>
    <col min="2833" max="2833" width="42.453125" customWidth="1"/>
    <col min="2834" max="2834" width="11.81640625" customWidth="1"/>
    <col min="2835" max="2835" width="8.1796875" customWidth="1"/>
    <col min="2836" max="2836" width="12" customWidth="1"/>
    <col min="2837" max="2837" width="11.81640625" customWidth="1"/>
    <col min="2838" max="2838" width="12.453125" customWidth="1"/>
    <col min="2839" max="2839" width="10.54296875" bestFit="1" customWidth="1"/>
    <col min="2840" max="2840" width="11" customWidth="1"/>
    <col min="2841" max="2842" width="10.54296875" customWidth="1"/>
    <col min="2843" max="2844" width="8.1796875" customWidth="1"/>
    <col min="2845" max="2855" width="9.453125" customWidth="1"/>
    <col min="3086" max="3086" width="4.453125" customWidth="1"/>
    <col min="3087" max="3087" width="25.81640625" customWidth="1"/>
    <col min="3088" max="3088" width="55" bestFit="1" customWidth="1"/>
    <col min="3089" max="3089" width="42.453125" customWidth="1"/>
    <col min="3090" max="3090" width="11.81640625" customWidth="1"/>
    <col min="3091" max="3091" width="8.1796875" customWidth="1"/>
    <col min="3092" max="3092" width="12" customWidth="1"/>
    <col min="3093" max="3093" width="11.81640625" customWidth="1"/>
    <col min="3094" max="3094" width="12.453125" customWidth="1"/>
    <col min="3095" max="3095" width="10.54296875" bestFit="1" customWidth="1"/>
    <col min="3096" max="3096" width="11" customWidth="1"/>
    <col min="3097" max="3098" width="10.54296875" customWidth="1"/>
    <col min="3099" max="3100" width="8.1796875" customWidth="1"/>
    <col min="3101" max="3111" width="9.453125" customWidth="1"/>
    <col min="3342" max="3342" width="4.453125" customWidth="1"/>
    <col min="3343" max="3343" width="25.81640625" customWidth="1"/>
    <col min="3344" max="3344" width="55" bestFit="1" customWidth="1"/>
    <col min="3345" max="3345" width="42.453125" customWidth="1"/>
    <col min="3346" max="3346" width="11.81640625" customWidth="1"/>
    <col min="3347" max="3347" width="8.1796875" customWidth="1"/>
    <col min="3348" max="3348" width="12" customWidth="1"/>
    <col min="3349" max="3349" width="11.81640625" customWidth="1"/>
    <col min="3350" max="3350" width="12.453125" customWidth="1"/>
    <col min="3351" max="3351" width="10.54296875" bestFit="1" customWidth="1"/>
    <col min="3352" max="3352" width="11" customWidth="1"/>
    <col min="3353" max="3354" width="10.54296875" customWidth="1"/>
    <col min="3355" max="3356" width="8.1796875" customWidth="1"/>
    <col min="3357" max="3367" width="9.453125" customWidth="1"/>
    <col min="3598" max="3598" width="4.453125" customWidth="1"/>
    <col min="3599" max="3599" width="25.81640625" customWidth="1"/>
    <col min="3600" max="3600" width="55" bestFit="1" customWidth="1"/>
    <col min="3601" max="3601" width="42.453125" customWidth="1"/>
    <col min="3602" max="3602" width="11.81640625" customWidth="1"/>
    <col min="3603" max="3603" width="8.1796875" customWidth="1"/>
    <col min="3604" max="3604" width="12" customWidth="1"/>
    <col min="3605" max="3605" width="11.81640625" customWidth="1"/>
    <col min="3606" max="3606" width="12.453125" customWidth="1"/>
    <col min="3607" max="3607" width="10.54296875" bestFit="1" customWidth="1"/>
    <col min="3608" max="3608" width="11" customWidth="1"/>
    <col min="3609" max="3610" width="10.54296875" customWidth="1"/>
    <col min="3611" max="3612" width="8.1796875" customWidth="1"/>
    <col min="3613" max="3623" width="9.453125" customWidth="1"/>
    <col min="3854" max="3854" width="4.453125" customWidth="1"/>
    <col min="3855" max="3855" width="25.81640625" customWidth="1"/>
    <col min="3856" max="3856" width="55" bestFit="1" customWidth="1"/>
    <col min="3857" max="3857" width="42.453125" customWidth="1"/>
    <col min="3858" max="3858" width="11.81640625" customWidth="1"/>
    <col min="3859" max="3859" width="8.1796875" customWidth="1"/>
    <col min="3860" max="3860" width="12" customWidth="1"/>
    <col min="3861" max="3861" width="11.81640625" customWidth="1"/>
    <col min="3862" max="3862" width="12.453125" customWidth="1"/>
    <col min="3863" max="3863" width="10.54296875" bestFit="1" customWidth="1"/>
    <col min="3864" max="3864" width="11" customWidth="1"/>
    <col min="3865" max="3866" width="10.54296875" customWidth="1"/>
    <col min="3867" max="3868" width="8.1796875" customWidth="1"/>
    <col min="3869" max="3879" width="9.453125" customWidth="1"/>
    <col min="4110" max="4110" width="4.453125" customWidth="1"/>
    <col min="4111" max="4111" width="25.81640625" customWidth="1"/>
    <col min="4112" max="4112" width="55" bestFit="1" customWidth="1"/>
    <col min="4113" max="4113" width="42.453125" customWidth="1"/>
    <col min="4114" max="4114" width="11.81640625" customWidth="1"/>
    <col min="4115" max="4115" width="8.1796875" customWidth="1"/>
    <col min="4116" max="4116" width="12" customWidth="1"/>
    <col min="4117" max="4117" width="11.81640625" customWidth="1"/>
    <col min="4118" max="4118" width="12.453125" customWidth="1"/>
    <col min="4119" max="4119" width="10.54296875" bestFit="1" customWidth="1"/>
    <col min="4120" max="4120" width="11" customWidth="1"/>
    <col min="4121" max="4122" width="10.54296875" customWidth="1"/>
    <col min="4123" max="4124" width="8.1796875" customWidth="1"/>
    <col min="4125" max="4135" width="9.453125" customWidth="1"/>
    <col min="4366" max="4366" width="4.453125" customWidth="1"/>
    <col min="4367" max="4367" width="25.81640625" customWidth="1"/>
    <col min="4368" max="4368" width="55" bestFit="1" customWidth="1"/>
    <col min="4369" max="4369" width="42.453125" customWidth="1"/>
    <col min="4370" max="4370" width="11.81640625" customWidth="1"/>
    <col min="4371" max="4371" width="8.1796875" customWidth="1"/>
    <col min="4372" max="4372" width="12" customWidth="1"/>
    <col min="4373" max="4373" width="11.81640625" customWidth="1"/>
    <col min="4374" max="4374" width="12.453125" customWidth="1"/>
    <col min="4375" max="4375" width="10.54296875" bestFit="1" customWidth="1"/>
    <col min="4376" max="4376" width="11" customWidth="1"/>
    <col min="4377" max="4378" width="10.54296875" customWidth="1"/>
    <col min="4379" max="4380" width="8.1796875" customWidth="1"/>
    <col min="4381" max="4391" width="9.453125" customWidth="1"/>
    <col min="4622" max="4622" width="4.453125" customWidth="1"/>
    <col min="4623" max="4623" width="25.81640625" customWidth="1"/>
    <col min="4624" max="4624" width="55" bestFit="1" customWidth="1"/>
    <col min="4625" max="4625" width="42.453125" customWidth="1"/>
    <col min="4626" max="4626" width="11.81640625" customWidth="1"/>
    <col min="4627" max="4627" width="8.1796875" customWidth="1"/>
    <col min="4628" max="4628" width="12" customWidth="1"/>
    <col min="4629" max="4629" width="11.81640625" customWidth="1"/>
    <col min="4630" max="4630" width="12.453125" customWidth="1"/>
    <col min="4631" max="4631" width="10.54296875" bestFit="1" customWidth="1"/>
    <col min="4632" max="4632" width="11" customWidth="1"/>
    <col min="4633" max="4634" width="10.54296875" customWidth="1"/>
    <col min="4635" max="4636" width="8.1796875" customWidth="1"/>
    <col min="4637" max="4647" width="9.453125" customWidth="1"/>
    <col min="4878" max="4878" width="4.453125" customWidth="1"/>
    <col min="4879" max="4879" width="25.81640625" customWidth="1"/>
    <col min="4880" max="4880" width="55" bestFit="1" customWidth="1"/>
    <col min="4881" max="4881" width="42.453125" customWidth="1"/>
    <col min="4882" max="4882" width="11.81640625" customWidth="1"/>
    <col min="4883" max="4883" width="8.1796875" customWidth="1"/>
    <col min="4884" max="4884" width="12" customWidth="1"/>
    <col min="4885" max="4885" width="11.81640625" customWidth="1"/>
    <col min="4886" max="4886" width="12.453125" customWidth="1"/>
    <col min="4887" max="4887" width="10.54296875" bestFit="1" customWidth="1"/>
    <col min="4888" max="4888" width="11" customWidth="1"/>
    <col min="4889" max="4890" width="10.54296875" customWidth="1"/>
    <col min="4891" max="4892" width="8.1796875" customWidth="1"/>
    <col min="4893" max="4903" width="9.453125" customWidth="1"/>
    <col min="5134" max="5134" width="4.453125" customWidth="1"/>
    <col min="5135" max="5135" width="25.81640625" customWidth="1"/>
    <col min="5136" max="5136" width="55" bestFit="1" customWidth="1"/>
    <col min="5137" max="5137" width="42.453125" customWidth="1"/>
    <col min="5138" max="5138" width="11.81640625" customWidth="1"/>
    <col min="5139" max="5139" width="8.1796875" customWidth="1"/>
    <col min="5140" max="5140" width="12" customWidth="1"/>
    <col min="5141" max="5141" width="11.81640625" customWidth="1"/>
    <col min="5142" max="5142" width="12.453125" customWidth="1"/>
    <col min="5143" max="5143" width="10.54296875" bestFit="1" customWidth="1"/>
    <col min="5144" max="5144" width="11" customWidth="1"/>
    <col min="5145" max="5146" width="10.54296875" customWidth="1"/>
    <col min="5147" max="5148" width="8.1796875" customWidth="1"/>
    <col min="5149" max="5159" width="9.453125" customWidth="1"/>
    <col min="5390" max="5390" width="4.453125" customWidth="1"/>
    <col min="5391" max="5391" width="25.81640625" customWidth="1"/>
    <col min="5392" max="5392" width="55" bestFit="1" customWidth="1"/>
    <col min="5393" max="5393" width="42.453125" customWidth="1"/>
    <col min="5394" max="5394" width="11.81640625" customWidth="1"/>
    <col min="5395" max="5395" width="8.1796875" customWidth="1"/>
    <col min="5396" max="5396" width="12" customWidth="1"/>
    <col min="5397" max="5397" width="11.81640625" customWidth="1"/>
    <col min="5398" max="5398" width="12.453125" customWidth="1"/>
    <col min="5399" max="5399" width="10.54296875" bestFit="1" customWidth="1"/>
    <col min="5400" max="5400" width="11" customWidth="1"/>
    <col min="5401" max="5402" width="10.54296875" customWidth="1"/>
    <col min="5403" max="5404" width="8.1796875" customWidth="1"/>
    <col min="5405" max="5415" width="9.453125" customWidth="1"/>
    <col min="5646" max="5646" width="4.453125" customWidth="1"/>
    <col min="5647" max="5647" width="25.81640625" customWidth="1"/>
    <col min="5648" max="5648" width="55" bestFit="1" customWidth="1"/>
    <col min="5649" max="5649" width="42.453125" customWidth="1"/>
    <col min="5650" max="5650" width="11.81640625" customWidth="1"/>
    <col min="5651" max="5651" width="8.1796875" customWidth="1"/>
    <col min="5652" max="5652" width="12" customWidth="1"/>
    <col min="5653" max="5653" width="11.81640625" customWidth="1"/>
    <col min="5654" max="5654" width="12.453125" customWidth="1"/>
    <col min="5655" max="5655" width="10.54296875" bestFit="1" customWidth="1"/>
    <col min="5656" max="5656" width="11" customWidth="1"/>
    <col min="5657" max="5658" width="10.54296875" customWidth="1"/>
    <col min="5659" max="5660" width="8.1796875" customWidth="1"/>
    <col min="5661" max="5671" width="9.453125" customWidth="1"/>
    <col min="5902" max="5902" width="4.453125" customWidth="1"/>
    <col min="5903" max="5903" width="25.81640625" customWidth="1"/>
    <col min="5904" max="5904" width="55" bestFit="1" customWidth="1"/>
    <col min="5905" max="5905" width="42.453125" customWidth="1"/>
    <col min="5906" max="5906" width="11.81640625" customWidth="1"/>
    <col min="5907" max="5907" width="8.1796875" customWidth="1"/>
    <col min="5908" max="5908" width="12" customWidth="1"/>
    <col min="5909" max="5909" width="11.81640625" customWidth="1"/>
    <col min="5910" max="5910" width="12.453125" customWidth="1"/>
    <col min="5911" max="5911" width="10.54296875" bestFit="1" customWidth="1"/>
    <col min="5912" max="5912" width="11" customWidth="1"/>
    <col min="5913" max="5914" width="10.54296875" customWidth="1"/>
    <col min="5915" max="5916" width="8.1796875" customWidth="1"/>
    <col min="5917" max="5927" width="9.453125" customWidth="1"/>
    <col min="6158" max="6158" width="4.453125" customWidth="1"/>
    <col min="6159" max="6159" width="25.81640625" customWidth="1"/>
    <col min="6160" max="6160" width="55" bestFit="1" customWidth="1"/>
    <col min="6161" max="6161" width="42.453125" customWidth="1"/>
    <col min="6162" max="6162" width="11.81640625" customWidth="1"/>
    <col min="6163" max="6163" width="8.1796875" customWidth="1"/>
    <col min="6164" max="6164" width="12" customWidth="1"/>
    <col min="6165" max="6165" width="11.81640625" customWidth="1"/>
    <col min="6166" max="6166" width="12.453125" customWidth="1"/>
    <col min="6167" max="6167" width="10.54296875" bestFit="1" customWidth="1"/>
    <col min="6168" max="6168" width="11" customWidth="1"/>
    <col min="6169" max="6170" width="10.54296875" customWidth="1"/>
    <col min="6171" max="6172" width="8.1796875" customWidth="1"/>
    <col min="6173" max="6183" width="9.453125" customWidth="1"/>
    <col min="6414" max="6414" width="4.453125" customWidth="1"/>
    <col min="6415" max="6415" width="25.81640625" customWidth="1"/>
    <col min="6416" max="6416" width="55" bestFit="1" customWidth="1"/>
    <col min="6417" max="6417" width="42.453125" customWidth="1"/>
    <col min="6418" max="6418" width="11.81640625" customWidth="1"/>
    <col min="6419" max="6419" width="8.1796875" customWidth="1"/>
    <col min="6420" max="6420" width="12" customWidth="1"/>
    <col min="6421" max="6421" width="11.81640625" customWidth="1"/>
    <col min="6422" max="6422" width="12.453125" customWidth="1"/>
    <col min="6423" max="6423" width="10.54296875" bestFit="1" customWidth="1"/>
    <col min="6424" max="6424" width="11" customWidth="1"/>
    <col min="6425" max="6426" width="10.54296875" customWidth="1"/>
    <col min="6427" max="6428" width="8.1796875" customWidth="1"/>
    <col min="6429" max="6439" width="9.453125" customWidth="1"/>
    <col min="6670" max="6670" width="4.453125" customWidth="1"/>
    <col min="6671" max="6671" width="25.81640625" customWidth="1"/>
    <col min="6672" max="6672" width="55" bestFit="1" customWidth="1"/>
    <col min="6673" max="6673" width="42.453125" customWidth="1"/>
    <col min="6674" max="6674" width="11.81640625" customWidth="1"/>
    <col min="6675" max="6675" width="8.1796875" customWidth="1"/>
    <col min="6676" max="6676" width="12" customWidth="1"/>
    <col min="6677" max="6677" width="11.81640625" customWidth="1"/>
    <col min="6678" max="6678" width="12.453125" customWidth="1"/>
    <col min="6679" max="6679" width="10.54296875" bestFit="1" customWidth="1"/>
    <col min="6680" max="6680" width="11" customWidth="1"/>
    <col min="6681" max="6682" width="10.54296875" customWidth="1"/>
    <col min="6683" max="6684" width="8.1796875" customWidth="1"/>
    <col min="6685" max="6695" width="9.453125" customWidth="1"/>
    <col min="6926" max="6926" width="4.453125" customWidth="1"/>
    <col min="6927" max="6927" width="25.81640625" customWidth="1"/>
    <col min="6928" max="6928" width="55" bestFit="1" customWidth="1"/>
    <col min="6929" max="6929" width="42.453125" customWidth="1"/>
    <col min="6930" max="6930" width="11.81640625" customWidth="1"/>
    <col min="6931" max="6931" width="8.1796875" customWidth="1"/>
    <col min="6932" max="6932" width="12" customWidth="1"/>
    <col min="6933" max="6933" width="11.81640625" customWidth="1"/>
    <col min="6934" max="6934" width="12.453125" customWidth="1"/>
    <col min="6935" max="6935" width="10.54296875" bestFit="1" customWidth="1"/>
    <col min="6936" max="6936" width="11" customWidth="1"/>
    <col min="6937" max="6938" width="10.54296875" customWidth="1"/>
    <col min="6939" max="6940" width="8.1796875" customWidth="1"/>
    <col min="6941" max="6951" width="9.453125" customWidth="1"/>
    <col min="7182" max="7182" width="4.453125" customWidth="1"/>
    <col min="7183" max="7183" width="25.81640625" customWidth="1"/>
    <col min="7184" max="7184" width="55" bestFit="1" customWidth="1"/>
    <col min="7185" max="7185" width="42.453125" customWidth="1"/>
    <col min="7186" max="7186" width="11.81640625" customWidth="1"/>
    <col min="7187" max="7187" width="8.1796875" customWidth="1"/>
    <col min="7188" max="7188" width="12" customWidth="1"/>
    <col min="7189" max="7189" width="11.81640625" customWidth="1"/>
    <col min="7190" max="7190" width="12.453125" customWidth="1"/>
    <col min="7191" max="7191" width="10.54296875" bestFit="1" customWidth="1"/>
    <col min="7192" max="7192" width="11" customWidth="1"/>
    <col min="7193" max="7194" width="10.54296875" customWidth="1"/>
    <col min="7195" max="7196" width="8.1796875" customWidth="1"/>
    <col min="7197" max="7207" width="9.453125" customWidth="1"/>
    <col min="7438" max="7438" width="4.453125" customWidth="1"/>
    <col min="7439" max="7439" width="25.81640625" customWidth="1"/>
    <col min="7440" max="7440" width="55" bestFit="1" customWidth="1"/>
    <col min="7441" max="7441" width="42.453125" customWidth="1"/>
    <col min="7442" max="7442" width="11.81640625" customWidth="1"/>
    <col min="7443" max="7443" width="8.1796875" customWidth="1"/>
    <col min="7444" max="7444" width="12" customWidth="1"/>
    <col min="7445" max="7445" width="11.81640625" customWidth="1"/>
    <col min="7446" max="7446" width="12.453125" customWidth="1"/>
    <col min="7447" max="7447" width="10.54296875" bestFit="1" customWidth="1"/>
    <col min="7448" max="7448" width="11" customWidth="1"/>
    <col min="7449" max="7450" width="10.54296875" customWidth="1"/>
    <col min="7451" max="7452" width="8.1796875" customWidth="1"/>
    <col min="7453" max="7463" width="9.453125" customWidth="1"/>
    <col min="7694" max="7694" width="4.453125" customWidth="1"/>
    <col min="7695" max="7695" width="25.81640625" customWidth="1"/>
    <col min="7696" max="7696" width="55" bestFit="1" customWidth="1"/>
    <col min="7697" max="7697" width="42.453125" customWidth="1"/>
    <col min="7698" max="7698" width="11.81640625" customWidth="1"/>
    <col min="7699" max="7699" width="8.1796875" customWidth="1"/>
    <col min="7700" max="7700" width="12" customWidth="1"/>
    <col min="7701" max="7701" width="11.81640625" customWidth="1"/>
    <col min="7702" max="7702" width="12.453125" customWidth="1"/>
    <col min="7703" max="7703" width="10.54296875" bestFit="1" customWidth="1"/>
    <col min="7704" max="7704" width="11" customWidth="1"/>
    <col min="7705" max="7706" width="10.54296875" customWidth="1"/>
    <col min="7707" max="7708" width="8.1796875" customWidth="1"/>
    <col min="7709" max="7719" width="9.453125" customWidth="1"/>
    <col min="7950" max="7950" width="4.453125" customWidth="1"/>
    <col min="7951" max="7951" width="25.81640625" customWidth="1"/>
    <col min="7952" max="7952" width="55" bestFit="1" customWidth="1"/>
    <col min="7953" max="7953" width="42.453125" customWidth="1"/>
    <col min="7954" max="7954" width="11.81640625" customWidth="1"/>
    <col min="7955" max="7955" width="8.1796875" customWidth="1"/>
    <col min="7956" max="7956" width="12" customWidth="1"/>
    <col min="7957" max="7957" width="11.81640625" customWidth="1"/>
    <col min="7958" max="7958" width="12.453125" customWidth="1"/>
    <col min="7959" max="7959" width="10.54296875" bestFit="1" customWidth="1"/>
    <col min="7960" max="7960" width="11" customWidth="1"/>
    <col min="7961" max="7962" width="10.54296875" customWidth="1"/>
    <col min="7963" max="7964" width="8.1796875" customWidth="1"/>
    <col min="7965" max="7975" width="9.453125" customWidth="1"/>
    <col min="8206" max="8206" width="4.453125" customWidth="1"/>
    <col min="8207" max="8207" width="25.81640625" customWidth="1"/>
    <col min="8208" max="8208" width="55" bestFit="1" customWidth="1"/>
    <col min="8209" max="8209" width="42.453125" customWidth="1"/>
    <col min="8210" max="8210" width="11.81640625" customWidth="1"/>
    <col min="8211" max="8211" width="8.1796875" customWidth="1"/>
    <col min="8212" max="8212" width="12" customWidth="1"/>
    <col min="8213" max="8213" width="11.81640625" customWidth="1"/>
    <col min="8214" max="8214" width="12.453125" customWidth="1"/>
    <col min="8215" max="8215" width="10.54296875" bestFit="1" customWidth="1"/>
    <col min="8216" max="8216" width="11" customWidth="1"/>
    <col min="8217" max="8218" width="10.54296875" customWidth="1"/>
    <col min="8219" max="8220" width="8.1796875" customWidth="1"/>
    <col min="8221" max="8231" width="9.453125" customWidth="1"/>
    <col min="8462" max="8462" width="4.453125" customWidth="1"/>
    <col min="8463" max="8463" width="25.81640625" customWidth="1"/>
    <col min="8464" max="8464" width="55" bestFit="1" customWidth="1"/>
    <col min="8465" max="8465" width="42.453125" customWidth="1"/>
    <col min="8466" max="8466" width="11.81640625" customWidth="1"/>
    <col min="8467" max="8467" width="8.1796875" customWidth="1"/>
    <col min="8468" max="8468" width="12" customWidth="1"/>
    <col min="8469" max="8469" width="11.81640625" customWidth="1"/>
    <col min="8470" max="8470" width="12.453125" customWidth="1"/>
    <col min="8471" max="8471" width="10.54296875" bestFit="1" customWidth="1"/>
    <col min="8472" max="8472" width="11" customWidth="1"/>
    <col min="8473" max="8474" width="10.54296875" customWidth="1"/>
    <col min="8475" max="8476" width="8.1796875" customWidth="1"/>
    <col min="8477" max="8487" width="9.453125" customWidth="1"/>
    <col min="8718" max="8718" width="4.453125" customWidth="1"/>
    <col min="8719" max="8719" width="25.81640625" customWidth="1"/>
    <col min="8720" max="8720" width="55" bestFit="1" customWidth="1"/>
    <col min="8721" max="8721" width="42.453125" customWidth="1"/>
    <col min="8722" max="8722" width="11.81640625" customWidth="1"/>
    <col min="8723" max="8723" width="8.1796875" customWidth="1"/>
    <col min="8724" max="8724" width="12" customWidth="1"/>
    <col min="8725" max="8725" width="11.81640625" customWidth="1"/>
    <col min="8726" max="8726" width="12.453125" customWidth="1"/>
    <col min="8727" max="8727" width="10.54296875" bestFit="1" customWidth="1"/>
    <col min="8728" max="8728" width="11" customWidth="1"/>
    <col min="8729" max="8730" width="10.54296875" customWidth="1"/>
    <col min="8731" max="8732" width="8.1796875" customWidth="1"/>
    <col min="8733" max="8743" width="9.453125" customWidth="1"/>
    <col min="8974" max="8974" width="4.453125" customWidth="1"/>
    <col min="8975" max="8975" width="25.81640625" customWidth="1"/>
    <col min="8976" max="8976" width="55" bestFit="1" customWidth="1"/>
    <col min="8977" max="8977" width="42.453125" customWidth="1"/>
    <col min="8978" max="8978" width="11.81640625" customWidth="1"/>
    <col min="8979" max="8979" width="8.1796875" customWidth="1"/>
    <col min="8980" max="8980" width="12" customWidth="1"/>
    <col min="8981" max="8981" width="11.81640625" customWidth="1"/>
    <col min="8982" max="8982" width="12.453125" customWidth="1"/>
    <col min="8983" max="8983" width="10.54296875" bestFit="1" customWidth="1"/>
    <col min="8984" max="8984" width="11" customWidth="1"/>
    <col min="8985" max="8986" width="10.54296875" customWidth="1"/>
    <col min="8987" max="8988" width="8.1796875" customWidth="1"/>
    <col min="8989" max="8999" width="9.453125" customWidth="1"/>
    <col min="9230" max="9230" width="4.453125" customWidth="1"/>
    <col min="9231" max="9231" width="25.81640625" customWidth="1"/>
    <col min="9232" max="9232" width="55" bestFit="1" customWidth="1"/>
    <col min="9233" max="9233" width="42.453125" customWidth="1"/>
    <col min="9234" max="9234" width="11.81640625" customWidth="1"/>
    <col min="9235" max="9235" width="8.1796875" customWidth="1"/>
    <col min="9236" max="9236" width="12" customWidth="1"/>
    <col min="9237" max="9237" width="11.81640625" customWidth="1"/>
    <col min="9238" max="9238" width="12.453125" customWidth="1"/>
    <col min="9239" max="9239" width="10.54296875" bestFit="1" customWidth="1"/>
    <col min="9240" max="9240" width="11" customWidth="1"/>
    <col min="9241" max="9242" width="10.54296875" customWidth="1"/>
    <col min="9243" max="9244" width="8.1796875" customWidth="1"/>
    <col min="9245" max="9255" width="9.453125" customWidth="1"/>
    <col min="9486" max="9486" width="4.453125" customWidth="1"/>
    <col min="9487" max="9487" width="25.81640625" customWidth="1"/>
    <col min="9488" max="9488" width="55" bestFit="1" customWidth="1"/>
    <col min="9489" max="9489" width="42.453125" customWidth="1"/>
    <col min="9490" max="9490" width="11.81640625" customWidth="1"/>
    <col min="9491" max="9491" width="8.1796875" customWidth="1"/>
    <col min="9492" max="9492" width="12" customWidth="1"/>
    <col min="9493" max="9493" width="11.81640625" customWidth="1"/>
    <col min="9494" max="9494" width="12.453125" customWidth="1"/>
    <col min="9495" max="9495" width="10.54296875" bestFit="1" customWidth="1"/>
    <col min="9496" max="9496" width="11" customWidth="1"/>
    <col min="9497" max="9498" width="10.54296875" customWidth="1"/>
    <col min="9499" max="9500" width="8.1796875" customWidth="1"/>
    <col min="9501" max="9511" width="9.453125" customWidth="1"/>
    <col min="9742" max="9742" width="4.453125" customWidth="1"/>
    <col min="9743" max="9743" width="25.81640625" customWidth="1"/>
    <col min="9744" max="9744" width="55" bestFit="1" customWidth="1"/>
    <col min="9745" max="9745" width="42.453125" customWidth="1"/>
    <col min="9746" max="9746" width="11.81640625" customWidth="1"/>
    <col min="9747" max="9747" width="8.1796875" customWidth="1"/>
    <col min="9748" max="9748" width="12" customWidth="1"/>
    <col min="9749" max="9749" width="11.81640625" customWidth="1"/>
    <col min="9750" max="9750" width="12.453125" customWidth="1"/>
    <col min="9751" max="9751" width="10.54296875" bestFit="1" customWidth="1"/>
    <col min="9752" max="9752" width="11" customWidth="1"/>
    <col min="9753" max="9754" width="10.54296875" customWidth="1"/>
    <col min="9755" max="9756" width="8.1796875" customWidth="1"/>
    <col min="9757" max="9767" width="9.453125" customWidth="1"/>
    <col min="9998" max="9998" width="4.453125" customWidth="1"/>
    <col min="9999" max="9999" width="25.81640625" customWidth="1"/>
    <col min="10000" max="10000" width="55" bestFit="1" customWidth="1"/>
    <col min="10001" max="10001" width="42.453125" customWidth="1"/>
    <col min="10002" max="10002" width="11.81640625" customWidth="1"/>
    <col min="10003" max="10003" width="8.1796875" customWidth="1"/>
    <col min="10004" max="10004" width="12" customWidth="1"/>
    <col min="10005" max="10005" width="11.81640625" customWidth="1"/>
    <col min="10006" max="10006" width="12.453125" customWidth="1"/>
    <col min="10007" max="10007" width="10.54296875" bestFit="1" customWidth="1"/>
    <col min="10008" max="10008" width="11" customWidth="1"/>
    <col min="10009" max="10010" width="10.54296875" customWidth="1"/>
    <col min="10011" max="10012" width="8.1796875" customWidth="1"/>
    <col min="10013" max="10023" width="9.453125" customWidth="1"/>
    <col min="10254" max="10254" width="4.453125" customWidth="1"/>
    <col min="10255" max="10255" width="25.81640625" customWidth="1"/>
    <col min="10256" max="10256" width="55" bestFit="1" customWidth="1"/>
    <col min="10257" max="10257" width="42.453125" customWidth="1"/>
    <col min="10258" max="10258" width="11.81640625" customWidth="1"/>
    <col min="10259" max="10259" width="8.1796875" customWidth="1"/>
    <col min="10260" max="10260" width="12" customWidth="1"/>
    <col min="10261" max="10261" width="11.81640625" customWidth="1"/>
    <col min="10262" max="10262" width="12.453125" customWidth="1"/>
    <col min="10263" max="10263" width="10.54296875" bestFit="1" customWidth="1"/>
    <col min="10264" max="10264" width="11" customWidth="1"/>
    <col min="10265" max="10266" width="10.54296875" customWidth="1"/>
    <col min="10267" max="10268" width="8.1796875" customWidth="1"/>
    <col min="10269" max="10279" width="9.453125" customWidth="1"/>
    <col min="10510" max="10510" width="4.453125" customWidth="1"/>
    <col min="10511" max="10511" width="25.81640625" customWidth="1"/>
    <col min="10512" max="10512" width="55" bestFit="1" customWidth="1"/>
    <col min="10513" max="10513" width="42.453125" customWidth="1"/>
    <col min="10514" max="10514" width="11.81640625" customWidth="1"/>
    <col min="10515" max="10515" width="8.1796875" customWidth="1"/>
    <col min="10516" max="10516" width="12" customWidth="1"/>
    <col min="10517" max="10517" width="11.81640625" customWidth="1"/>
    <col min="10518" max="10518" width="12.453125" customWidth="1"/>
    <col min="10519" max="10519" width="10.54296875" bestFit="1" customWidth="1"/>
    <col min="10520" max="10520" width="11" customWidth="1"/>
    <col min="10521" max="10522" width="10.54296875" customWidth="1"/>
    <col min="10523" max="10524" width="8.1796875" customWidth="1"/>
    <col min="10525" max="10535" width="9.453125" customWidth="1"/>
    <col min="10766" max="10766" width="4.453125" customWidth="1"/>
    <col min="10767" max="10767" width="25.81640625" customWidth="1"/>
    <col min="10768" max="10768" width="55" bestFit="1" customWidth="1"/>
    <col min="10769" max="10769" width="42.453125" customWidth="1"/>
    <col min="10770" max="10770" width="11.81640625" customWidth="1"/>
    <col min="10771" max="10771" width="8.1796875" customWidth="1"/>
    <col min="10772" max="10772" width="12" customWidth="1"/>
    <col min="10773" max="10773" width="11.81640625" customWidth="1"/>
    <col min="10774" max="10774" width="12.453125" customWidth="1"/>
    <col min="10775" max="10775" width="10.54296875" bestFit="1" customWidth="1"/>
    <col min="10776" max="10776" width="11" customWidth="1"/>
    <col min="10777" max="10778" width="10.54296875" customWidth="1"/>
    <col min="10779" max="10780" width="8.1796875" customWidth="1"/>
    <col min="10781" max="10791" width="9.453125" customWidth="1"/>
    <col min="11022" max="11022" width="4.453125" customWidth="1"/>
    <col min="11023" max="11023" width="25.81640625" customWidth="1"/>
    <col min="11024" max="11024" width="55" bestFit="1" customWidth="1"/>
    <col min="11025" max="11025" width="42.453125" customWidth="1"/>
    <col min="11026" max="11026" width="11.81640625" customWidth="1"/>
    <col min="11027" max="11027" width="8.1796875" customWidth="1"/>
    <col min="11028" max="11028" width="12" customWidth="1"/>
    <col min="11029" max="11029" width="11.81640625" customWidth="1"/>
    <col min="11030" max="11030" width="12.453125" customWidth="1"/>
    <col min="11031" max="11031" width="10.54296875" bestFit="1" customWidth="1"/>
    <col min="11032" max="11032" width="11" customWidth="1"/>
    <col min="11033" max="11034" width="10.54296875" customWidth="1"/>
    <col min="11035" max="11036" width="8.1796875" customWidth="1"/>
    <col min="11037" max="11047" width="9.453125" customWidth="1"/>
    <col min="11278" max="11278" width="4.453125" customWidth="1"/>
    <col min="11279" max="11279" width="25.81640625" customWidth="1"/>
    <col min="11280" max="11280" width="55" bestFit="1" customWidth="1"/>
    <col min="11281" max="11281" width="42.453125" customWidth="1"/>
    <col min="11282" max="11282" width="11.81640625" customWidth="1"/>
    <col min="11283" max="11283" width="8.1796875" customWidth="1"/>
    <col min="11284" max="11284" width="12" customWidth="1"/>
    <col min="11285" max="11285" width="11.81640625" customWidth="1"/>
    <col min="11286" max="11286" width="12.453125" customWidth="1"/>
    <col min="11287" max="11287" width="10.54296875" bestFit="1" customWidth="1"/>
    <col min="11288" max="11288" width="11" customWidth="1"/>
    <col min="11289" max="11290" width="10.54296875" customWidth="1"/>
    <col min="11291" max="11292" width="8.1796875" customWidth="1"/>
    <col min="11293" max="11303" width="9.453125" customWidth="1"/>
    <col min="11534" max="11534" width="4.453125" customWidth="1"/>
    <col min="11535" max="11535" width="25.81640625" customWidth="1"/>
    <col min="11536" max="11536" width="55" bestFit="1" customWidth="1"/>
    <col min="11537" max="11537" width="42.453125" customWidth="1"/>
    <col min="11538" max="11538" width="11.81640625" customWidth="1"/>
    <col min="11539" max="11539" width="8.1796875" customWidth="1"/>
    <col min="11540" max="11540" width="12" customWidth="1"/>
    <col min="11541" max="11541" width="11.81640625" customWidth="1"/>
    <col min="11542" max="11542" width="12.453125" customWidth="1"/>
    <col min="11543" max="11543" width="10.54296875" bestFit="1" customWidth="1"/>
    <col min="11544" max="11544" width="11" customWidth="1"/>
    <col min="11545" max="11546" width="10.54296875" customWidth="1"/>
    <col min="11547" max="11548" width="8.1796875" customWidth="1"/>
    <col min="11549" max="11559" width="9.453125" customWidth="1"/>
    <col min="11790" max="11790" width="4.453125" customWidth="1"/>
    <col min="11791" max="11791" width="25.81640625" customWidth="1"/>
    <col min="11792" max="11792" width="55" bestFit="1" customWidth="1"/>
    <col min="11793" max="11793" width="42.453125" customWidth="1"/>
    <col min="11794" max="11794" width="11.81640625" customWidth="1"/>
    <col min="11795" max="11795" width="8.1796875" customWidth="1"/>
    <col min="11796" max="11796" width="12" customWidth="1"/>
    <col min="11797" max="11797" width="11.81640625" customWidth="1"/>
    <col min="11798" max="11798" width="12.453125" customWidth="1"/>
    <col min="11799" max="11799" width="10.54296875" bestFit="1" customWidth="1"/>
    <col min="11800" max="11800" width="11" customWidth="1"/>
    <col min="11801" max="11802" width="10.54296875" customWidth="1"/>
    <col min="11803" max="11804" width="8.1796875" customWidth="1"/>
    <col min="11805" max="11815" width="9.453125" customWidth="1"/>
    <col min="12046" max="12046" width="4.453125" customWidth="1"/>
    <col min="12047" max="12047" width="25.81640625" customWidth="1"/>
    <col min="12048" max="12048" width="55" bestFit="1" customWidth="1"/>
    <col min="12049" max="12049" width="42.453125" customWidth="1"/>
    <col min="12050" max="12050" width="11.81640625" customWidth="1"/>
    <col min="12051" max="12051" width="8.1796875" customWidth="1"/>
    <col min="12052" max="12052" width="12" customWidth="1"/>
    <col min="12053" max="12053" width="11.81640625" customWidth="1"/>
    <col min="12054" max="12054" width="12.453125" customWidth="1"/>
    <col min="12055" max="12055" width="10.54296875" bestFit="1" customWidth="1"/>
    <col min="12056" max="12056" width="11" customWidth="1"/>
    <col min="12057" max="12058" width="10.54296875" customWidth="1"/>
    <col min="12059" max="12060" width="8.1796875" customWidth="1"/>
    <col min="12061" max="12071" width="9.453125" customWidth="1"/>
    <col min="12302" max="12302" width="4.453125" customWidth="1"/>
    <col min="12303" max="12303" width="25.81640625" customWidth="1"/>
    <col min="12304" max="12304" width="55" bestFit="1" customWidth="1"/>
    <col min="12305" max="12305" width="42.453125" customWidth="1"/>
    <col min="12306" max="12306" width="11.81640625" customWidth="1"/>
    <col min="12307" max="12307" width="8.1796875" customWidth="1"/>
    <col min="12308" max="12308" width="12" customWidth="1"/>
    <col min="12309" max="12309" width="11.81640625" customWidth="1"/>
    <col min="12310" max="12310" width="12.453125" customWidth="1"/>
    <col min="12311" max="12311" width="10.54296875" bestFit="1" customWidth="1"/>
    <col min="12312" max="12312" width="11" customWidth="1"/>
    <col min="12313" max="12314" width="10.54296875" customWidth="1"/>
    <col min="12315" max="12316" width="8.1796875" customWidth="1"/>
    <col min="12317" max="12327" width="9.453125" customWidth="1"/>
    <col min="12558" max="12558" width="4.453125" customWidth="1"/>
    <col min="12559" max="12559" width="25.81640625" customWidth="1"/>
    <col min="12560" max="12560" width="55" bestFit="1" customWidth="1"/>
    <col min="12561" max="12561" width="42.453125" customWidth="1"/>
    <col min="12562" max="12562" width="11.81640625" customWidth="1"/>
    <col min="12563" max="12563" width="8.1796875" customWidth="1"/>
    <col min="12564" max="12564" width="12" customWidth="1"/>
    <col min="12565" max="12565" width="11.81640625" customWidth="1"/>
    <col min="12566" max="12566" width="12.453125" customWidth="1"/>
    <col min="12567" max="12567" width="10.54296875" bestFit="1" customWidth="1"/>
    <col min="12568" max="12568" width="11" customWidth="1"/>
    <col min="12569" max="12570" width="10.54296875" customWidth="1"/>
    <col min="12571" max="12572" width="8.1796875" customWidth="1"/>
    <col min="12573" max="12583" width="9.453125" customWidth="1"/>
    <col min="12814" max="12814" width="4.453125" customWidth="1"/>
    <col min="12815" max="12815" width="25.81640625" customWidth="1"/>
    <col min="12816" max="12816" width="55" bestFit="1" customWidth="1"/>
    <col min="12817" max="12817" width="42.453125" customWidth="1"/>
    <col min="12818" max="12818" width="11.81640625" customWidth="1"/>
    <col min="12819" max="12819" width="8.1796875" customWidth="1"/>
    <col min="12820" max="12820" width="12" customWidth="1"/>
    <col min="12821" max="12821" width="11.81640625" customWidth="1"/>
    <col min="12822" max="12822" width="12.453125" customWidth="1"/>
    <col min="12823" max="12823" width="10.54296875" bestFit="1" customWidth="1"/>
    <col min="12824" max="12824" width="11" customWidth="1"/>
    <col min="12825" max="12826" width="10.54296875" customWidth="1"/>
    <col min="12827" max="12828" width="8.1796875" customWidth="1"/>
    <col min="12829" max="12839" width="9.453125" customWidth="1"/>
    <col min="13070" max="13070" width="4.453125" customWidth="1"/>
    <col min="13071" max="13071" width="25.81640625" customWidth="1"/>
    <col min="13072" max="13072" width="55" bestFit="1" customWidth="1"/>
    <col min="13073" max="13073" width="42.453125" customWidth="1"/>
    <col min="13074" max="13074" width="11.81640625" customWidth="1"/>
    <col min="13075" max="13075" width="8.1796875" customWidth="1"/>
    <col min="13076" max="13076" width="12" customWidth="1"/>
    <col min="13077" max="13077" width="11.81640625" customWidth="1"/>
    <col min="13078" max="13078" width="12.453125" customWidth="1"/>
    <col min="13079" max="13079" width="10.54296875" bestFit="1" customWidth="1"/>
    <col min="13080" max="13080" width="11" customWidth="1"/>
    <col min="13081" max="13082" width="10.54296875" customWidth="1"/>
    <col min="13083" max="13084" width="8.1796875" customWidth="1"/>
    <col min="13085" max="13095" width="9.453125" customWidth="1"/>
    <col min="13326" max="13326" width="4.453125" customWidth="1"/>
    <col min="13327" max="13327" width="25.81640625" customWidth="1"/>
    <col min="13328" max="13328" width="55" bestFit="1" customWidth="1"/>
    <col min="13329" max="13329" width="42.453125" customWidth="1"/>
    <col min="13330" max="13330" width="11.81640625" customWidth="1"/>
    <col min="13331" max="13331" width="8.1796875" customWidth="1"/>
    <col min="13332" max="13332" width="12" customWidth="1"/>
    <col min="13333" max="13333" width="11.81640625" customWidth="1"/>
    <col min="13334" max="13334" width="12.453125" customWidth="1"/>
    <col min="13335" max="13335" width="10.54296875" bestFit="1" customWidth="1"/>
    <col min="13336" max="13336" width="11" customWidth="1"/>
    <col min="13337" max="13338" width="10.54296875" customWidth="1"/>
    <col min="13339" max="13340" width="8.1796875" customWidth="1"/>
    <col min="13341" max="13351" width="9.453125" customWidth="1"/>
    <col min="13582" max="13582" width="4.453125" customWidth="1"/>
    <col min="13583" max="13583" width="25.81640625" customWidth="1"/>
    <col min="13584" max="13584" width="55" bestFit="1" customWidth="1"/>
    <col min="13585" max="13585" width="42.453125" customWidth="1"/>
    <col min="13586" max="13586" width="11.81640625" customWidth="1"/>
    <col min="13587" max="13587" width="8.1796875" customWidth="1"/>
    <col min="13588" max="13588" width="12" customWidth="1"/>
    <col min="13589" max="13589" width="11.81640625" customWidth="1"/>
    <col min="13590" max="13590" width="12.453125" customWidth="1"/>
    <col min="13591" max="13591" width="10.54296875" bestFit="1" customWidth="1"/>
    <col min="13592" max="13592" width="11" customWidth="1"/>
    <col min="13593" max="13594" width="10.54296875" customWidth="1"/>
    <col min="13595" max="13596" width="8.1796875" customWidth="1"/>
    <col min="13597" max="13607" width="9.453125" customWidth="1"/>
    <col min="13838" max="13838" width="4.453125" customWidth="1"/>
    <col min="13839" max="13839" width="25.81640625" customWidth="1"/>
    <col min="13840" max="13840" width="55" bestFit="1" customWidth="1"/>
    <col min="13841" max="13841" width="42.453125" customWidth="1"/>
    <col min="13842" max="13842" width="11.81640625" customWidth="1"/>
    <col min="13843" max="13843" width="8.1796875" customWidth="1"/>
    <col min="13844" max="13844" width="12" customWidth="1"/>
    <col min="13845" max="13845" width="11.81640625" customWidth="1"/>
    <col min="13846" max="13846" width="12.453125" customWidth="1"/>
    <col min="13847" max="13847" width="10.54296875" bestFit="1" customWidth="1"/>
    <col min="13848" max="13848" width="11" customWidth="1"/>
    <col min="13849" max="13850" width="10.54296875" customWidth="1"/>
    <col min="13851" max="13852" width="8.1796875" customWidth="1"/>
    <col min="13853" max="13863" width="9.453125" customWidth="1"/>
    <col min="14094" max="14094" width="4.453125" customWidth="1"/>
    <col min="14095" max="14095" width="25.81640625" customWidth="1"/>
    <col min="14096" max="14096" width="55" bestFit="1" customWidth="1"/>
    <col min="14097" max="14097" width="42.453125" customWidth="1"/>
    <col min="14098" max="14098" width="11.81640625" customWidth="1"/>
    <col min="14099" max="14099" width="8.1796875" customWidth="1"/>
    <col min="14100" max="14100" width="12" customWidth="1"/>
    <col min="14101" max="14101" width="11.81640625" customWidth="1"/>
    <col min="14102" max="14102" width="12.453125" customWidth="1"/>
    <col min="14103" max="14103" width="10.54296875" bestFit="1" customWidth="1"/>
    <col min="14104" max="14104" width="11" customWidth="1"/>
    <col min="14105" max="14106" width="10.54296875" customWidth="1"/>
    <col min="14107" max="14108" width="8.1796875" customWidth="1"/>
    <col min="14109" max="14119" width="9.453125" customWidth="1"/>
    <col min="14350" max="14350" width="4.453125" customWidth="1"/>
    <col min="14351" max="14351" width="25.81640625" customWidth="1"/>
    <col min="14352" max="14352" width="55" bestFit="1" customWidth="1"/>
    <col min="14353" max="14353" width="42.453125" customWidth="1"/>
    <col min="14354" max="14354" width="11.81640625" customWidth="1"/>
    <col min="14355" max="14355" width="8.1796875" customWidth="1"/>
    <col min="14356" max="14356" width="12" customWidth="1"/>
    <col min="14357" max="14357" width="11.81640625" customWidth="1"/>
    <col min="14358" max="14358" width="12.453125" customWidth="1"/>
    <col min="14359" max="14359" width="10.54296875" bestFit="1" customWidth="1"/>
    <col min="14360" max="14360" width="11" customWidth="1"/>
    <col min="14361" max="14362" width="10.54296875" customWidth="1"/>
    <col min="14363" max="14364" width="8.1796875" customWidth="1"/>
    <col min="14365" max="14375" width="9.453125" customWidth="1"/>
    <col min="14606" max="14606" width="4.453125" customWidth="1"/>
    <col min="14607" max="14607" width="25.81640625" customWidth="1"/>
    <col min="14608" max="14608" width="55" bestFit="1" customWidth="1"/>
    <col min="14609" max="14609" width="42.453125" customWidth="1"/>
    <col min="14610" max="14610" width="11.81640625" customWidth="1"/>
    <col min="14611" max="14611" width="8.1796875" customWidth="1"/>
    <col min="14612" max="14612" width="12" customWidth="1"/>
    <col min="14613" max="14613" width="11.81640625" customWidth="1"/>
    <col min="14614" max="14614" width="12.453125" customWidth="1"/>
    <col min="14615" max="14615" width="10.54296875" bestFit="1" customWidth="1"/>
    <col min="14616" max="14616" width="11" customWidth="1"/>
    <col min="14617" max="14618" width="10.54296875" customWidth="1"/>
    <col min="14619" max="14620" width="8.1796875" customWidth="1"/>
    <col min="14621" max="14631" width="9.453125" customWidth="1"/>
    <col min="14862" max="14862" width="4.453125" customWidth="1"/>
    <col min="14863" max="14863" width="25.81640625" customWidth="1"/>
    <col min="14864" max="14864" width="55" bestFit="1" customWidth="1"/>
    <col min="14865" max="14865" width="42.453125" customWidth="1"/>
    <col min="14866" max="14866" width="11.81640625" customWidth="1"/>
    <col min="14867" max="14867" width="8.1796875" customWidth="1"/>
    <col min="14868" max="14868" width="12" customWidth="1"/>
    <col min="14869" max="14869" width="11.81640625" customWidth="1"/>
    <col min="14870" max="14870" width="12.453125" customWidth="1"/>
    <col min="14871" max="14871" width="10.54296875" bestFit="1" customWidth="1"/>
    <col min="14872" max="14872" width="11" customWidth="1"/>
    <col min="14873" max="14874" width="10.54296875" customWidth="1"/>
    <col min="14875" max="14876" width="8.1796875" customWidth="1"/>
    <col min="14877" max="14887" width="9.453125" customWidth="1"/>
    <col min="15118" max="15118" width="4.453125" customWidth="1"/>
    <col min="15119" max="15119" width="25.81640625" customWidth="1"/>
    <col min="15120" max="15120" width="55" bestFit="1" customWidth="1"/>
    <col min="15121" max="15121" width="42.453125" customWidth="1"/>
    <col min="15122" max="15122" width="11.81640625" customWidth="1"/>
    <col min="15123" max="15123" width="8.1796875" customWidth="1"/>
    <col min="15124" max="15124" width="12" customWidth="1"/>
    <col min="15125" max="15125" width="11.81640625" customWidth="1"/>
    <col min="15126" max="15126" width="12.453125" customWidth="1"/>
    <col min="15127" max="15127" width="10.54296875" bestFit="1" customWidth="1"/>
    <col min="15128" max="15128" width="11" customWidth="1"/>
    <col min="15129" max="15130" width="10.54296875" customWidth="1"/>
    <col min="15131" max="15132" width="8.1796875" customWidth="1"/>
    <col min="15133" max="15143" width="9.453125" customWidth="1"/>
    <col min="15374" max="15374" width="4.453125" customWidth="1"/>
    <col min="15375" max="15375" width="25.81640625" customWidth="1"/>
    <col min="15376" max="15376" width="55" bestFit="1" customWidth="1"/>
    <col min="15377" max="15377" width="42.453125" customWidth="1"/>
    <col min="15378" max="15378" width="11.81640625" customWidth="1"/>
    <col min="15379" max="15379" width="8.1796875" customWidth="1"/>
    <col min="15380" max="15380" width="12" customWidth="1"/>
    <col min="15381" max="15381" width="11.81640625" customWidth="1"/>
    <col min="15382" max="15382" width="12.453125" customWidth="1"/>
    <col min="15383" max="15383" width="10.54296875" bestFit="1" customWidth="1"/>
    <col min="15384" max="15384" width="11" customWidth="1"/>
    <col min="15385" max="15386" width="10.54296875" customWidth="1"/>
    <col min="15387" max="15388" width="8.1796875" customWidth="1"/>
    <col min="15389" max="15399" width="9.453125" customWidth="1"/>
    <col min="15630" max="15630" width="4.453125" customWidth="1"/>
    <col min="15631" max="15631" width="25.81640625" customWidth="1"/>
    <col min="15632" max="15632" width="55" bestFit="1" customWidth="1"/>
    <col min="15633" max="15633" width="42.453125" customWidth="1"/>
    <col min="15634" max="15634" width="11.81640625" customWidth="1"/>
    <col min="15635" max="15635" width="8.1796875" customWidth="1"/>
    <col min="15636" max="15636" width="12" customWidth="1"/>
    <col min="15637" max="15637" width="11.81640625" customWidth="1"/>
    <col min="15638" max="15638" width="12.453125" customWidth="1"/>
    <col min="15639" max="15639" width="10.54296875" bestFit="1" customWidth="1"/>
    <col min="15640" max="15640" width="11" customWidth="1"/>
    <col min="15641" max="15642" width="10.54296875" customWidth="1"/>
    <col min="15643" max="15644" width="8.1796875" customWidth="1"/>
    <col min="15645" max="15655" width="9.453125" customWidth="1"/>
    <col min="15886" max="15886" width="4.453125" customWidth="1"/>
    <col min="15887" max="15887" width="25.81640625" customWidth="1"/>
    <col min="15888" max="15888" width="55" bestFit="1" customWidth="1"/>
    <col min="15889" max="15889" width="42.453125" customWidth="1"/>
    <col min="15890" max="15890" width="11.81640625" customWidth="1"/>
    <col min="15891" max="15891" width="8.1796875" customWidth="1"/>
    <col min="15892" max="15892" width="12" customWidth="1"/>
    <col min="15893" max="15893" width="11.81640625" customWidth="1"/>
    <col min="15894" max="15894" width="12.453125" customWidth="1"/>
    <col min="15895" max="15895" width="10.54296875" bestFit="1" customWidth="1"/>
    <col min="15896" max="15896" width="11" customWidth="1"/>
    <col min="15897" max="15898" width="10.54296875" customWidth="1"/>
    <col min="15899" max="15900" width="8.1796875" customWidth="1"/>
    <col min="15901" max="15911" width="9.453125" customWidth="1"/>
    <col min="16142" max="16142" width="4.453125" customWidth="1"/>
    <col min="16143" max="16143" width="25.81640625" customWidth="1"/>
    <col min="16144" max="16144" width="55" bestFit="1" customWidth="1"/>
    <col min="16145" max="16145" width="42.453125" customWidth="1"/>
    <col min="16146" max="16146" width="11.81640625" customWidth="1"/>
    <col min="16147" max="16147" width="8.1796875" customWidth="1"/>
    <col min="16148" max="16148" width="12" customWidth="1"/>
    <col min="16149" max="16149" width="11.81640625" customWidth="1"/>
    <col min="16150" max="16150" width="12.453125" customWidth="1"/>
    <col min="16151" max="16151" width="10.54296875" bestFit="1" customWidth="1"/>
    <col min="16152" max="16152" width="11" customWidth="1"/>
    <col min="16153" max="16154" width="10.54296875" customWidth="1"/>
    <col min="16155" max="16156" width="8.1796875" customWidth="1"/>
    <col min="16157" max="16167" width="9.453125" customWidth="1"/>
  </cols>
  <sheetData>
    <row r="1" spans="2:59" ht="23.5">
      <c r="B1" s="14" t="s">
        <v>95</v>
      </c>
      <c r="C1" s="15"/>
    </row>
    <row r="2" spans="2:59">
      <c r="B2" s="1" t="s">
        <v>97</v>
      </c>
      <c r="C2" s="1"/>
    </row>
    <row r="3" spans="2:59">
      <c r="B3" s="1" t="s">
        <v>96</v>
      </c>
    </row>
    <row r="4" spans="2:59">
      <c r="B4" s="1" t="s">
        <v>100</v>
      </c>
    </row>
    <row r="5" spans="2:59">
      <c r="E5" s="33"/>
      <c r="F5" s="33"/>
      <c r="G5" s="34"/>
      <c r="H5" s="34"/>
    </row>
    <row r="6" spans="2:59">
      <c r="E6" s="3" t="s">
        <v>2967</v>
      </c>
      <c r="F6" s="34"/>
      <c r="G6" s="34"/>
      <c r="H6" s="34"/>
      <c r="AO6" s="3" t="s">
        <v>37</v>
      </c>
      <c r="AP6" s="36"/>
      <c r="AQ6" s="37"/>
      <c r="AR6" s="37"/>
      <c r="AS6" s="37"/>
      <c r="AT6" s="37"/>
      <c r="AU6" s="37"/>
      <c r="AV6" s="37"/>
      <c r="AX6" s="3" t="s">
        <v>65</v>
      </c>
      <c r="AY6" s="11"/>
      <c r="AZ6" s="11"/>
      <c r="BA6" s="11"/>
      <c r="BB6" s="11"/>
      <c r="BC6" s="11"/>
      <c r="BD6" s="11"/>
      <c r="BE6" s="11"/>
    </row>
    <row r="7" spans="2:59" ht="26">
      <c r="B7" s="4" t="s">
        <v>17</v>
      </c>
      <c r="C7" s="5" t="s">
        <v>18</v>
      </c>
      <c r="D7" s="4" t="s">
        <v>19</v>
      </c>
      <c r="E7" s="4" t="s">
        <v>20</v>
      </c>
      <c r="F7" s="6" t="s">
        <v>75</v>
      </c>
      <c r="G7" s="6" t="s">
        <v>76</v>
      </c>
      <c r="H7" s="6" t="s">
        <v>77</v>
      </c>
      <c r="I7" s="6" t="s">
        <v>78</v>
      </c>
      <c r="J7" s="6" t="s">
        <v>79</v>
      </c>
      <c r="K7" s="7" t="s">
        <v>31</v>
      </c>
      <c r="L7" s="7" t="s">
        <v>21</v>
      </c>
      <c r="M7" s="7" t="s">
        <v>22</v>
      </c>
      <c r="N7" s="7" t="s">
        <v>23</v>
      </c>
      <c r="O7" s="7" t="s">
        <v>66</v>
      </c>
      <c r="P7" s="7" t="s">
        <v>67</v>
      </c>
      <c r="Q7" s="7" t="s">
        <v>24</v>
      </c>
      <c r="R7" s="7" t="s">
        <v>25</v>
      </c>
      <c r="S7" s="7" t="s">
        <v>26</v>
      </c>
      <c r="T7" s="7" t="s">
        <v>68</v>
      </c>
      <c r="U7" s="7" t="s">
        <v>69</v>
      </c>
      <c r="V7" s="7" t="s">
        <v>27</v>
      </c>
      <c r="W7" s="7" t="s">
        <v>28</v>
      </c>
      <c r="X7" s="7" t="s">
        <v>29</v>
      </c>
      <c r="Y7" s="7" t="s">
        <v>70</v>
      </c>
      <c r="Z7" s="7" t="s">
        <v>71</v>
      </c>
      <c r="AA7" s="43" t="s">
        <v>114</v>
      </c>
      <c r="AB7" s="43" t="s">
        <v>114</v>
      </c>
      <c r="AC7" s="43" t="s">
        <v>113</v>
      </c>
      <c r="AD7" s="43" t="s">
        <v>113</v>
      </c>
      <c r="AE7" s="7" t="s">
        <v>30</v>
      </c>
      <c r="AF7" s="7" t="s">
        <v>32</v>
      </c>
      <c r="AG7" s="7" t="s">
        <v>128</v>
      </c>
      <c r="AH7" s="7" t="s">
        <v>129</v>
      </c>
      <c r="AI7" s="7" t="s">
        <v>130</v>
      </c>
      <c r="AJ7" s="7" t="s">
        <v>131</v>
      </c>
      <c r="AK7" s="7" t="s">
        <v>132</v>
      </c>
      <c r="AO7" s="5" t="s">
        <v>38</v>
      </c>
      <c r="AP7" s="5" t="s">
        <v>17</v>
      </c>
      <c r="AQ7" s="5" t="s">
        <v>39</v>
      </c>
      <c r="AR7" s="5" t="s">
        <v>40</v>
      </c>
      <c r="AS7" s="5" t="s">
        <v>41</v>
      </c>
      <c r="AT7" s="5" t="s">
        <v>42</v>
      </c>
      <c r="AU7" s="5" t="s">
        <v>43</v>
      </c>
      <c r="AV7" s="5" t="s">
        <v>44</v>
      </c>
      <c r="AX7" s="12" t="s">
        <v>51</v>
      </c>
      <c r="AY7" s="12" t="s">
        <v>52</v>
      </c>
      <c r="AZ7" s="12" t="s">
        <v>53</v>
      </c>
      <c r="BA7" s="13" t="s">
        <v>0</v>
      </c>
      <c r="BB7" s="13" t="s">
        <v>54</v>
      </c>
      <c r="BC7" s="13" t="s">
        <v>55</v>
      </c>
      <c r="BD7" s="13" t="s">
        <v>56</v>
      </c>
      <c r="BE7" s="13" t="s">
        <v>57</v>
      </c>
    </row>
    <row r="8" spans="2:59" s="35" customFormat="1" ht="30.75" customHeight="1">
      <c r="B8" s="38" t="s">
        <v>33</v>
      </c>
      <c r="C8" s="38" t="s">
        <v>34</v>
      </c>
      <c r="D8" s="38" t="s">
        <v>35</v>
      </c>
      <c r="E8" s="38" t="s">
        <v>36</v>
      </c>
      <c r="F8" s="41" t="s">
        <v>80</v>
      </c>
      <c r="G8" s="39"/>
      <c r="H8" s="39"/>
      <c r="I8" s="39"/>
      <c r="J8" s="39"/>
      <c r="K8" s="40"/>
      <c r="L8" s="41" t="s">
        <v>115</v>
      </c>
      <c r="M8" s="40"/>
      <c r="N8" s="40"/>
      <c r="O8" s="40"/>
      <c r="P8" s="40"/>
      <c r="Q8" s="41" t="s">
        <v>89</v>
      </c>
      <c r="R8" s="40"/>
      <c r="S8" s="40"/>
      <c r="T8" s="40"/>
      <c r="U8" s="40"/>
      <c r="V8" s="42" t="s">
        <v>116</v>
      </c>
      <c r="W8" s="42"/>
      <c r="X8" s="42"/>
      <c r="Y8" s="42"/>
      <c r="Z8" s="42"/>
      <c r="AA8" s="42" t="s">
        <v>111</v>
      </c>
      <c r="AB8" s="42" t="s">
        <v>112</v>
      </c>
      <c r="AC8" s="42" t="s">
        <v>111</v>
      </c>
      <c r="AD8" s="42" t="s">
        <v>112</v>
      </c>
      <c r="AE8" s="40" t="s">
        <v>74</v>
      </c>
      <c r="AF8" s="40"/>
      <c r="AG8" s="41" t="s">
        <v>1</v>
      </c>
      <c r="AH8" s="41"/>
      <c r="AI8" s="41"/>
      <c r="AJ8" s="41"/>
      <c r="AK8" s="41"/>
      <c r="AL8"/>
      <c r="AM8"/>
      <c r="AN8"/>
      <c r="AO8" s="10" t="s">
        <v>92</v>
      </c>
      <c r="AP8" s="10" t="s">
        <v>46</v>
      </c>
      <c r="AQ8" s="10" t="s">
        <v>34</v>
      </c>
      <c r="AR8" s="10" t="s">
        <v>47</v>
      </c>
      <c r="AS8" s="10" t="s">
        <v>48</v>
      </c>
      <c r="AT8" s="10" t="s">
        <v>93</v>
      </c>
      <c r="AU8" s="10" t="s">
        <v>94</v>
      </c>
      <c r="AV8" s="10" t="s">
        <v>50</v>
      </c>
      <c r="AW8"/>
      <c r="AX8" s="10" t="s">
        <v>58</v>
      </c>
      <c r="AY8" s="10" t="s">
        <v>59</v>
      </c>
      <c r="AZ8" s="10" t="s">
        <v>60</v>
      </c>
      <c r="BA8" s="10" t="s">
        <v>0</v>
      </c>
      <c r="BB8" s="10" t="s">
        <v>61</v>
      </c>
      <c r="BC8" s="10" t="s">
        <v>62</v>
      </c>
      <c r="BD8" s="10" t="s">
        <v>63</v>
      </c>
      <c r="BE8" s="10" t="s">
        <v>64</v>
      </c>
    </row>
    <row r="9" spans="2:59">
      <c r="B9" s="24" t="s">
        <v>2810</v>
      </c>
      <c r="C9" s="25" t="str">
        <f t="shared" ref="C9:C20" si="0">"New Power Plant - "&amp;BG9</f>
        <v xml:space="preserve">New Power Plant - Pulverised coal supercritical CCS post-combustion_Moneypoint Kinsale </v>
      </c>
      <c r="D9" s="25" t="s">
        <v>2820</v>
      </c>
      <c r="E9" s="24" t="str">
        <f t="shared" ref="E9:E20" si="1">"ELCC, "&amp;$AY$9</f>
        <v>ELCC, PWRCO2S</v>
      </c>
      <c r="F9" s="26">
        <f>IF(ELC_EGP!G$29="","",ELC_EGP!G$29)</f>
        <v>0.34</v>
      </c>
      <c r="G9" s="26">
        <f>IF(ELC_EGP!H$29="","",ELC_EGP!H$29)</f>
        <v>0.35</v>
      </c>
      <c r="H9" s="26">
        <f>IF(ELC_EGP!I$29="","",ELC_EGP!I$29)</f>
        <v>0.35</v>
      </c>
      <c r="I9" s="26">
        <f>IF(ELC_EGP!J$29="","",ELC_EGP!J$29)</f>
        <v>0.38</v>
      </c>
      <c r="J9" s="26">
        <f>IF(ELC_EGP!K$29="","",ELC_EGP!K$29)</f>
        <v>0.38</v>
      </c>
      <c r="K9" s="24">
        <f>IF(ELC_EGP!L$29="","",ELC_EGP!L$29)</f>
        <v>2030</v>
      </c>
      <c r="L9" s="114"/>
      <c r="M9" s="114"/>
      <c r="N9" s="114">
        <f>IF(ELC_EGP!O$29="","",ELC_EGP!O$29)+SUM($AA9:$AB9)</f>
        <v>3102.3218727488452</v>
      </c>
      <c r="O9" s="114">
        <f>IF(ELC_EGP!P$29="","",ELC_EGP!P$29)+SUM($AA9:$AB9)</f>
        <v>2952.3218727488452</v>
      </c>
      <c r="P9" s="114">
        <f>IF(ELC_EGP!Q$29="","",ELC_EGP!Q$29)+SUM($AA9:$AB9)</f>
        <v>2932.3218727488452</v>
      </c>
      <c r="Q9" s="114">
        <f>IF(ELC_EGP!R$29="","",ELC_EGP!R$29)</f>
        <v>75</v>
      </c>
      <c r="R9" s="114">
        <f>IF(ELC_EGP!S$29="","",ELC_EGP!S$29)</f>
        <v>67.5</v>
      </c>
      <c r="S9" s="114">
        <f>IF(ELC_EGP!T$29="","",ELC_EGP!T$29)</f>
        <v>63.75</v>
      </c>
      <c r="T9" s="114">
        <f>IF(ELC_EGP!U$29="","",ELC_EGP!U$29)</f>
        <v>63.75</v>
      </c>
      <c r="U9" s="114">
        <f>IF(ELC_EGP!V$29="","",ELC_EGP!V$29)</f>
        <v>63.75</v>
      </c>
      <c r="V9" s="115">
        <f>IF(ELC_EGP!W$29="","",ELC_EGP!W$29)+SUM($AC9:$AD9)</f>
        <v>0.87577647963278493</v>
      </c>
      <c r="W9" s="115">
        <f>IF(ELC_EGP!X$29="","",ELC_EGP!X$29)+SUM($AC9:$AD9)</f>
        <v>0.85927647963278486</v>
      </c>
      <c r="X9" s="115">
        <f>IF(ELC_EGP!Y$29="","",ELC_EGP!Y$29)+SUM($AC9:$AD9)</f>
        <v>0.85102647963278488</v>
      </c>
      <c r="Y9" s="115">
        <f>IF(ELC_EGP!Z$29="","",ELC_EGP!Z$29)+SUM($AC9:$AD9)</f>
        <v>0.85102647963278488</v>
      </c>
      <c r="Z9" s="115">
        <f>IF(ELC_EGP!AA$29="","",ELC_EGP!AA$29)+SUM($AC9:$AD9)</f>
        <v>0.85102647963278488</v>
      </c>
      <c r="AA9" s="116">
        <f>231.039345996009*(131.215852099895/100)</f>
        <v>303.16024653468781</v>
      </c>
      <c r="AB9" s="116">
        <f>45.0872552876596*(131.215852099895/100)</f>
        <v>59.161626214157508</v>
      </c>
      <c r="AC9" s="117">
        <f>0.45069361273084*(131.215852099895/100)</f>
        <v>0.5913814643045725</v>
      </c>
      <c r="AD9" s="117">
        <f>0.0909913043412747*(131.215852099895/100)</f>
        <v>0.11939501532821234</v>
      </c>
      <c r="AE9" s="24">
        <f>IF(ELC_EGP!AB$29="","",ELC_EGP!AB$29)</f>
        <v>40</v>
      </c>
      <c r="AF9" s="27">
        <f>IF(ELC_EGP!AE$29="","",ELC_EGP!AE$29)</f>
        <v>31.536000000000001</v>
      </c>
      <c r="AG9" s="26">
        <f>IF(ELC_EGP!AF$29="","",ELC_EGP!AF$29)</f>
        <v>0.9</v>
      </c>
      <c r="AH9" s="26" t="str">
        <f>IF(ELC_EGP!AG$29="","",ELC_EGP!AG$29)</f>
        <v/>
      </c>
      <c r="AI9" s="26" t="str">
        <f>IF(ELC_EGP!AH$29="","",ELC_EGP!AH$29)</f>
        <v/>
      </c>
      <c r="AJ9" s="26" t="str">
        <f>IF(ELC_EGP!AI$29="","",ELC_EGP!AI$29)</f>
        <v/>
      </c>
      <c r="AK9" s="26" t="str">
        <f>IF(ELC_EGP!AJ$29="","",ELC_EGP!AJ$29)</f>
        <v/>
      </c>
      <c r="AO9" s="37" t="s">
        <v>83</v>
      </c>
      <c r="AP9" s="37" t="str">
        <f t="shared" ref="AP9:AP20" si="2">B9</f>
        <v>P-TH-SC-COA-CCS04-MP1</v>
      </c>
      <c r="AQ9" s="37" t="str">
        <f t="shared" ref="AQ9:AQ20" si="3">C9</f>
        <v xml:space="preserve">New Power Plant - Pulverised coal supercritical CCS post-combustion_Moneypoint Kinsale </v>
      </c>
      <c r="AR9" s="37" t="s">
        <v>84</v>
      </c>
      <c r="AS9" s="37" t="s">
        <v>2</v>
      </c>
      <c r="AT9" t="s">
        <v>91</v>
      </c>
      <c r="AU9" s="1"/>
      <c r="AV9" s="37"/>
      <c r="AX9" t="s">
        <v>98</v>
      </c>
      <c r="AY9" t="s">
        <v>2839</v>
      </c>
      <c r="AZ9" t="s">
        <v>2840</v>
      </c>
      <c r="BA9" t="s">
        <v>99</v>
      </c>
      <c r="BG9" s="35" t="s">
        <v>101</v>
      </c>
    </row>
    <row r="10" spans="2:59">
      <c r="B10" s="24" t="s">
        <v>2811</v>
      </c>
      <c r="C10" s="25" t="str">
        <f t="shared" si="0"/>
        <v xml:space="preserve">New Power Plant - IGCC coal CCS pre-combustion_Moneypoint Kinsale </v>
      </c>
      <c r="D10" s="25" t="s">
        <v>2820</v>
      </c>
      <c r="E10" s="24" t="str">
        <f t="shared" si="1"/>
        <v>ELCC, PWRCO2S</v>
      </c>
      <c r="F10" s="26">
        <f>IF(ELC_EGP!G$32="","",ELC_EGP!G$32)</f>
        <v>0.35</v>
      </c>
      <c r="G10" s="26">
        <f>IF(ELC_EGP!H$32="","",ELC_EGP!H$32)</f>
        <v>0.37</v>
      </c>
      <c r="H10" s="26">
        <f>IF(ELC_EGP!I$32="","",ELC_EGP!I$32)</f>
        <v>0.4</v>
      </c>
      <c r="I10" s="26">
        <f>IF(ELC_EGP!J$32="","",ELC_EGP!J$32)</f>
        <v>0.41</v>
      </c>
      <c r="J10" s="26">
        <f>IF(ELC_EGP!K$32="","",ELC_EGP!K$32)</f>
        <v>0.44</v>
      </c>
      <c r="K10" s="24">
        <f>IF(ELC_EGP!L$32="","",ELC_EGP!L$32)</f>
        <v>2030</v>
      </c>
      <c r="L10" s="114"/>
      <c r="M10" s="114"/>
      <c r="N10" s="114">
        <f>IF(ELC_EGP!O$32="","",ELC_EGP!O$32)+SUM($AA10:$AB10)</f>
        <v>2902.3218727488452</v>
      </c>
      <c r="O10" s="114">
        <f>IF(ELC_EGP!P$32="","",ELC_EGP!P$32)+SUM($AA10:$AB10)</f>
        <v>2582.3218727488452</v>
      </c>
      <c r="P10" s="114">
        <f>IF(ELC_EGP!Q$32="","",ELC_EGP!Q$32)+SUM($AA10:$AB10)</f>
        <v>2542.3218727488452</v>
      </c>
      <c r="Q10" s="114">
        <f>IF(ELC_EGP!R$32="","",ELC_EGP!R$32)</f>
        <v>93</v>
      </c>
      <c r="R10" s="114">
        <f>IF(ELC_EGP!S$32="","",ELC_EGP!S$32)</f>
        <v>86.55</v>
      </c>
      <c r="S10" s="114">
        <f>IF(ELC_EGP!T$32="","",ELC_EGP!T$32)</f>
        <v>84.75</v>
      </c>
      <c r="T10" s="114">
        <f>IF(ELC_EGP!U$32="","",ELC_EGP!U$32)</f>
        <v>84.75</v>
      </c>
      <c r="U10" s="114">
        <f>IF(ELC_EGP!V$32="","",ELC_EGP!V$32)</f>
        <v>84.75</v>
      </c>
      <c r="V10" s="115">
        <f>IF(ELC_EGP!W$32="","",ELC_EGP!W$32)+SUM($AC10:$AD10)</f>
        <v>0.89677647963278484</v>
      </c>
      <c r="W10" s="115">
        <f>IF(ELC_EGP!X$32="","",ELC_EGP!X$32)+SUM($AC10:$AD10)</f>
        <v>0.88387647963278493</v>
      </c>
      <c r="X10" s="115">
        <f>IF(ELC_EGP!Y$32="","",ELC_EGP!Y$32)+SUM($AC10:$AD10)</f>
        <v>0.88027647963278488</v>
      </c>
      <c r="Y10" s="115">
        <f>IF(ELC_EGP!Z$32="","",ELC_EGP!Z$32)+SUM($AC10:$AD10)</f>
        <v>0.88027647963278488</v>
      </c>
      <c r="Z10" s="115">
        <f>IF(ELC_EGP!AA$32="","",ELC_EGP!AA$32)+SUM($AC10:$AD10)</f>
        <v>0.88027647963278488</v>
      </c>
      <c r="AA10" s="116">
        <f>231.039345996009*(131.215852099895/100)</f>
        <v>303.16024653468781</v>
      </c>
      <c r="AB10" s="116">
        <f>45.0872552876596*(131.215852099895/100)</f>
        <v>59.161626214157508</v>
      </c>
      <c r="AC10" s="117">
        <f>0.45069361273084*(131.215852099895/100)</f>
        <v>0.5913814643045725</v>
      </c>
      <c r="AD10" s="117">
        <f>0.0909913043412747*(131.215852099895/100)</f>
        <v>0.11939501532821234</v>
      </c>
      <c r="AE10" s="24">
        <f>IF(ELC_EGP!AB$32="","",ELC_EGP!AB$32)</f>
        <v>35</v>
      </c>
      <c r="AF10" s="27">
        <f>IF(ELC_EGP!AE$32="","",ELC_EGP!AE$32)</f>
        <v>31.536000000000001</v>
      </c>
      <c r="AG10" s="26">
        <f>IF(ELC_EGP!AF$32="","",ELC_EGP!AF$32)</f>
        <v>0.9</v>
      </c>
      <c r="AH10" s="26" t="str">
        <f>IF(ELC_EGP!AG$32="","",ELC_EGP!AG$32)</f>
        <v/>
      </c>
      <c r="AI10" s="26" t="str">
        <f>IF(ELC_EGP!AH$32="","",ELC_EGP!AH$32)</f>
        <v/>
      </c>
      <c r="AJ10" s="26" t="str">
        <f>IF(ELC_EGP!AI$32="","",ELC_EGP!AI$32)</f>
        <v/>
      </c>
      <c r="AK10" s="26" t="str">
        <f>IF(ELC_EGP!AJ$32="","",ELC_EGP!AJ$32)</f>
        <v/>
      </c>
      <c r="AO10" s="37" t="s">
        <v>83</v>
      </c>
      <c r="AP10" s="37" t="str">
        <f t="shared" si="2"/>
        <v>P-TH-IGCC-COA-CCS06-MP1</v>
      </c>
      <c r="AQ10" s="37" t="str">
        <f t="shared" si="3"/>
        <v xml:space="preserve">New Power Plant - IGCC coal CCS pre-combustion_Moneypoint Kinsale </v>
      </c>
      <c r="AR10" s="37" t="s">
        <v>84</v>
      </c>
      <c r="AS10" s="37" t="s">
        <v>2</v>
      </c>
      <c r="AT10" t="s">
        <v>91</v>
      </c>
      <c r="AU10" s="1"/>
      <c r="AV10" s="37"/>
      <c r="BG10" t="s">
        <v>122</v>
      </c>
    </row>
    <row r="11" spans="2:59">
      <c r="B11" s="24" t="s">
        <v>2812</v>
      </c>
      <c r="C11" s="25" t="str">
        <f t="shared" si="0"/>
        <v xml:space="preserve">New Power Plant - Pulverised coal supercritical CCS post-combustion_Moneypoint Spanish Point </v>
      </c>
      <c r="D11" s="25" t="s">
        <v>2820</v>
      </c>
      <c r="E11" s="24" t="str">
        <f t="shared" si="1"/>
        <v>ELCC, PWRCO2S</v>
      </c>
      <c r="F11" s="26">
        <f>IF(ELC_EGP!G$29="","",ELC_EGP!G$29)</f>
        <v>0.34</v>
      </c>
      <c r="G11" s="26">
        <f>IF(ELC_EGP!H$29="","",ELC_EGP!H$29)</f>
        <v>0.35</v>
      </c>
      <c r="H11" s="26">
        <f>IF(ELC_EGP!I$29="","",ELC_EGP!I$29)</f>
        <v>0.35</v>
      </c>
      <c r="I11" s="26">
        <f>IF(ELC_EGP!J$29="","",ELC_EGP!J$29)</f>
        <v>0.38</v>
      </c>
      <c r="J11" s="26">
        <f>IF(ELC_EGP!K$29="","",ELC_EGP!K$29)</f>
        <v>0.38</v>
      </c>
      <c r="K11" s="24">
        <f>IF(ELC_EGP!L$29="","",ELC_EGP!L$29)</f>
        <v>2030</v>
      </c>
      <c r="L11" s="114"/>
      <c r="M11" s="114"/>
      <c r="N11" s="114">
        <f>IF(ELC_EGP!O$29="","",ELC_EGP!O$29)+SUM($AA11:$AB11)</f>
        <v>3451.1153371708269</v>
      </c>
      <c r="O11" s="114">
        <f>IF(ELC_EGP!P$29="","",ELC_EGP!P$29)+SUM($AA11:$AB11)</f>
        <v>3301.1153371708269</v>
      </c>
      <c r="P11" s="114">
        <f>IF(ELC_EGP!Q$29="","",ELC_EGP!Q$29)+SUM($AA11:$AB11)</f>
        <v>3281.1153371708269</v>
      </c>
      <c r="Q11" s="114">
        <f>IF(ELC_EGP!R$29="","",ELC_EGP!R$29)</f>
        <v>75</v>
      </c>
      <c r="R11" s="114">
        <f>IF(ELC_EGP!S$29="","",ELC_EGP!S$29)</f>
        <v>67.5</v>
      </c>
      <c r="S11" s="114">
        <f>IF(ELC_EGP!T$29="","",ELC_EGP!T$29)</f>
        <v>63.75</v>
      </c>
      <c r="T11" s="114">
        <f>IF(ELC_EGP!U$29="","",ELC_EGP!U$29)</f>
        <v>63.75</v>
      </c>
      <c r="U11" s="114">
        <f>IF(ELC_EGP!V$29="","",ELC_EGP!V$29)</f>
        <v>63.75</v>
      </c>
      <c r="V11" s="115">
        <f>IF(ELC_EGP!W$29="","",ELC_EGP!W$29)+SUM($AC11:$AD11)</f>
        <v>0.83067111371124924</v>
      </c>
      <c r="W11" s="115">
        <f>IF(ELC_EGP!X$29="","",ELC_EGP!X$29)+SUM($AC11:$AD11)</f>
        <v>0.81417111371124917</v>
      </c>
      <c r="X11" s="115">
        <f>IF(ELC_EGP!Y$29="","",ELC_EGP!Y$29)+SUM($AC11:$AD11)</f>
        <v>0.80592111371124919</v>
      </c>
      <c r="Y11" s="115">
        <f>IF(ELC_EGP!Z$29="","",ELC_EGP!Z$29)+SUM($AC11:$AD11)</f>
        <v>0.80592111371124919</v>
      </c>
      <c r="Z11" s="115">
        <f>IF(ELC_EGP!AA$29="","",ELC_EGP!AA$29)+SUM($AC11:$AD11)</f>
        <v>0.80592111371124919</v>
      </c>
      <c r="AA11" s="116">
        <f>496.855906144888*(131.215852099895/100)</f>
        <v>651.9537109566694</v>
      </c>
      <c r="AB11" s="116">
        <f>45.0872552876596*(131.215852099895/100)</f>
        <v>59.161626214157508</v>
      </c>
      <c r="AC11" s="117">
        <f>0.416318676166623*(131.215852099895/100)</f>
        <v>0.54627609838303681</v>
      </c>
      <c r="AD11" s="117">
        <f>0.0909913043412747*(131.215852099895/100)</f>
        <v>0.11939501532821234</v>
      </c>
      <c r="AE11" s="24">
        <f>IF(ELC_EGP!AB$29="","",ELC_EGP!AB$29)</f>
        <v>40</v>
      </c>
      <c r="AF11" s="27">
        <f>IF(ELC_EGP!AE$29="","",ELC_EGP!AE$29)</f>
        <v>31.536000000000001</v>
      </c>
      <c r="AG11" s="26">
        <f>IF(ELC_EGP!AF$29="","",ELC_EGP!AF$29)</f>
        <v>0.9</v>
      </c>
      <c r="AH11" s="26" t="str">
        <f>IF(ELC_EGP!AG$29="","",ELC_EGP!AG$29)</f>
        <v/>
      </c>
      <c r="AI11" s="26" t="str">
        <f>IF(ELC_EGP!AH$29="","",ELC_EGP!AH$29)</f>
        <v/>
      </c>
      <c r="AJ11" s="26" t="str">
        <f>IF(ELC_EGP!AI$29="","",ELC_EGP!AI$29)</f>
        <v/>
      </c>
      <c r="AK11" s="26" t="str">
        <f>IF(ELC_EGP!AJ$29="","",ELC_EGP!AJ$29)</f>
        <v/>
      </c>
      <c r="AO11" s="37" t="s">
        <v>83</v>
      </c>
      <c r="AP11" s="37" t="str">
        <f t="shared" si="2"/>
        <v>P-TH-SC-COA-CCS04-MP2</v>
      </c>
      <c r="AQ11" s="37" t="str">
        <f t="shared" si="3"/>
        <v xml:space="preserve">New Power Plant - Pulverised coal supercritical CCS post-combustion_Moneypoint Spanish Point </v>
      </c>
      <c r="AR11" s="37" t="s">
        <v>84</v>
      </c>
      <c r="AS11" s="37" t="s">
        <v>2</v>
      </c>
      <c r="AT11" t="s">
        <v>91</v>
      </c>
      <c r="AU11" s="1"/>
      <c r="AV11" s="37"/>
      <c r="BG11" s="35" t="s">
        <v>102</v>
      </c>
    </row>
    <row r="12" spans="2:59">
      <c r="B12" s="24" t="s">
        <v>2813</v>
      </c>
      <c r="C12" s="25" t="str">
        <f t="shared" si="0"/>
        <v xml:space="preserve">New Power Plant - IGCC coal CCS pre-combustion_Moneypoint Spanish Point </v>
      </c>
      <c r="D12" s="25" t="s">
        <v>2820</v>
      </c>
      <c r="E12" s="24" t="str">
        <f t="shared" si="1"/>
        <v>ELCC, PWRCO2S</v>
      </c>
      <c r="F12" s="26">
        <f>IF(ELC_EGP!G$32="","",ELC_EGP!G$32)</f>
        <v>0.35</v>
      </c>
      <c r="G12" s="26">
        <f>IF(ELC_EGP!H$32="","",ELC_EGP!H$32)</f>
        <v>0.37</v>
      </c>
      <c r="H12" s="26">
        <f>IF(ELC_EGP!I$32="","",ELC_EGP!I$32)</f>
        <v>0.4</v>
      </c>
      <c r="I12" s="26">
        <f>IF(ELC_EGP!J$32="","",ELC_EGP!J$32)</f>
        <v>0.41</v>
      </c>
      <c r="J12" s="26">
        <f>IF(ELC_EGP!K$32="","",ELC_EGP!K$32)</f>
        <v>0.44</v>
      </c>
      <c r="K12" s="24">
        <f>IF(ELC_EGP!L$32="","",ELC_EGP!L$32)</f>
        <v>2030</v>
      </c>
      <c r="L12" s="114"/>
      <c r="M12" s="114"/>
      <c r="N12" s="114">
        <f>IF(ELC_EGP!O$32="","",ELC_EGP!O$32)+SUM($AA12:$AB12)</f>
        <v>3310.2769633849844</v>
      </c>
      <c r="O12" s="114">
        <f>IF(ELC_EGP!P$32="","",ELC_EGP!P$32)+SUM($AA12:$AB12)</f>
        <v>2990.2769633849844</v>
      </c>
      <c r="P12" s="114">
        <f>IF(ELC_EGP!Q$32="","",ELC_EGP!Q$32)+SUM($AA12:$AB12)</f>
        <v>2950.2769633849844</v>
      </c>
      <c r="Q12" s="114">
        <f>IF(ELC_EGP!R$32="","",ELC_EGP!R$32)</f>
        <v>93</v>
      </c>
      <c r="R12" s="114">
        <f>IF(ELC_EGP!S$32="","",ELC_EGP!S$32)</f>
        <v>86.55</v>
      </c>
      <c r="S12" s="114">
        <f>IF(ELC_EGP!T$32="","",ELC_EGP!T$32)</f>
        <v>84.75</v>
      </c>
      <c r="T12" s="114">
        <f>IF(ELC_EGP!U$32="","",ELC_EGP!U$32)</f>
        <v>84.75</v>
      </c>
      <c r="U12" s="114">
        <f>IF(ELC_EGP!V$32="","",ELC_EGP!V$32)</f>
        <v>84.75</v>
      </c>
      <c r="V12" s="115">
        <f>IF(ELC_EGP!W$32="","",ELC_EGP!W$32)+SUM($AC12:$AD12)</f>
        <v>0.85167111371124915</v>
      </c>
      <c r="W12" s="115">
        <f>IF(ELC_EGP!X$32="","",ELC_EGP!X$32)+SUM($AC12:$AD12)</f>
        <v>0.83877111371124924</v>
      </c>
      <c r="X12" s="115">
        <f>IF(ELC_EGP!Y$32="","",ELC_EGP!Y$32)+SUM($AC12:$AD12)</f>
        <v>0.83517111371124919</v>
      </c>
      <c r="Y12" s="115">
        <f>IF(ELC_EGP!Z$32="","",ELC_EGP!Z$32)+SUM($AC12:$AD12)</f>
        <v>0.83517111371124919</v>
      </c>
      <c r="Z12" s="115">
        <f>IF(ELC_EGP!AA$32="","",ELC_EGP!AA$32)+SUM($AC12:$AD12)</f>
        <v>0.83517111371124919</v>
      </c>
      <c r="AA12" s="116">
        <f>496.855906144888*(131.215852099895/100)</f>
        <v>651.9537109566694</v>
      </c>
      <c r="AB12" s="116">
        <f>90.1745105753192*(131.215852099895/100)</f>
        <v>118.32325242831502</v>
      </c>
      <c r="AC12" s="117">
        <f>0.416318676166623*(131.215852099895/100)</f>
        <v>0.54627609838303681</v>
      </c>
      <c r="AD12" s="117">
        <f>0.0909913043412747*(131.215852099895/100)</f>
        <v>0.11939501532821234</v>
      </c>
      <c r="AE12" s="24">
        <f>IF(ELC_EGP!AB$32="","",ELC_EGP!AB$32)</f>
        <v>35</v>
      </c>
      <c r="AF12" s="27">
        <f>IF(ELC_EGP!AE$32="","",ELC_EGP!AE$32)</f>
        <v>31.536000000000001</v>
      </c>
      <c r="AG12" s="26">
        <f>IF(ELC_EGP!AF$32="","",ELC_EGP!AF$32)</f>
        <v>0.9</v>
      </c>
      <c r="AH12" s="26" t="str">
        <f>IF(ELC_EGP!AG$32="","",ELC_EGP!AG$32)</f>
        <v/>
      </c>
      <c r="AI12" s="26" t="str">
        <f>IF(ELC_EGP!AH$32="","",ELC_EGP!AH$32)</f>
        <v/>
      </c>
      <c r="AJ12" s="26" t="str">
        <f>IF(ELC_EGP!AI$32="","",ELC_EGP!AI$32)</f>
        <v/>
      </c>
      <c r="AK12" s="26" t="str">
        <f>IF(ELC_EGP!AJ$32="","",ELC_EGP!AJ$32)</f>
        <v/>
      </c>
      <c r="AO12" s="37" t="s">
        <v>83</v>
      </c>
      <c r="AP12" s="37" t="str">
        <f t="shared" si="2"/>
        <v>P-TH-IGCC-COA-CCS06-MP2</v>
      </c>
      <c r="AQ12" s="37" t="str">
        <f t="shared" si="3"/>
        <v xml:space="preserve">New Power Plant - IGCC coal CCS pre-combustion_Moneypoint Spanish Point </v>
      </c>
      <c r="AR12" s="37" t="s">
        <v>84</v>
      </c>
      <c r="AS12" s="37" t="s">
        <v>2</v>
      </c>
      <c r="AT12" t="s">
        <v>91</v>
      </c>
      <c r="AU12" s="1"/>
      <c r="AV12" s="37"/>
      <c r="BG12" t="s">
        <v>121</v>
      </c>
    </row>
    <row r="13" spans="2:59">
      <c r="B13" s="24" t="s">
        <v>2803</v>
      </c>
      <c r="C13" s="25" t="str">
        <f t="shared" si="0"/>
        <v>New Power Plant - CCGT advanced CCS post combustion_Cork Kinsale</v>
      </c>
      <c r="D13" s="25" t="s">
        <v>2819</v>
      </c>
      <c r="E13" s="24" t="str">
        <f t="shared" si="1"/>
        <v>ELCC, PWRCO2S</v>
      </c>
      <c r="F13" s="26">
        <f>IF(ELC_EGP!G$28="","",ELC_EGP!G$28)</f>
        <v>0.5</v>
      </c>
      <c r="G13" s="26">
        <f>IF(ELC_EGP!H$28="","",ELC_EGP!H$28)</f>
        <v>0.52</v>
      </c>
      <c r="H13" s="26">
        <f>IF(ELC_EGP!I$28="","",ELC_EGP!I$28)</f>
        <v>0.55000000000000004</v>
      </c>
      <c r="I13" s="26">
        <f>IF(ELC_EGP!J$28="","",ELC_EGP!J$28)</f>
        <v>0.55000000000000004</v>
      </c>
      <c r="J13" s="26">
        <f>IF(ELC_EGP!K$28="","",ELC_EGP!K$28)</f>
        <v>0.55000000000000004</v>
      </c>
      <c r="K13" s="24">
        <f>IF(ELC_EGP!L$28="","",ELC_EGP!L$28)</f>
        <v>2030</v>
      </c>
      <c r="L13" s="114"/>
      <c r="M13" s="114"/>
      <c r="N13" s="114">
        <f>IF(ELC_EGP!O$28="","",ELC_EGP!O$28)+SUM($AA13:$AB13)</f>
        <v>1491.5258714841596</v>
      </c>
      <c r="O13" s="114">
        <f>IF(ELC_EGP!P$28="","",ELC_EGP!P$28)+SUM($AA13:$AB13)</f>
        <v>1411.5258714841596</v>
      </c>
      <c r="P13" s="114">
        <f>IF(ELC_EGP!Q$28="","",ELC_EGP!Q$28)+SUM($AA13:$AB13)</f>
        <v>1381.5258714841596</v>
      </c>
      <c r="Q13" s="114">
        <f>IF(ELC_EGP!R$28="","",ELC_EGP!R$28)</f>
        <v>37.5</v>
      </c>
      <c r="R13" s="114">
        <f>IF(ELC_EGP!S$28="","",ELC_EGP!S$28)</f>
        <v>37.5</v>
      </c>
      <c r="S13" s="114">
        <f>IF(ELC_EGP!T$28="","",ELC_EGP!T$28)</f>
        <v>37.5</v>
      </c>
      <c r="T13" s="114">
        <f>IF(ELC_EGP!U$28="","",ELC_EGP!U$28)</f>
        <v>37.5</v>
      </c>
      <c r="U13" s="114">
        <f>IF(ELC_EGP!V$28="","",ELC_EGP!V$28)</f>
        <v>37.5</v>
      </c>
      <c r="V13" s="115">
        <f>IF(ELC_EGP!W$28="","",ELC_EGP!W$28)+SUM($AC13:$AD13)</f>
        <v>0.24714745993078663</v>
      </c>
      <c r="W13" s="115">
        <f>IF(ELC_EGP!X$28="","",ELC_EGP!X$28)+SUM($AC13:$AD13)</f>
        <v>0.24714745993078663</v>
      </c>
      <c r="X13" s="115">
        <f>IF(ELC_EGP!Y$28="","",ELC_EGP!Y$28)+SUM($AC13:$AD13)</f>
        <v>0.24714745993078663</v>
      </c>
      <c r="Y13" s="115">
        <f>IF(ELC_EGP!Z$28="","",ELC_EGP!Z$28)+SUM($AC13:$AD13)</f>
        <v>0.24714745993078663</v>
      </c>
      <c r="Z13" s="115">
        <f>IF(ELC_EGP!AA$28="","",ELC_EGP!AA$28)+SUM($AC13:$AD13)</f>
        <v>0.24714745993078663</v>
      </c>
      <c r="AA13" s="116">
        <f>51.846136548894*(131.215852099895/100)</f>
        <v>68.030349853506351</v>
      </c>
      <c r="AB13" s="116">
        <f>25.5270389168779*(131.215852099895/100)</f>
        <v>33.495521630653137</v>
      </c>
      <c r="AC13" s="117">
        <f>0.0932556484566934*(131.215852099895/100)</f>
        <v>0.12236619375373282</v>
      </c>
      <c r="AD13" s="117">
        <f>0.0493699999964453*(131.215852099895/100)</f>
        <v>6.478126617705382E-2</v>
      </c>
      <c r="AE13" s="24">
        <f>IF(ELC_EGP!AB$28="","",ELC_EGP!AB$28)</f>
        <v>30</v>
      </c>
      <c r="AF13" s="27">
        <f>IF(ELC_EGP!AE$28="","",ELC_EGP!AE$28)</f>
        <v>31.536000000000001</v>
      </c>
      <c r="AG13" s="26">
        <f>IF(ELC_EGP!AF$28="","",ELC_EGP!AF$28)</f>
        <v>0.9</v>
      </c>
      <c r="AH13" s="26" t="str">
        <f>IF(ELC_EGP!AG$28="","",ELC_EGP!AG$28)</f>
        <v/>
      </c>
      <c r="AI13" s="26" t="str">
        <f>IF(ELC_EGP!AH$28="","",ELC_EGP!AH$28)</f>
        <v/>
      </c>
      <c r="AJ13" s="26" t="str">
        <f>IF(ELC_EGP!AI$28="","",ELC_EGP!AI$28)</f>
        <v/>
      </c>
      <c r="AK13" s="26" t="str">
        <f>IF(ELC_EGP!AJ$28="","",ELC_EGP!AJ$28)</f>
        <v/>
      </c>
      <c r="AO13" s="37" t="s">
        <v>83</v>
      </c>
      <c r="AP13" s="37" t="str">
        <f t="shared" si="2"/>
        <v>P-TH-CCGT-GAS-CCS04-Cork1</v>
      </c>
      <c r="AQ13" s="37" t="str">
        <f t="shared" si="3"/>
        <v>New Power Plant - CCGT advanced CCS post combustion_Cork Kinsale</v>
      </c>
      <c r="AR13" s="37" t="s">
        <v>84</v>
      </c>
      <c r="AS13" s="37" t="s">
        <v>2</v>
      </c>
      <c r="AT13" t="s">
        <v>91</v>
      </c>
      <c r="AU13" s="1"/>
      <c r="AV13" s="37"/>
      <c r="BG13" t="s">
        <v>103</v>
      </c>
    </row>
    <row r="14" spans="2:59">
      <c r="B14" s="24" t="s">
        <v>2804</v>
      </c>
      <c r="C14" s="25" t="str">
        <f t="shared" si="0"/>
        <v>New Power Plant - CCGT advanced CCS post combustion_Cork Spanish Point</v>
      </c>
      <c r="D14" s="25" t="s">
        <v>2819</v>
      </c>
      <c r="E14" s="24" t="str">
        <f t="shared" si="1"/>
        <v>ELCC, PWRCO2S</v>
      </c>
      <c r="F14" s="26">
        <f>IF(ELC_EGP!G$28="","",ELC_EGP!G$28)</f>
        <v>0.5</v>
      </c>
      <c r="G14" s="26">
        <f>IF(ELC_EGP!H$28="","",ELC_EGP!H$28)</f>
        <v>0.52</v>
      </c>
      <c r="H14" s="26">
        <f>IF(ELC_EGP!I$28="","",ELC_EGP!I$28)</f>
        <v>0.55000000000000004</v>
      </c>
      <c r="I14" s="26">
        <f>IF(ELC_EGP!J$28="","",ELC_EGP!J$28)</f>
        <v>0.55000000000000004</v>
      </c>
      <c r="J14" s="26">
        <f>IF(ELC_EGP!K$28="","",ELC_EGP!K$28)</f>
        <v>0.55000000000000004</v>
      </c>
      <c r="K14" s="24">
        <f>IF(ELC_EGP!L$28="","",ELC_EGP!L$28)</f>
        <v>2030</v>
      </c>
      <c r="L14" s="114"/>
      <c r="M14" s="114"/>
      <c r="N14" s="114">
        <f>IF(ELC_EGP!O$28="","",ELC_EGP!O$28)+SUM($AA14:$AB14)</f>
        <v>2499.5521807077503</v>
      </c>
      <c r="O14" s="114">
        <f>IF(ELC_EGP!P$28="","",ELC_EGP!P$28)+SUM($AA14:$AB14)</f>
        <v>2419.5521807077503</v>
      </c>
      <c r="P14" s="114">
        <f>IF(ELC_EGP!Q$28="","",ELC_EGP!Q$28)+SUM($AA14:$AB14)</f>
        <v>2389.5521807077503</v>
      </c>
      <c r="Q14" s="114">
        <f>IF(ELC_EGP!R$28="","",ELC_EGP!R$28)</f>
        <v>37.5</v>
      </c>
      <c r="R14" s="114">
        <f>IF(ELC_EGP!S$28="","",ELC_EGP!S$28)</f>
        <v>37.5</v>
      </c>
      <c r="S14" s="114">
        <f>IF(ELC_EGP!T$28="","",ELC_EGP!T$28)</f>
        <v>37.5</v>
      </c>
      <c r="T14" s="114">
        <f>IF(ELC_EGP!U$28="","",ELC_EGP!U$28)</f>
        <v>37.5</v>
      </c>
      <c r="U14" s="114">
        <f>IF(ELC_EGP!V$28="","",ELC_EGP!V$28)</f>
        <v>37.5</v>
      </c>
      <c r="V14" s="115">
        <f>IF(ELC_EGP!W$28="","",ELC_EGP!W$28)+SUM($AC14:$AD14)</f>
        <v>0.76539312097108803</v>
      </c>
      <c r="W14" s="115">
        <f>IF(ELC_EGP!X$28="","",ELC_EGP!X$28)+SUM($AC14:$AD14)</f>
        <v>0.76539312097108803</v>
      </c>
      <c r="X14" s="115">
        <f>IF(ELC_EGP!Y$28="","",ELC_EGP!Y$28)+SUM($AC14:$AD14)</f>
        <v>0.76539312097108803</v>
      </c>
      <c r="Y14" s="115">
        <f>IF(ELC_EGP!Z$28="","",ELC_EGP!Z$28)+SUM($AC14:$AD14)</f>
        <v>0.76539312097108803</v>
      </c>
      <c r="Z14" s="115">
        <f>IF(ELC_EGP!AA$28="","",ELC_EGP!AA$28)+SUM($AC14:$AD14)</f>
        <v>0.76539312097108803</v>
      </c>
      <c r="AA14" s="116">
        <f>794.539013969699*(131.215852099895/100)</f>
        <v>1042.5611374464443</v>
      </c>
      <c r="AB14" s="116">
        <f>51.0540778337558*(131.215852099895/100)</f>
        <v>66.991043261306274</v>
      </c>
      <c r="AC14" s="117">
        <f>0.446590938720387*(131.215852099895/100)</f>
        <v>0.58599810564287569</v>
      </c>
      <c r="AD14" s="117">
        <f>0.0909913043412747*(131.215852099895/100)</f>
        <v>0.11939501532821234</v>
      </c>
      <c r="AE14" s="24">
        <f>IF(ELC_EGP!AB$28="","",ELC_EGP!AB$28)</f>
        <v>30</v>
      </c>
      <c r="AF14" s="27">
        <f>IF(ELC_EGP!AE$28="","",ELC_EGP!AE$28)</f>
        <v>31.536000000000001</v>
      </c>
      <c r="AG14" s="26">
        <f>IF(ELC_EGP!AF$28="","",ELC_EGP!AF$28)</f>
        <v>0.9</v>
      </c>
      <c r="AH14" s="26" t="str">
        <f>IF(ELC_EGP!AG$28="","",ELC_EGP!AG$28)</f>
        <v/>
      </c>
      <c r="AI14" s="26" t="str">
        <f>IF(ELC_EGP!AH$28="","",ELC_EGP!AH$28)</f>
        <v/>
      </c>
      <c r="AJ14" s="26" t="str">
        <f>IF(ELC_EGP!AI$28="","",ELC_EGP!AI$28)</f>
        <v/>
      </c>
      <c r="AK14" s="26" t="str">
        <f>IF(ELC_EGP!AJ$28="","",ELC_EGP!AJ$28)</f>
        <v/>
      </c>
      <c r="AO14" s="37" t="s">
        <v>83</v>
      </c>
      <c r="AP14" s="37" t="str">
        <f t="shared" si="2"/>
        <v>P-TH-CCGT-GAS-CCS04-Cork2</v>
      </c>
      <c r="AQ14" s="37" t="str">
        <f t="shared" si="3"/>
        <v>New Power Plant - CCGT advanced CCS post combustion_Cork Spanish Point</v>
      </c>
      <c r="AR14" s="37" t="s">
        <v>84</v>
      </c>
      <c r="AS14" s="37" t="s">
        <v>2</v>
      </c>
      <c r="AT14" t="s">
        <v>91</v>
      </c>
      <c r="AU14" s="1"/>
      <c r="AV14" s="37"/>
      <c r="BG14" t="s">
        <v>104</v>
      </c>
    </row>
    <row r="15" spans="2:59">
      <c r="B15" s="24" t="s">
        <v>2805</v>
      </c>
      <c r="C15" s="25" t="str">
        <f t="shared" si="0"/>
        <v>New Power Plant - IGCC peat CCS pre combustion_Offaly Kinsale</v>
      </c>
      <c r="D15" s="25" t="s">
        <v>2821</v>
      </c>
      <c r="E15" s="24" t="str">
        <f t="shared" si="1"/>
        <v>ELCC, PWRCO2S</v>
      </c>
      <c r="F15" s="26">
        <f>IF(ELC_EGP!G$32="","",ELC_EGP!G$32)</f>
        <v>0.35</v>
      </c>
      <c r="G15" s="26">
        <f>IF(ELC_EGP!H$32="","",ELC_EGP!H$32)</f>
        <v>0.37</v>
      </c>
      <c r="H15" s="26">
        <f>IF(ELC_EGP!I$32="","",ELC_EGP!I$32)</f>
        <v>0.4</v>
      </c>
      <c r="I15" s="26">
        <f>IF(ELC_EGP!J$32="","",ELC_EGP!J$32)</f>
        <v>0.41</v>
      </c>
      <c r="J15" s="26">
        <f>IF(ELC_EGP!K$32="","",ELC_EGP!K$32)</f>
        <v>0.44</v>
      </c>
      <c r="K15" s="24">
        <f>IF(ELC_EGP!L$32="","",ELC_EGP!L$32)</f>
        <v>2030</v>
      </c>
      <c r="L15" s="114">
        <f>IF(ELC_EGP!M$35="","",ELC_EGP!M$35)+SUM($AA15:$AB15)</f>
        <v>3473.8169826521967</v>
      </c>
      <c r="M15" s="114">
        <f>IF(ELC_EGP!N$35="","",ELC_EGP!N$35)+SUM($AA15:$AB15)</f>
        <v>3133.8169826521967</v>
      </c>
      <c r="N15" s="114">
        <f>IF(ELC_EGP!O$35="","",ELC_EGP!O$35)+SUM($AA15:$AB15)</f>
        <v>2843.8169826521967</v>
      </c>
      <c r="O15" s="114">
        <f>IF(ELC_EGP!P$35="","",ELC_EGP!P$35)+SUM($AA15:$AB15)</f>
        <v>2573.8169826521967</v>
      </c>
      <c r="P15" s="114">
        <f>IF(ELC_EGP!Q$35="","",ELC_EGP!Q$35)+SUM($AA15:$AB15)</f>
        <v>2343.8169826521967</v>
      </c>
      <c r="Q15" s="114">
        <f>IF(ELC_EGP!R$32="","",ELC_EGP!R$32)</f>
        <v>93</v>
      </c>
      <c r="R15" s="114">
        <f>IF(ELC_EGP!S$32="","",ELC_EGP!S$32)</f>
        <v>86.55</v>
      </c>
      <c r="S15" s="114">
        <f>IF(ELC_EGP!T$32="","",ELC_EGP!T$32)</f>
        <v>84.75</v>
      </c>
      <c r="T15" s="114">
        <f>IF(ELC_EGP!U$32="","",ELC_EGP!U$32)</f>
        <v>84.75</v>
      </c>
      <c r="U15" s="114">
        <f>IF(ELC_EGP!V$32="","",ELC_EGP!V$32)</f>
        <v>84.75</v>
      </c>
      <c r="V15" s="115">
        <f>IF(ELC_EGP!W$35="","",ELC_EGP!W$35)+SUM($AC15:$AD15)</f>
        <v>0.96521308960250429</v>
      </c>
      <c r="W15" s="115">
        <f>IF(ELC_EGP!X$35="","",ELC_EGP!X$35)+SUM($AC15:$AD15)</f>
        <v>0.95229308960250425</v>
      </c>
      <c r="X15" s="115">
        <f>IF(ELC_EGP!Y$35="","",ELC_EGP!Y$35)+SUM($AC15:$AD15)</f>
        <v>0.94127308960250433</v>
      </c>
      <c r="Y15" s="115">
        <f>IF(ELC_EGP!Z$35="","",ELC_EGP!Z$35)+SUM($AC15:$AD15)</f>
        <v>0.93101308960250428</v>
      </c>
      <c r="Z15" s="115">
        <f>IF(ELC_EGP!AA$35="","",ELC_EGP!AA$35)+SUM($AC15:$AD15)</f>
        <v>0.92227308960250431</v>
      </c>
      <c r="AA15" s="116">
        <f>301.406974763073*(131.215852099895/100)</f>
        <v>395.49373022388164</v>
      </c>
      <c r="AB15" s="116">
        <f>90.1745105753192*(131.215852099895/100)</f>
        <v>118.32325242831502</v>
      </c>
      <c r="AC15" s="117">
        <f>0.558879176973221*(131.215852099895/100)</f>
        <v>0.73333807427429198</v>
      </c>
      <c r="AD15" s="117">
        <f>0.0909913043412747*(131.215852099895/100)</f>
        <v>0.11939501532821234</v>
      </c>
      <c r="AE15" s="24">
        <f>IF(ELC_EGP!AB$32="","",ELC_EGP!AB$32)</f>
        <v>35</v>
      </c>
      <c r="AF15" s="27">
        <f>IF(ELC_EGP!AE$32="","",ELC_EGP!AE$32)</f>
        <v>31.536000000000001</v>
      </c>
      <c r="AG15" s="26">
        <f>IF(ELC_EGP!AF$32="","",ELC_EGP!AF$32)</f>
        <v>0.9</v>
      </c>
      <c r="AH15" s="26" t="str">
        <f>IF(ELC_EGP!AG$32="","",ELC_EGP!AG$32)</f>
        <v/>
      </c>
      <c r="AI15" s="26" t="str">
        <f>IF(ELC_EGP!AH$32="","",ELC_EGP!AH$32)</f>
        <v/>
      </c>
      <c r="AJ15" s="26" t="str">
        <f>IF(ELC_EGP!AI$32="","",ELC_EGP!AI$32)</f>
        <v/>
      </c>
      <c r="AK15" s="26" t="str">
        <f>IF(ELC_EGP!AJ$32="","",ELC_EGP!AJ$32)</f>
        <v/>
      </c>
      <c r="AO15" s="37" t="s">
        <v>83</v>
      </c>
      <c r="AP15" s="37" t="str">
        <f t="shared" si="2"/>
        <v>P-TH-IGCC-PEA-CCS05-Offaly1</v>
      </c>
      <c r="AQ15" s="37" t="str">
        <f t="shared" si="3"/>
        <v>New Power Plant - IGCC peat CCS pre combustion_Offaly Kinsale</v>
      </c>
      <c r="AR15" s="37" t="s">
        <v>84</v>
      </c>
      <c r="AS15" s="37" t="s">
        <v>2</v>
      </c>
      <c r="AT15" t="s">
        <v>91</v>
      </c>
      <c r="AU15" s="1"/>
      <c r="AV15" s="37"/>
      <c r="BG15" t="s">
        <v>107</v>
      </c>
    </row>
    <row r="16" spans="2:59">
      <c r="B16" s="24" t="s">
        <v>2806</v>
      </c>
      <c r="C16" s="25" t="str">
        <f t="shared" si="0"/>
        <v>New Power Plant - IGCC peat CCS pre combustion_Offaly East Irish Sea</v>
      </c>
      <c r="D16" s="25" t="s">
        <v>2821</v>
      </c>
      <c r="E16" s="24" t="str">
        <f t="shared" si="1"/>
        <v>ELCC, PWRCO2S</v>
      </c>
      <c r="F16" s="26">
        <f>IF(ELC_EGP!G$32="","",ELC_EGP!G$32)</f>
        <v>0.35</v>
      </c>
      <c r="G16" s="26">
        <f>IF(ELC_EGP!H$32="","",ELC_EGP!H$32)</f>
        <v>0.37</v>
      </c>
      <c r="H16" s="26">
        <f>IF(ELC_EGP!I$32="","",ELC_EGP!I$32)</f>
        <v>0.4</v>
      </c>
      <c r="I16" s="26">
        <f>IF(ELC_EGP!J$32="","",ELC_EGP!J$32)</f>
        <v>0.41</v>
      </c>
      <c r="J16" s="26">
        <f>IF(ELC_EGP!K$32="","",ELC_EGP!K$32)</f>
        <v>0.44</v>
      </c>
      <c r="K16" s="24">
        <f>IF(ELC_EGP!L$32="","",ELC_EGP!L$32)</f>
        <v>2030</v>
      </c>
      <c r="L16" s="114">
        <f>IF(ELC_EGP!M$35="","",ELC_EGP!M$35)+SUM($AA16:$AB16)</f>
        <v>3625.7907106963135</v>
      </c>
      <c r="M16" s="114">
        <f>IF(ELC_EGP!N$35="","",ELC_EGP!N$35)+SUM($AA16:$AB16)</f>
        <v>3285.7907106963135</v>
      </c>
      <c r="N16" s="114">
        <f>IF(ELC_EGP!O$35="","",ELC_EGP!O$35)+SUM($AA16:$AB16)</f>
        <v>2995.7907106963135</v>
      </c>
      <c r="O16" s="114">
        <f>IF(ELC_EGP!P$35="","",ELC_EGP!P$35)+SUM($AA16:$AB16)</f>
        <v>2725.7907106963135</v>
      </c>
      <c r="P16" s="114">
        <f>IF(ELC_EGP!Q$35="","",ELC_EGP!Q$35)+SUM($AA16:$AB16)</f>
        <v>2495.7907106963135</v>
      </c>
      <c r="Q16" s="114">
        <f>IF(ELC_EGP!R$32="","",ELC_EGP!R$32)</f>
        <v>93</v>
      </c>
      <c r="R16" s="114">
        <f>IF(ELC_EGP!S$32="","",ELC_EGP!S$32)</f>
        <v>86.55</v>
      </c>
      <c r="S16" s="114">
        <f>IF(ELC_EGP!T$32="","",ELC_EGP!T$32)</f>
        <v>84.75</v>
      </c>
      <c r="T16" s="114">
        <f>IF(ELC_EGP!U$32="","",ELC_EGP!U$32)</f>
        <v>84.75</v>
      </c>
      <c r="U16" s="114">
        <f>IF(ELC_EGP!V$32="","",ELC_EGP!V$32)</f>
        <v>84.75</v>
      </c>
      <c r="V16" s="115">
        <f>IF(ELC_EGP!W$35="","",ELC_EGP!W$35)+SUM($AC16:$AD16)</f>
        <v>0.86936418701924245</v>
      </c>
      <c r="W16" s="115">
        <f>IF(ELC_EGP!X$35="","",ELC_EGP!X$35)+SUM($AC16:$AD16)</f>
        <v>0.85644418701924241</v>
      </c>
      <c r="X16" s="115">
        <f>IF(ELC_EGP!Y$35="","",ELC_EGP!Y$35)+SUM($AC16:$AD16)</f>
        <v>0.84542418701924249</v>
      </c>
      <c r="Y16" s="115">
        <f>IF(ELC_EGP!Z$35="","",ELC_EGP!Z$35)+SUM($AC16:$AD16)</f>
        <v>0.83516418701924244</v>
      </c>
      <c r="Z16" s="115">
        <f>IF(ELC_EGP!AA$35="","",ELC_EGP!AA$35)+SUM($AC16:$AD16)</f>
        <v>0.82642418701924247</v>
      </c>
      <c r="AA16" s="116">
        <f>417.22661515867*(131.215852099895/100)</f>
        <v>547.4674582679985</v>
      </c>
      <c r="AB16" s="116">
        <f>90.1745105753192*(131.215852099895/100)</f>
        <v>118.32325242831502</v>
      </c>
      <c r="AC16" s="117">
        <f>0.485832436774261*(131.215852099895/100)</f>
        <v>0.63748917169103014</v>
      </c>
      <c r="AD16" s="117">
        <f>0.0909913043412747*(131.215852099895/100)</f>
        <v>0.11939501532821234</v>
      </c>
      <c r="AE16" s="24">
        <f>IF(ELC_EGP!AB$32="","",ELC_EGP!AB$32)</f>
        <v>35</v>
      </c>
      <c r="AF16" s="27">
        <f>IF(ELC_EGP!AE$32="","",ELC_EGP!AE$32)</f>
        <v>31.536000000000001</v>
      </c>
      <c r="AG16" s="26">
        <f>IF(ELC_EGP!AF$32="","",ELC_EGP!AF$32)</f>
        <v>0.9</v>
      </c>
      <c r="AH16" s="26" t="str">
        <f>IF(ELC_EGP!AG$32="","",ELC_EGP!AG$32)</f>
        <v/>
      </c>
      <c r="AI16" s="26" t="str">
        <f>IF(ELC_EGP!AH$32="","",ELC_EGP!AH$32)</f>
        <v/>
      </c>
      <c r="AJ16" s="26" t="str">
        <f>IF(ELC_EGP!AI$32="","",ELC_EGP!AI$32)</f>
        <v/>
      </c>
      <c r="AK16" s="26" t="str">
        <f>IF(ELC_EGP!AJ$32="","",ELC_EGP!AJ$32)</f>
        <v/>
      </c>
      <c r="AO16" s="37" t="s">
        <v>83</v>
      </c>
      <c r="AP16" s="37" t="str">
        <f t="shared" si="2"/>
        <v>P-TH-IGCC-PEA-CCS05-Offaly2</v>
      </c>
      <c r="AQ16" s="37" t="str">
        <f t="shared" si="3"/>
        <v>New Power Plant - IGCC peat CCS pre combustion_Offaly East Irish Sea</v>
      </c>
      <c r="AR16" s="37" t="s">
        <v>84</v>
      </c>
      <c r="AS16" s="37" t="s">
        <v>2</v>
      </c>
      <c r="AT16" t="s">
        <v>91</v>
      </c>
      <c r="AU16" s="1"/>
      <c r="AV16" s="37"/>
      <c r="BG16" t="s">
        <v>108</v>
      </c>
    </row>
    <row r="17" spans="2:59">
      <c r="B17" s="24" t="s">
        <v>2807</v>
      </c>
      <c r="C17" s="25" t="str">
        <f t="shared" si="0"/>
        <v>New Power Plant - IGCC peat CCS pre combustion_Offaly Central Irish Sea</v>
      </c>
      <c r="D17" s="25" t="s">
        <v>2821</v>
      </c>
      <c r="E17" s="24" t="str">
        <f t="shared" si="1"/>
        <v>ELCC, PWRCO2S</v>
      </c>
      <c r="F17" s="26">
        <f>IF(ELC_EGP!G$32="","",ELC_EGP!G$32)</f>
        <v>0.35</v>
      </c>
      <c r="G17" s="26">
        <f>IF(ELC_EGP!H$32="","",ELC_EGP!H$32)</f>
        <v>0.37</v>
      </c>
      <c r="H17" s="26">
        <f>IF(ELC_EGP!I$32="","",ELC_EGP!I$32)</f>
        <v>0.4</v>
      </c>
      <c r="I17" s="26">
        <f>IF(ELC_EGP!J$32="","",ELC_EGP!J$32)</f>
        <v>0.41</v>
      </c>
      <c r="J17" s="26">
        <f>IF(ELC_EGP!K$32="","",ELC_EGP!K$32)</f>
        <v>0.44</v>
      </c>
      <c r="K17" s="24">
        <f>IF(ELC_EGP!L$32="","",ELC_EGP!L$32)</f>
        <v>2030</v>
      </c>
      <c r="L17" s="114">
        <f>IF(ELC_EGP!M$35="","",ELC_EGP!M$35)+SUM($AA17:$AB17)</f>
        <v>3532.6197381021461</v>
      </c>
      <c r="M17" s="114">
        <f>IF(ELC_EGP!N$35="","",ELC_EGP!N$35)+SUM($AA17:$AB17)</f>
        <v>3192.6197381021461</v>
      </c>
      <c r="N17" s="114">
        <f>IF(ELC_EGP!O$35="","",ELC_EGP!O$35)+SUM($AA17:$AB17)</f>
        <v>2902.6197381021461</v>
      </c>
      <c r="O17" s="114">
        <f>IF(ELC_EGP!P$35="","",ELC_EGP!P$35)+SUM($AA17:$AB17)</f>
        <v>2632.6197381021461</v>
      </c>
      <c r="P17" s="114">
        <f>IF(ELC_EGP!Q$35="","",ELC_EGP!Q$35)+SUM($AA17:$AB17)</f>
        <v>2402.6197381021461</v>
      </c>
      <c r="Q17" s="114">
        <f>IF(ELC_EGP!R$32="","",ELC_EGP!R$32)</f>
        <v>93</v>
      </c>
      <c r="R17" s="114">
        <f>IF(ELC_EGP!S$32="","",ELC_EGP!S$32)</f>
        <v>86.55</v>
      </c>
      <c r="S17" s="114">
        <f>IF(ELC_EGP!T$32="","",ELC_EGP!T$32)</f>
        <v>84.75</v>
      </c>
      <c r="T17" s="114">
        <f>IF(ELC_EGP!U$32="","",ELC_EGP!U$32)</f>
        <v>84.75</v>
      </c>
      <c r="U17" s="114">
        <f>IF(ELC_EGP!V$32="","",ELC_EGP!V$32)</f>
        <v>84.75</v>
      </c>
      <c r="V17" s="115">
        <f>IF(ELC_EGP!W$35="","",ELC_EGP!W$35)+SUM($AC17:$AD17)</f>
        <v>0.79418857715001712</v>
      </c>
      <c r="W17" s="115">
        <f>IF(ELC_EGP!X$35="","",ELC_EGP!X$35)+SUM($AC17:$AD17)</f>
        <v>0.78126857715001707</v>
      </c>
      <c r="X17" s="115">
        <f>IF(ELC_EGP!Y$35="","",ELC_EGP!Y$35)+SUM($AC17:$AD17)</f>
        <v>0.77024857715001716</v>
      </c>
      <c r="Y17" s="115">
        <f>IF(ELC_EGP!Z$35="","",ELC_EGP!Z$35)+SUM($AC17:$AD17)</f>
        <v>0.75998857715001711</v>
      </c>
      <c r="Z17" s="115">
        <f>IF(ELC_EGP!AA$35="","",ELC_EGP!AA$35)+SUM($AC17:$AD17)</f>
        <v>0.75124857715001714</v>
      </c>
      <c r="AA17" s="116">
        <f>346.220733549765*(131.215852099895/100)</f>
        <v>454.29648567383117</v>
      </c>
      <c r="AB17" s="116">
        <f>90.1745105753192*(131.215852099895/100)</f>
        <v>118.32325242831502</v>
      </c>
      <c r="AC17" s="117">
        <f>0.4285408758339*(131.215852099895/100)</f>
        <v>0.56231356182180481</v>
      </c>
      <c r="AD17" s="117">
        <f>0.0909913043412747*(131.215852099895/100)</f>
        <v>0.11939501532821234</v>
      </c>
      <c r="AE17" s="24">
        <f>IF(ELC_EGP!AB$32="","",ELC_EGP!AB$32)</f>
        <v>35</v>
      </c>
      <c r="AF17" s="27">
        <f>IF(ELC_EGP!AE$32="","",ELC_EGP!AE$32)</f>
        <v>31.536000000000001</v>
      </c>
      <c r="AG17" s="26">
        <f>IF(ELC_EGP!AF$32="","",ELC_EGP!AF$32)</f>
        <v>0.9</v>
      </c>
      <c r="AH17" s="26" t="str">
        <f>IF(ELC_EGP!AG$32="","",ELC_EGP!AG$32)</f>
        <v/>
      </c>
      <c r="AI17" s="26" t="str">
        <f>IF(ELC_EGP!AH$32="","",ELC_EGP!AH$32)</f>
        <v/>
      </c>
      <c r="AJ17" s="26" t="str">
        <f>IF(ELC_EGP!AI$32="","",ELC_EGP!AI$32)</f>
        <v/>
      </c>
      <c r="AK17" s="26" t="str">
        <f>IF(ELC_EGP!AJ$32="","",ELC_EGP!AJ$32)</f>
        <v/>
      </c>
      <c r="AO17" s="37" t="s">
        <v>83</v>
      </c>
      <c r="AP17" s="37" t="str">
        <f t="shared" si="2"/>
        <v>P-TH-IGCC-PEA-CCS05-Offaly3</v>
      </c>
      <c r="AQ17" s="37" t="str">
        <f t="shared" si="3"/>
        <v>New Power Plant - IGCC peat CCS pre combustion_Offaly Central Irish Sea</v>
      </c>
      <c r="AR17" s="37" t="s">
        <v>84</v>
      </c>
      <c r="AS17" s="37" t="s">
        <v>2</v>
      </c>
      <c r="AT17" t="s">
        <v>91</v>
      </c>
      <c r="AU17" s="1"/>
      <c r="AV17" s="37"/>
      <c r="BG17" t="s">
        <v>109</v>
      </c>
    </row>
    <row r="18" spans="2:59">
      <c r="B18" s="24" t="s">
        <v>2945</v>
      </c>
      <c r="C18" s="25" t="str">
        <f t="shared" si="0"/>
        <v>New Power Plant - CCGT advanced CCS post combustion_Dublin East Irish Sea</v>
      </c>
      <c r="D18" s="25" t="s">
        <v>2819</v>
      </c>
      <c r="E18" s="24" t="str">
        <f t="shared" si="1"/>
        <v>ELCC, PWRCO2S</v>
      </c>
      <c r="F18" s="26">
        <f>IF(ELC_EGP!G$28="","",ELC_EGP!G$28)</f>
        <v>0.5</v>
      </c>
      <c r="G18" s="26">
        <f>IF(ELC_EGP!H$28="","",ELC_EGP!H$28)</f>
        <v>0.52</v>
      </c>
      <c r="H18" s="26">
        <f>IF(ELC_EGP!I$28="","",ELC_EGP!I$28)</f>
        <v>0.55000000000000004</v>
      </c>
      <c r="I18" s="26">
        <f>IF(ELC_EGP!J$28="","",ELC_EGP!J$28)</f>
        <v>0.55000000000000004</v>
      </c>
      <c r="J18" s="26">
        <f>IF(ELC_EGP!K$28="","",ELC_EGP!K$28)</f>
        <v>0.55000000000000004</v>
      </c>
      <c r="K18" s="24">
        <f>IF(ELC_EGP!L$28="","",ELC_EGP!L$28)</f>
        <v>2030</v>
      </c>
      <c r="L18" s="114"/>
      <c r="M18" s="114"/>
      <c r="N18" s="114">
        <f>IF(ELC_EGP!O$28="","",ELC_EGP!O$28)+SUM($AA18:$AB18)</f>
        <v>1748.6566965995676</v>
      </c>
      <c r="O18" s="114">
        <f>IF(ELC_EGP!P$28="","",ELC_EGP!P$28)+SUM($AA18:$AB18)</f>
        <v>1668.6566965995676</v>
      </c>
      <c r="P18" s="114">
        <f>IF(ELC_EGP!Q$28="","",ELC_EGP!Q$28)+SUM($AA18:$AB18)</f>
        <v>1638.6566965995676</v>
      </c>
      <c r="Q18" s="114">
        <f>IF(ELC_EGP!R$28="","",ELC_EGP!R$28)</f>
        <v>37.5</v>
      </c>
      <c r="R18" s="114">
        <f>IF(ELC_EGP!S$28="","",ELC_EGP!S$28)</f>
        <v>37.5</v>
      </c>
      <c r="S18" s="114">
        <f>IF(ELC_EGP!T$28="","",ELC_EGP!T$28)</f>
        <v>37.5</v>
      </c>
      <c r="T18" s="114">
        <f>IF(ELC_EGP!U$28="","",ELC_EGP!U$28)</f>
        <v>37.5</v>
      </c>
      <c r="U18" s="114">
        <f>IF(ELC_EGP!V$28="","",ELC_EGP!V$28)</f>
        <v>37.5</v>
      </c>
      <c r="V18" s="115">
        <f>IF(ELC_EGP!W$28="","",ELC_EGP!W$28)+SUM($AC18:$AD18)</f>
        <v>0.24714745993078663</v>
      </c>
      <c r="W18" s="115">
        <f>IF(ELC_EGP!X$28="","",ELC_EGP!X$28)+SUM($AC18:$AD18)</f>
        <v>0.24714745993078663</v>
      </c>
      <c r="X18" s="115">
        <f>IF(ELC_EGP!Y$28="","",ELC_EGP!Y$28)+SUM($AC18:$AD18)</f>
        <v>0.24714745993078663</v>
      </c>
      <c r="Y18" s="115">
        <f>IF(ELC_EGP!Z$28="","",ELC_EGP!Z$28)+SUM($AC18:$AD18)</f>
        <v>0.24714745993078663</v>
      </c>
      <c r="Z18" s="115">
        <f>IF(ELC_EGP!AA$28="","",ELC_EGP!AA$28)+SUM($AC18:$AD18)</f>
        <v>0.24714745993078663</v>
      </c>
      <c r="AA18" s="116">
        <f>222.27928155831*(131.215852099895/100)</f>
        <v>291.66565333826122</v>
      </c>
      <c r="AB18" s="116">
        <f>51.0540778337558*(131.215852099895/100)</f>
        <v>66.991043261306274</v>
      </c>
      <c r="AC18" s="117">
        <f>0.0932556484566934*(131.215852099895/100)</f>
        <v>0.12236619375373282</v>
      </c>
      <c r="AD18" s="117">
        <f>0.0493699999964453*(131.215852099895/100)</f>
        <v>6.478126617705382E-2</v>
      </c>
      <c r="AE18" s="24">
        <f>IF(ELC_EGP!AB$28="","",ELC_EGP!AB$28)</f>
        <v>30</v>
      </c>
      <c r="AF18" s="27">
        <f>IF(ELC_EGP!AE$28="","",ELC_EGP!AE$28)</f>
        <v>31.536000000000001</v>
      </c>
      <c r="AG18" s="26">
        <f>IF(ELC_EGP!AF$28="","",ELC_EGP!AF$28)</f>
        <v>0.9</v>
      </c>
      <c r="AH18" s="26" t="str">
        <f>IF(ELC_EGP!AG$28="","",ELC_EGP!AG$28)</f>
        <v/>
      </c>
      <c r="AI18" s="26" t="str">
        <f>IF(ELC_EGP!AH$28="","",ELC_EGP!AH$28)</f>
        <v/>
      </c>
      <c r="AJ18" s="26" t="str">
        <f>IF(ELC_EGP!AI$28="","",ELC_EGP!AI$28)</f>
        <v/>
      </c>
      <c r="AK18" s="26" t="str">
        <f>IF(ELC_EGP!AJ$28="","",ELC_EGP!AJ$28)</f>
        <v/>
      </c>
      <c r="AO18" s="37" t="s">
        <v>83</v>
      </c>
      <c r="AP18" s="37" t="str">
        <f t="shared" si="2"/>
        <v>P-TH-CCGT-GAS-CCS04-Dublin1</v>
      </c>
      <c r="AQ18" s="37" t="str">
        <f t="shared" si="3"/>
        <v>New Power Plant - CCGT advanced CCS post combustion_Dublin East Irish Sea</v>
      </c>
      <c r="AR18" s="37" t="s">
        <v>84</v>
      </c>
      <c r="AS18" s="37" t="s">
        <v>2</v>
      </c>
      <c r="AT18" t="s">
        <v>91</v>
      </c>
      <c r="AU18" s="1"/>
      <c r="AV18" s="37"/>
      <c r="BG18" t="s">
        <v>105</v>
      </c>
    </row>
    <row r="19" spans="2:59">
      <c r="B19" s="24" t="s">
        <v>2808</v>
      </c>
      <c r="C19" s="25" t="str">
        <f t="shared" si="0"/>
        <v>New Power Plant - CCGT advanced CCS post combustion_Dublin Central Irish Sea</v>
      </c>
      <c r="D19" s="25" t="s">
        <v>2819</v>
      </c>
      <c r="E19" s="24" t="str">
        <f t="shared" si="1"/>
        <v>ELCC, PWRCO2S</v>
      </c>
      <c r="F19" s="26">
        <f>IF(ELC_EGP!G$28="","",ELC_EGP!G$28)</f>
        <v>0.5</v>
      </c>
      <c r="G19" s="26">
        <f>IF(ELC_EGP!H$28="","",ELC_EGP!H$28)</f>
        <v>0.52</v>
      </c>
      <c r="H19" s="26">
        <f>IF(ELC_EGP!I$28="","",ELC_EGP!I$28)</f>
        <v>0.55000000000000004</v>
      </c>
      <c r="I19" s="26">
        <f>IF(ELC_EGP!J$28="","",ELC_EGP!J$28)</f>
        <v>0.55000000000000004</v>
      </c>
      <c r="J19" s="26">
        <f>IF(ELC_EGP!K$28="","",ELC_EGP!K$28)</f>
        <v>0.55000000000000004</v>
      </c>
      <c r="K19" s="24">
        <f>IF(ELC_EGP!L$28="","",ELC_EGP!L$28)</f>
        <v>2030</v>
      </c>
      <c r="L19" s="114"/>
      <c r="M19" s="114"/>
      <c r="N19" s="114">
        <f>IF(ELC_EGP!O$28="","",ELC_EGP!O$28)+SUM($AA19:$AB19)</f>
        <v>1651.4348121534804</v>
      </c>
      <c r="O19" s="114">
        <f>IF(ELC_EGP!P$28="","",ELC_EGP!P$28)+SUM($AA19:$AB19)</f>
        <v>1571.4348121534804</v>
      </c>
      <c r="P19" s="114">
        <f>IF(ELC_EGP!Q$28="","",ELC_EGP!Q$28)+SUM($AA19:$AB19)</f>
        <v>1541.4348121534804</v>
      </c>
      <c r="Q19" s="114">
        <f>IF(ELC_EGP!R$28="","",ELC_EGP!R$28)</f>
        <v>37.5</v>
      </c>
      <c r="R19" s="114">
        <f>IF(ELC_EGP!S$28="","",ELC_EGP!S$28)</f>
        <v>37.5</v>
      </c>
      <c r="S19" s="114">
        <f>IF(ELC_EGP!T$28="","",ELC_EGP!T$28)</f>
        <v>37.5</v>
      </c>
      <c r="T19" s="114">
        <f>IF(ELC_EGP!U$28="","",ELC_EGP!U$28)</f>
        <v>37.5</v>
      </c>
      <c r="U19" s="114">
        <f>IF(ELC_EGP!V$28="","",ELC_EGP!V$28)</f>
        <v>37.5</v>
      </c>
      <c r="V19" s="115">
        <f>IF(ELC_EGP!W$28="","",ELC_EGP!W$28)+SUM($AC19:$AD19)</f>
        <v>0.20635872867954241</v>
      </c>
      <c r="W19" s="115">
        <f>IF(ELC_EGP!X$28="","",ELC_EGP!X$28)+SUM($AC19:$AD19)</f>
        <v>0.20635872867954241</v>
      </c>
      <c r="X19" s="115">
        <f>IF(ELC_EGP!Y$28="","",ELC_EGP!Y$28)+SUM($AC19:$AD19)</f>
        <v>0.20635872867954241</v>
      </c>
      <c r="Y19" s="115">
        <f>IF(ELC_EGP!Z$28="","",ELC_EGP!Z$28)+SUM($AC19:$AD19)</f>
        <v>0.20635872867954241</v>
      </c>
      <c r="Z19" s="115">
        <f>IF(ELC_EGP!AA$28="","",ELC_EGP!AA$28)+SUM($AC19:$AD19)</f>
        <v>0.20635872867954241</v>
      </c>
      <c r="AA19" s="116">
        <f>148.18618770554*(131.215852099895/100)</f>
        <v>194.44376889217412</v>
      </c>
      <c r="AB19" s="116">
        <f>51.0540778337558*(131.215852099895/100)</f>
        <v>66.991043261306274</v>
      </c>
      <c r="AC19" s="117">
        <f>0.0621704323044623*(131.215852099895/100)</f>
        <v>8.1577462502488596E-2</v>
      </c>
      <c r="AD19" s="117">
        <f>0.0493699999964453*(131.215852099895/100)</f>
        <v>6.478126617705382E-2</v>
      </c>
      <c r="AE19" s="24">
        <f>IF(ELC_EGP!AB$28="","",ELC_EGP!AB$28)</f>
        <v>30</v>
      </c>
      <c r="AF19" s="27">
        <f>IF(ELC_EGP!AE$28="","",ELC_EGP!AE$28)</f>
        <v>31.536000000000001</v>
      </c>
      <c r="AG19" s="26">
        <f>IF(ELC_EGP!AF$28="","",ELC_EGP!AF$28)</f>
        <v>0.9</v>
      </c>
      <c r="AH19" s="26" t="str">
        <f>IF(ELC_EGP!AG$28="","",ELC_EGP!AG$28)</f>
        <v/>
      </c>
      <c r="AI19" s="26" t="str">
        <f>IF(ELC_EGP!AH$28="","",ELC_EGP!AH$28)</f>
        <v/>
      </c>
      <c r="AJ19" s="26" t="str">
        <f>IF(ELC_EGP!AI$28="","",ELC_EGP!AI$28)</f>
        <v/>
      </c>
      <c r="AK19" s="26" t="str">
        <f>IF(ELC_EGP!AJ$28="","",ELC_EGP!AJ$28)</f>
        <v/>
      </c>
      <c r="AO19" s="37" t="s">
        <v>83</v>
      </c>
      <c r="AP19" s="37" t="str">
        <f t="shared" si="2"/>
        <v>P-TH-CCGT-GAS-CCS04-Dublin2</v>
      </c>
      <c r="AQ19" s="37" t="str">
        <f t="shared" si="3"/>
        <v>New Power Plant - CCGT advanced CCS post combustion_Dublin Central Irish Sea</v>
      </c>
      <c r="AR19" s="37" t="s">
        <v>84</v>
      </c>
      <c r="AS19" s="37" t="s">
        <v>2</v>
      </c>
      <c r="AT19" t="s">
        <v>91</v>
      </c>
      <c r="AU19" s="1"/>
      <c r="AV19" s="37"/>
      <c r="BG19" t="s">
        <v>106</v>
      </c>
    </row>
    <row r="20" spans="2:59">
      <c r="B20" s="118" t="s">
        <v>2809</v>
      </c>
      <c r="C20" s="19" t="str">
        <f t="shared" si="0"/>
        <v>New Power Plant - Pulverised coal supercritical CCS post-combustion_Kilroot Portpatrick</v>
      </c>
      <c r="D20" s="19" t="s">
        <v>2820</v>
      </c>
      <c r="E20" s="118" t="str">
        <f t="shared" si="1"/>
        <v>ELCC, PWRCO2S</v>
      </c>
      <c r="F20" s="20">
        <f>IF(ELC_EGP!G$29="","",ELC_EGP!G$29)</f>
        <v>0.34</v>
      </c>
      <c r="G20" s="20">
        <f>IF(ELC_EGP!H$29="","",ELC_EGP!H$29)</f>
        <v>0.35</v>
      </c>
      <c r="H20" s="20">
        <f>IF(ELC_EGP!I$29="","",ELC_EGP!I$29)</f>
        <v>0.35</v>
      </c>
      <c r="I20" s="20">
        <f>IF(ELC_EGP!J$29="","",ELC_EGP!J$29)</f>
        <v>0.38</v>
      </c>
      <c r="J20" s="20">
        <f>IF(ELC_EGP!K$29="","",ELC_EGP!K$29)</f>
        <v>0.38</v>
      </c>
      <c r="K20" s="118">
        <f>IF(ELC_EGP!L$29="","",ELC_EGP!L$29)</f>
        <v>2030</v>
      </c>
      <c r="L20" s="119"/>
      <c r="M20" s="119"/>
      <c r="N20" s="119">
        <f>IF(ELC_EGP!O$29="","",ELC_EGP!O$29)+SUM($AA20:$AB20)</f>
        <v>2982.5512158872043</v>
      </c>
      <c r="O20" s="119">
        <f>IF(ELC_EGP!P$29="","",ELC_EGP!P$29)+SUM($AA20:$AB20)</f>
        <v>2832.5512158872043</v>
      </c>
      <c r="P20" s="119">
        <f>IF(ELC_EGP!Q$29="","",ELC_EGP!Q$29)+SUM($AA20:$AB20)</f>
        <v>2812.5512158872043</v>
      </c>
      <c r="Q20" s="120">
        <f>IF(ELC_EGP!R$29="","",ELC_EGP!R$29)</f>
        <v>75</v>
      </c>
      <c r="R20" s="120">
        <f>IF(ELC_EGP!S$29="","",ELC_EGP!S$29)</f>
        <v>67.5</v>
      </c>
      <c r="S20" s="120">
        <f>IF(ELC_EGP!T$29="","",ELC_EGP!T$29)</f>
        <v>63.75</v>
      </c>
      <c r="T20" s="120">
        <f>IF(ELC_EGP!U$29="","",ELC_EGP!U$29)</f>
        <v>63.75</v>
      </c>
      <c r="U20" s="120">
        <f>IF(ELC_EGP!V$29="","",ELC_EGP!V$29)</f>
        <v>63.75</v>
      </c>
      <c r="V20" s="121">
        <f>IF(ELC_EGP!W$29="","",ELC_EGP!W$29)+SUM($AC20:$AD20)</f>
        <v>0.38462916182051266</v>
      </c>
      <c r="W20" s="121">
        <f>IF(ELC_EGP!X$29="","",ELC_EGP!X$29)+SUM($AC20:$AD20)</f>
        <v>0.3681291618205127</v>
      </c>
      <c r="X20" s="121">
        <f>IF(ELC_EGP!Y$29="","",ELC_EGP!Y$29)+SUM($AC20:$AD20)</f>
        <v>0.35987916182051272</v>
      </c>
      <c r="Y20" s="121">
        <f>IF(ELC_EGP!Z$29="","",ELC_EGP!Z$29)+SUM($AC20:$AD20)</f>
        <v>0.35987916182051272</v>
      </c>
      <c r="Z20" s="121">
        <f>IF(ELC_EGP!AA$29="","",ELC_EGP!AA$29)+SUM($AC20:$AD20)</f>
        <v>0.35987916182051272</v>
      </c>
      <c r="AA20" s="122">
        <f>94.6745088118728*(131.215852099895/100)</f>
        <v>124.22796345888906</v>
      </c>
      <c r="AB20" s="122">
        <f>90.1745105753192*(131.215852099895/100)</f>
        <v>118.32325242831502</v>
      </c>
      <c r="AC20" s="123">
        <f>0.0763887479204813*(131.215852099895/100)</f>
        <v>0.10023414649230035</v>
      </c>
      <c r="AD20" s="123">
        <f>0.0909913043412747*(131.215852099895/100)</f>
        <v>0.11939501532821234</v>
      </c>
      <c r="AE20" s="118">
        <f>IF(ELC_EGP!AB$29="","",ELC_EGP!AB$29)</f>
        <v>40</v>
      </c>
      <c r="AF20" s="124">
        <f>IF(ELC_EGP!AE$29="","",ELC_EGP!AE$29)</f>
        <v>31.536000000000001</v>
      </c>
      <c r="AG20" s="20">
        <f>IF(ELC_EGP!AF$29="","",ELC_EGP!AF$29)</f>
        <v>0.9</v>
      </c>
      <c r="AH20" s="20" t="str">
        <f>IF(ELC_EGP!AG$29="","",ELC_EGP!AG$29)</f>
        <v/>
      </c>
      <c r="AI20" s="20" t="str">
        <f>IF(ELC_EGP!AH$29="","",ELC_EGP!AH$29)</f>
        <v/>
      </c>
      <c r="AJ20" s="20" t="str">
        <f>IF(ELC_EGP!AI$29="","",ELC_EGP!AI$29)</f>
        <v/>
      </c>
      <c r="AK20" s="20" t="str">
        <f>IF(ELC_EGP!AJ$29="","",ELC_EGP!AJ$29)</f>
        <v/>
      </c>
      <c r="AO20" s="37" t="s">
        <v>83</v>
      </c>
      <c r="AP20" s="37" t="str">
        <f t="shared" si="2"/>
        <v>P-TH-SC-COA-CCS04-Kilroot1</v>
      </c>
      <c r="AQ20" s="37" t="str">
        <f t="shared" si="3"/>
        <v>New Power Plant - Pulverised coal supercritical CCS post-combustion_Kilroot Portpatrick</v>
      </c>
      <c r="AR20" s="37" t="s">
        <v>84</v>
      </c>
      <c r="AS20" s="37" t="s">
        <v>2</v>
      </c>
      <c r="AT20" t="s">
        <v>91</v>
      </c>
      <c r="AU20" s="1"/>
      <c r="AV20" s="37"/>
      <c r="BG20" s="35" t="s">
        <v>110</v>
      </c>
    </row>
    <row r="24" spans="2:59">
      <c r="B24" s="1"/>
      <c r="C24" s="1"/>
      <c r="D24" s="1"/>
      <c r="E24" s="125" t="s">
        <v>2828</v>
      </c>
      <c r="F24" s="1"/>
      <c r="G24" s="1"/>
      <c r="H24" s="1"/>
      <c r="I24" s="1"/>
      <c r="J24" s="1"/>
      <c r="K24" s="1"/>
      <c r="L24" s="1"/>
      <c r="M24" s="1"/>
      <c r="N24" s="1"/>
      <c r="AA24">
        <f>131.215852099895/100</f>
        <v>1.3121585209989499</v>
      </c>
      <c r="AB24" s="51" t="s">
        <v>119</v>
      </c>
      <c r="AC24" t="s">
        <v>118</v>
      </c>
    </row>
    <row r="25" spans="2:59">
      <c r="B25" s="129" t="s">
        <v>17</v>
      </c>
      <c r="C25" s="129" t="s">
        <v>19</v>
      </c>
      <c r="D25" s="129" t="s">
        <v>2829</v>
      </c>
      <c r="E25" s="129" t="s">
        <v>2830</v>
      </c>
      <c r="F25" s="129" t="s">
        <v>2831</v>
      </c>
      <c r="G25" s="129" t="s">
        <v>2832</v>
      </c>
      <c r="H25" s="129" t="s">
        <v>2833</v>
      </c>
      <c r="I25" s="129" t="s">
        <v>2834</v>
      </c>
      <c r="J25" s="130" t="s">
        <v>2835</v>
      </c>
      <c r="K25" s="129" t="s">
        <v>75</v>
      </c>
      <c r="L25" s="129" t="s">
        <v>21</v>
      </c>
      <c r="M25" s="129" t="s">
        <v>24</v>
      </c>
      <c r="N25" s="129" t="s">
        <v>27</v>
      </c>
      <c r="AA25" t="s">
        <v>120</v>
      </c>
    </row>
    <row r="26" spans="2:59">
      <c r="B26" t="s">
        <v>2838</v>
      </c>
      <c r="C26" s="128" t="s">
        <v>2822</v>
      </c>
      <c r="D26" s="128" t="s">
        <v>133</v>
      </c>
      <c r="E26" s="1">
        <v>2018</v>
      </c>
      <c r="F26" s="1">
        <v>2019</v>
      </c>
      <c r="G26" s="1">
        <v>20</v>
      </c>
      <c r="H26" s="1">
        <v>0.61</v>
      </c>
      <c r="I26" s="1">
        <v>31.536000000000001</v>
      </c>
      <c r="J26" s="126">
        <v>8.2000000000000003E-2</v>
      </c>
      <c r="K26" s="126">
        <v>0.34</v>
      </c>
      <c r="L26" s="127">
        <v>3373</v>
      </c>
      <c r="M26" s="127">
        <v>118</v>
      </c>
      <c r="N26" s="127"/>
      <c r="R26" s="1" t="s">
        <v>2836</v>
      </c>
    </row>
    <row r="27" spans="2:59">
      <c r="E27" s="1">
        <v>2020</v>
      </c>
      <c r="J27" s="1">
        <v>0.09</v>
      </c>
      <c r="K27" s="1">
        <v>0.34</v>
      </c>
      <c r="L27" s="1">
        <v>3373</v>
      </c>
      <c r="M27" s="1">
        <v>118</v>
      </c>
    </row>
    <row r="28" spans="2:59">
      <c r="E28" s="1">
        <v>2030</v>
      </c>
      <c r="J28" s="1">
        <v>0.09</v>
      </c>
      <c r="K28" s="1">
        <v>0.35</v>
      </c>
      <c r="L28" s="1">
        <v>2652</v>
      </c>
      <c r="M28" s="1">
        <v>93</v>
      </c>
    </row>
    <row r="29" spans="2:59">
      <c r="E29" s="19">
        <v>2050</v>
      </c>
      <c r="F29" s="19"/>
      <c r="H29" s="19"/>
      <c r="I29" s="19"/>
      <c r="J29" s="19">
        <v>0.09</v>
      </c>
      <c r="K29" s="1">
        <v>0.36</v>
      </c>
      <c r="L29" s="19">
        <v>2321</v>
      </c>
      <c r="M29" s="1">
        <v>81</v>
      </c>
    </row>
    <row r="32" spans="2:59">
      <c r="B32" s="131" t="s">
        <v>37</v>
      </c>
      <c r="C32" s="9"/>
      <c r="D32" s="9"/>
      <c r="E32" s="9"/>
      <c r="F32" s="9"/>
      <c r="G32" s="9"/>
      <c r="H32" s="9"/>
      <c r="I32" s="9"/>
    </row>
    <row r="33" spans="2:9">
      <c r="B33" s="132" t="s">
        <v>38</v>
      </c>
      <c r="C33" s="133" t="s">
        <v>17</v>
      </c>
      <c r="D33" s="133" t="s">
        <v>39</v>
      </c>
      <c r="E33" s="133" t="s">
        <v>40</v>
      </c>
      <c r="F33" s="133" t="s">
        <v>41</v>
      </c>
      <c r="G33" s="133" t="s">
        <v>42</v>
      </c>
      <c r="H33" s="133" t="s">
        <v>43</v>
      </c>
      <c r="I33" s="134" t="s">
        <v>44</v>
      </c>
    </row>
    <row r="34" spans="2:9">
      <c r="B34" s="1" t="s">
        <v>83</v>
      </c>
      <c r="C34" t="s">
        <v>2838</v>
      </c>
      <c r="D34" s="1" t="s">
        <v>2837</v>
      </c>
      <c r="E34" s="1" t="s">
        <v>84</v>
      </c>
      <c r="F34" s="1" t="s">
        <v>2</v>
      </c>
      <c r="G34" s="1" t="s">
        <v>91</v>
      </c>
      <c r="I34" s="9"/>
    </row>
  </sheetData>
  <phoneticPr fontId="1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0C20-3C37-4B95-AF67-7102433BAAB7}">
  <sheetPr codeName="Sheet5"/>
  <dimension ref="A1:V1937"/>
  <sheetViews>
    <sheetView topLeftCell="D1" workbookViewId="0">
      <selection activeCell="V1" sqref="V1"/>
    </sheetView>
  </sheetViews>
  <sheetFormatPr defaultRowHeight="14.5"/>
  <sheetData>
    <row r="1" spans="1:22" ht="89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</row>
    <row r="2" spans="1:22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</row>
    <row r="3" spans="1:22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</row>
    <row r="4" spans="1:22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</row>
    <row r="5" spans="1:22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</row>
    <row r="6" spans="1:22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</row>
    <row r="7" spans="1:22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</row>
    <row r="8" spans="1:22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</row>
    <row r="9" spans="1:22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</row>
    <row r="10" spans="1:22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</row>
    <row r="11" spans="1:22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</row>
    <row r="12" spans="1:22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</row>
    <row r="13" spans="1:22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</row>
    <row r="14" spans="1:22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</row>
    <row r="15" spans="1:22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</row>
    <row r="16" spans="1:22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</row>
    <row r="17" spans="1:22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</row>
    <row r="18" spans="1:22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</row>
    <row r="19" spans="1:22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</row>
    <row r="20" spans="1:22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</row>
    <row r="21" spans="1:22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</row>
    <row r="22" spans="1:22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</row>
    <row r="23" spans="1:22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</row>
    <row r="24" spans="1:22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</row>
    <row r="25" spans="1:22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</row>
    <row r="26" spans="1:22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</row>
    <row r="27" spans="1:22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</row>
    <row r="28" spans="1:22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</row>
    <row r="29" spans="1:22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</row>
    <row r="30" spans="1:22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</row>
    <row r="31" spans="1:22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</row>
    <row r="32" spans="1:22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</row>
    <row r="33" spans="1:22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</row>
    <row r="34" spans="1:22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</row>
    <row r="35" spans="1:22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</row>
    <row r="36" spans="1:22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</row>
    <row r="37" spans="1:22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</row>
    <row r="38" spans="1:22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</row>
    <row r="39" spans="1:22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</row>
    <row r="40" spans="1:22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</row>
    <row r="41" spans="1:22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</row>
    <row r="42" spans="1:22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</row>
    <row r="43" spans="1:22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</row>
    <row r="44" spans="1:22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</row>
    <row r="45" spans="1:22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</row>
    <row r="46" spans="1:22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</row>
    <row r="47" spans="1:22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</row>
    <row r="48" spans="1:22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</row>
    <row r="49" spans="1:22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</row>
    <row r="50" spans="1:22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</row>
    <row r="51" spans="1:22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</row>
    <row r="52" spans="1:22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</row>
    <row r="53" spans="1:22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</row>
    <row r="54" spans="1:22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</row>
    <row r="55" spans="1:22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</row>
    <row r="56" spans="1:22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</row>
    <row r="57" spans="1:22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</row>
    <row r="58" spans="1:22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</row>
    <row r="59" spans="1:22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</row>
    <row r="60" spans="1:22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</row>
    <row r="61" spans="1:22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</row>
    <row r="62" spans="1:22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</row>
    <row r="63" spans="1:22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</row>
    <row r="64" spans="1:22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</row>
    <row r="65" spans="1:22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</row>
    <row r="66" spans="1:22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</row>
    <row r="67" spans="1:22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</row>
    <row r="68" spans="1:22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</row>
    <row r="69" spans="1:22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</row>
    <row r="70" spans="1:22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</row>
    <row r="71" spans="1:22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</row>
    <row r="72" spans="1:22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</row>
    <row r="73" spans="1:22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</row>
    <row r="74" spans="1:22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</row>
    <row r="75" spans="1:22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</row>
    <row r="76" spans="1:22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</row>
    <row r="77" spans="1:22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</row>
    <row r="78" spans="1:22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</row>
    <row r="79" spans="1:22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</row>
    <row r="80" spans="1:22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</row>
    <row r="81" spans="1:22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</row>
    <row r="82" spans="1:22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</row>
    <row r="83" spans="1:22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</row>
    <row r="84" spans="1:22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</row>
    <row r="85" spans="1:22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</row>
    <row r="86" spans="1:22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</row>
    <row r="87" spans="1:22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</row>
    <row r="88" spans="1:22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</row>
    <row r="89" spans="1:22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</row>
    <row r="90" spans="1:22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</row>
    <row r="91" spans="1:22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</row>
    <row r="92" spans="1:22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</row>
    <row r="93" spans="1:22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</row>
    <row r="94" spans="1:22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</row>
    <row r="95" spans="1:22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</row>
    <row r="96" spans="1:22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</row>
    <row r="97" spans="1:22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</row>
    <row r="98" spans="1:22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</row>
    <row r="99" spans="1:22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</row>
    <row r="100" spans="1:22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</row>
    <row r="101" spans="1:22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</row>
    <row r="102" spans="1:22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</row>
    <row r="103" spans="1:22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</row>
    <row r="104" spans="1:22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</row>
    <row r="105" spans="1:22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</row>
    <row r="106" spans="1:22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</row>
    <row r="107" spans="1:22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</row>
    <row r="108" spans="1:22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</row>
    <row r="109" spans="1:22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</row>
    <row r="110" spans="1:22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</row>
    <row r="111" spans="1:22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</row>
    <row r="112" spans="1:22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</row>
    <row r="113" spans="1:22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</row>
    <row r="114" spans="1:22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</row>
    <row r="115" spans="1:22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</row>
    <row r="116" spans="1:22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</row>
    <row r="117" spans="1:22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</row>
    <row r="118" spans="1:22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</row>
    <row r="119" spans="1:22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</row>
    <row r="120" spans="1:22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</row>
    <row r="121" spans="1:22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</row>
    <row r="122" spans="1:22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</row>
    <row r="123" spans="1:22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</row>
    <row r="124" spans="1:22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</row>
    <row r="125" spans="1:22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</row>
    <row r="126" spans="1:22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</row>
    <row r="127" spans="1:22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</row>
    <row r="128" spans="1:22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</row>
    <row r="129" spans="1:22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</row>
    <row r="130" spans="1:22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</row>
    <row r="131" spans="1:22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</row>
    <row r="132" spans="1:22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</row>
    <row r="133" spans="1:22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</row>
    <row r="134" spans="1:22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</row>
    <row r="135" spans="1:22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</row>
    <row r="136" spans="1:22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</row>
    <row r="137" spans="1:22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</row>
    <row r="138" spans="1:22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</row>
    <row r="139" spans="1:22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</row>
    <row r="140" spans="1:22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</row>
    <row r="141" spans="1:22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</row>
    <row r="142" spans="1:22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</row>
    <row r="143" spans="1:22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</row>
    <row r="144" spans="1:22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</row>
    <row r="145" spans="1:22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</row>
    <row r="146" spans="1:22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</row>
    <row r="147" spans="1:22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</row>
    <row r="148" spans="1:22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</row>
    <row r="149" spans="1:22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</row>
    <row r="150" spans="1:22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</row>
    <row r="151" spans="1:22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</row>
    <row r="152" spans="1:22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</row>
    <row r="153" spans="1:22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</row>
    <row r="154" spans="1:22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</row>
    <row r="155" spans="1:22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</row>
    <row r="156" spans="1:22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</row>
    <row r="157" spans="1:22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</row>
    <row r="158" spans="1:22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</row>
    <row r="159" spans="1:22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</row>
    <row r="160" spans="1:22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</row>
    <row r="161" spans="1:22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</row>
    <row r="162" spans="1:22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</row>
    <row r="163" spans="1:22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</row>
    <row r="164" spans="1:22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</row>
    <row r="165" spans="1:22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</row>
    <row r="166" spans="1:22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</row>
    <row r="167" spans="1:22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</row>
    <row r="168" spans="1:22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</row>
    <row r="169" spans="1:22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</row>
    <row r="170" spans="1:22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</row>
    <row r="171" spans="1:22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</row>
    <row r="172" spans="1:22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</row>
    <row r="173" spans="1:22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</row>
    <row r="174" spans="1:22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</row>
    <row r="175" spans="1:22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</row>
    <row r="176" spans="1:22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</row>
    <row r="177" spans="1:22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</row>
    <row r="178" spans="1:22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</row>
    <row r="179" spans="1:22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</row>
    <row r="180" spans="1:22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</row>
    <row r="181" spans="1:22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</row>
    <row r="182" spans="1:22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</row>
    <row r="183" spans="1:22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</row>
    <row r="184" spans="1:22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</row>
    <row r="185" spans="1:22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</row>
    <row r="186" spans="1:22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</row>
    <row r="187" spans="1:22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</row>
    <row r="188" spans="1:22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</row>
    <row r="189" spans="1:22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</row>
    <row r="190" spans="1:22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</row>
    <row r="191" spans="1:22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</row>
    <row r="192" spans="1:22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</row>
    <row r="193" spans="1:22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</row>
    <row r="194" spans="1:22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</row>
    <row r="195" spans="1:22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</row>
    <row r="196" spans="1:22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</row>
    <row r="197" spans="1:22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</row>
    <row r="198" spans="1:22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</row>
    <row r="199" spans="1:22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</row>
    <row r="200" spans="1:22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</row>
    <row r="201" spans="1:22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</row>
    <row r="202" spans="1:22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</row>
    <row r="203" spans="1:22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</row>
    <row r="204" spans="1:22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</row>
    <row r="205" spans="1:22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</row>
    <row r="206" spans="1:22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</row>
    <row r="207" spans="1:22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</row>
    <row r="208" spans="1:22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</row>
    <row r="209" spans="1:22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</row>
    <row r="210" spans="1:22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</row>
    <row r="211" spans="1:22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</row>
    <row r="212" spans="1:22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</row>
    <row r="213" spans="1:22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</row>
    <row r="214" spans="1:22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</row>
    <row r="215" spans="1:22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</row>
    <row r="216" spans="1:22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</row>
    <row r="217" spans="1:22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</row>
    <row r="218" spans="1:22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</row>
    <row r="219" spans="1:22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</row>
    <row r="220" spans="1:22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</row>
    <row r="221" spans="1:22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</row>
    <row r="222" spans="1:22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</row>
    <row r="223" spans="1:22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</row>
    <row r="224" spans="1:22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</row>
    <row r="225" spans="1:22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</row>
    <row r="226" spans="1:22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</row>
    <row r="227" spans="1:22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</row>
    <row r="228" spans="1:22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</row>
    <row r="229" spans="1:22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</row>
    <row r="230" spans="1:22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</row>
    <row r="231" spans="1:22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</row>
    <row r="232" spans="1:22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</row>
    <row r="233" spans="1:22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</row>
    <row r="234" spans="1:22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</row>
    <row r="235" spans="1:22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</row>
    <row r="236" spans="1:22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</row>
    <row r="237" spans="1:22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</row>
    <row r="238" spans="1:22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</row>
    <row r="239" spans="1:22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</row>
    <row r="240" spans="1:22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</row>
    <row r="241" spans="1:22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</row>
    <row r="242" spans="1:22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</row>
    <row r="243" spans="1:22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</row>
    <row r="244" spans="1:22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</row>
    <row r="245" spans="1:22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</row>
    <row r="246" spans="1:22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</row>
    <row r="247" spans="1:22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</row>
    <row r="248" spans="1:22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</row>
    <row r="249" spans="1:22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</row>
    <row r="250" spans="1:22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</row>
    <row r="251" spans="1:22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</row>
    <row r="252" spans="1:22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</row>
    <row r="253" spans="1:22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</row>
    <row r="254" spans="1:22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</row>
    <row r="255" spans="1:22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</row>
    <row r="256" spans="1:22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</row>
    <row r="257" spans="1:22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</row>
    <row r="258" spans="1:22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</row>
    <row r="259" spans="1:22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</row>
    <row r="260" spans="1:22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</row>
    <row r="261" spans="1:22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</row>
    <row r="262" spans="1:22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</row>
    <row r="263" spans="1:22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</row>
    <row r="264" spans="1:22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</row>
    <row r="265" spans="1:22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</row>
    <row r="266" spans="1:22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</row>
    <row r="267" spans="1:22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</row>
    <row r="268" spans="1:22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</row>
    <row r="269" spans="1:22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</row>
    <row r="270" spans="1:22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</row>
    <row r="271" spans="1:22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</row>
    <row r="272" spans="1:22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</row>
    <row r="273" spans="1:22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</row>
    <row r="274" spans="1:22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</row>
    <row r="275" spans="1:22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</row>
    <row r="276" spans="1:22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</row>
    <row r="277" spans="1:22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</row>
    <row r="278" spans="1:22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</row>
    <row r="279" spans="1:22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</row>
    <row r="280" spans="1:22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</row>
    <row r="281" spans="1:22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</row>
    <row r="282" spans="1:22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</row>
    <row r="283" spans="1:22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</row>
    <row r="284" spans="1:22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</row>
    <row r="285" spans="1:22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</row>
    <row r="286" spans="1:22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</row>
    <row r="287" spans="1:22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</row>
    <row r="288" spans="1:22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</row>
    <row r="289" spans="1:22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</row>
    <row r="290" spans="1:22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</row>
    <row r="291" spans="1:22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</row>
    <row r="292" spans="1:22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</row>
    <row r="293" spans="1:22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</row>
    <row r="294" spans="1:22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</row>
    <row r="295" spans="1:22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</row>
    <row r="296" spans="1:22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</row>
    <row r="297" spans="1:22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</row>
    <row r="298" spans="1:22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</row>
    <row r="299" spans="1:22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</row>
    <row r="300" spans="1:22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</row>
    <row r="301" spans="1:22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</row>
    <row r="302" spans="1:22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</row>
    <row r="303" spans="1:22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</row>
    <row r="304" spans="1:22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</row>
    <row r="305" spans="1:22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</row>
    <row r="306" spans="1:22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</row>
    <row r="307" spans="1:22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</row>
    <row r="308" spans="1:22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</row>
    <row r="309" spans="1:22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</row>
    <row r="310" spans="1:22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</row>
    <row r="311" spans="1:22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</row>
    <row r="312" spans="1:22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</row>
    <row r="313" spans="1:22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</row>
    <row r="314" spans="1:22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</row>
    <row r="315" spans="1:22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</row>
    <row r="316" spans="1:22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</row>
    <row r="317" spans="1:22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</row>
    <row r="318" spans="1:22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</row>
    <row r="319" spans="1:22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</row>
    <row r="320" spans="1:22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</row>
    <row r="321" spans="1:22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</row>
    <row r="322" spans="1:22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</row>
    <row r="323" spans="1:22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</row>
    <row r="324" spans="1:22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</row>
    <row r="325" spans="1:22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</row>
    <row r="326" spans="1:22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</row>
    <row r="327" spans="1:22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</row>
    <row r="328" spans="1:22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</row>
    <row r="329" spans="1:22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</row>
    <row r="330" spans="1:22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</row>
    <row r="331" spans="1:22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</row>
    <row r="332" spans="1:22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</row>
    <row r="333" spans="1:22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</row>
    <row r="334" spans="1:22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</row>
    <row r="335" spans="1:22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</row>
    <row r="336" spans="1:22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</row>
    <row r="337" spans="1:22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</row>
    <row r="338" spans="1:22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</row>
    <row r="339" spans="1:22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</row>
    <row r="340" spans="1:22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</row>
    <row r="341" spans="1:22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</row>
    <row r="342" spans="1:22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</row>
    <row r="343" spans="1:22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</row>
    <row r="344" spans="1:22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</row>
    <row r="345" spans="1:22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</row>
    <row r="346" spans="1:22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</row>
    <row r="347" spans="1:22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</row>
    <row r="348" spans="1:22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</row>
    <row r="349" spans="1:22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</row>
    <row r="350" spans="1:22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</row>
    <row r="351" spans="1:22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</row>
    <row r="352" spans="1:22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</row>
    <row r="353" spans="1:22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</row>
    <row r="354" spans="1:22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</row>
    <row r="355" spans="1:22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</row>
    <row r="356" spans="1:22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</row>
    <row r="357" spans="1:22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</row>
    <row r="358" spans="1:22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</row>
    <row r="359" spans="1:22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</row>
    <row r="360" spans="1:22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</row>
    <row r="361" spans="1:22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</row>
    <row r="362" spans="1:22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</row>
    <row r="363" spans="1:22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</row>
    <row r="364" spans="1:22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</row>
    <row r="365" spans="1:22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</row>
    <row r="366" spans="1:22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</row>
    <row r="367" spans="1:22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</row>
    <row r="368" spans="1:22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</row>
    <row r="369" spans="1:22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</row>
    <row r="370" spans="1:22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</row>
    <row r="371" spans="1:22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</row>
    <row r="372" spans="1:22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</row>
    <row r="373" spans="1:22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</row>
    <row r="374" spans="1:22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</row>
    <row r="375" spans="1:22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</row>
    <row r="376" spans="1:22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</row>
    <row r="377" spans="1:22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</row>
    <row r="378" spans="1:22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</row>
    <row r="379" spans="1:22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</row>
    <row r="380" spans="1:22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</row>
    <row r="381" spans="1:22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</row>
    <row r="382" spans="1:22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</row>
    <row r="383" spans="1:22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</row>
    <row r="384" spans="1:22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</row>
    <row r="385" spans="1:22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</row>
    <row r="386" spans="1:22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</row>
    <row r="387" spans="1:22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</row>
    <row r="388" spans="1:22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</row>
    <row r="389" spans="1:22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</row>
    <row r="390" spans="1:22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</row>
    <row r="391" spans="1:22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</row>
    <row r="392" spans="1:22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</row>
    <row r="393" spans="1:22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</row>
    <row r="394" spans="1:22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</row>
    <row r="395" spans="1:22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</row>
    <row r="396" spans="1:22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</row>
    <row r="397" spans="1:22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</row>
    <row r="398" spans="1:22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</row>
    <row r="399" spans="1:22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</row>
    <row r="400" spans="1:22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</row>
    <row r="401" spans="1:22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</row>
    <row r="402" spans="1:22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</row>
    <row r="403" spans="1:22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</row>
    <row r="404" spans="1:22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</row>
    <row r="405" spans="1:22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</row>
    <row r="406" spans="1:22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</row>
    <row r="407" spans="1:22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</row>
    <row r="408" spans="1:22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</row>
    <row r="409" spans="1:22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</row>
    <row r="410" spans="1:22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</row>
    <row r="411" spans="1:22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</row>
    <row r="412" spans="1:22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</row>
    <row r="413" spans="1:22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</row>
    <row r="414" spans="1:22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</row>
    <row r="415" spans="1:22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</row>
    <row r="416" spans="1:22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</row>
    <row r="417" spans="1:22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</row>
    <row r="418" spans="1:22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</row>
    <row r="419" spans="1:22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</row>
    <row r="420" spans="1:22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</row>
    <row r="421" spans="1:22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</row>
    <row r="422" spans="1:22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</row>
    <row r="423" spans="1:22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</row>
    <row r="424" spans="1:22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</row>
    <row r="425" spans="1:22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</row>
    <row r="426" spans="1:22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</row>
    <row r="427" spans="1:22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</row>
    <row r="428" spans="1:22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</row>
    <row r="429" spans="1:22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</row>
    <row r="430" spans="1:22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</row>
    <row r="431" spans="1:22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</row>
    <row r="432" spans="1:22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</row>
    <row r="433" spans="1:22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</row>
    <row r="434" spans="1:22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</row>
    <row r="435" spans="1:22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</row>
    <row r="436" spans="1:22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</row>
    <row r="437" spans="1:22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</row>
    <row r="438" spans="1:22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</row>
    <row r="439" spans="1:22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</row>
    <row r="440" spans="1:22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</row>
    <row r="441" spans="1:22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</row>
    <row r="442" spans="1:22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</row>
    <row r="443" spans="1:22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</row>
    <row r="444" spans="1:22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</row>
    <row r="445" spans="1:22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</row>
    <row r="446" spans="1:22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</row>
    <row r="447" spans="1:22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</row>
    <row r="448" spans="1:22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</row>
    <row r="449" spans="1:22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</row>
    <row r="450" spans="1:22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</row>
    <row r="451" spans="1:22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</row>
    <row r="452" spans="1:22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</row>
    <row r="453" spans="1:22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</row>
    <row r="454" spans="1:22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</row>
    <row r="455" spans="1:22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</row>
    <row r="456" spans="1:22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</row>
    <row r="457" spans="1:22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</row>
    <row r="458" spans="1:22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</row>
    <row r="459" spans="1:22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</row>
    <row r="460" spans="1:22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</row>
    <row r="461" spans="1:22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</row>
    <row r="462" spans="1:22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</row>
    <row r="463" spans="1:22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</row>
    <row r="464" spans="1:22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</row>
    <row r="465" spans="1:22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</row>
    <row r="466" spans="1:22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</row>
    <row r="467" spans="1:22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</row>
    <row r="468" spans="1:22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</row>
    <row r="469" spans="1:22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</row>
    <row r="470" spans="1:22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</row>
    <row r="471" spans="1:22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</row>
    <row r="472" spans="1:22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</row>
    <row r="473" spans="1:22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</row>
    <row r="474" spans="1:22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</row>
    <row r="475" spans="1:22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</row>
    <row r="476" spans="1:22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</row>
    <row r="477" spans="1:22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</row>
    <row r="478" spans="1:22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</row>
    <row r="479" spans="1:22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</row>
    <row r="480" spans="1:22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</row>
    <row r="481" spans="1:22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</row>
    <row r="482" spans="1:22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</row>
    <row r="483" spans="1:22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</row>
    <row r="484" spans="1:22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</row>
    <row r="485" spans="1:22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</row>
    <row r="486" spans="1:22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</row>
    <row r="487" spans="1:22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</row>
    <row r="488" spans="1:22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</row>
    <row r="489" spans="1:22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</row>
    <row r="490" spans="1:22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</row>
    <row r="491" spans="1:22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</row>
    <row r="492" spans="1:22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</row>
    <row r="493" spans="1:22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</row>
    <row r="494" spans="1:22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</row>
    <row r="495" spans="1:22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</row>
    <row r="496" spans="1:22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</row>
    <row r="497" spans="1:22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</row>
    <row r="498" spans="1:22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</row>
    <row r="499" spans="1:22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</row>
    <row r="500" spans="1:22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</row>
    <row r="501" spans="1:22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</row>
    <row r="502" spans="1:22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</row>
    <row r="503" spans="1:22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</row>
    <row r="504" spans="1:22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</row>
    <row r="505" spans="1:22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</row>
    <row r="506" spans="1:22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</row>
    <row r="507" spans="1:22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</row>
    <row r="508" spans="1:22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</row>
    <row r="509" spans="1:22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</row>
    <row r="510" spans="1:22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</row>
    <row r="511" spans="1:22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</row>
    <row r="512" spans="1:22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</row>
    <row r="513" spans="1:22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</row>
    <row r="514" spans="1:22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</row>
    <row r="515" spans="1:22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</row>
    <row r="516" spans="1:22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</row>
    <row r="517" spans="1:22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</row>
    <row r="518" spans="1:22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</row>
    <row r="519" spans="1:22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</row>
    <row r="520" spans="1:22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</row>
    <row r="521" spans="1:22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</row>
    <row r="522" spans="1:22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</row>
    <row r="523" spans="1:22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</row>
    <row r="524" spans="1:22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</row>
    <row r="525" spans="1:22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</row>
    <row r="526" spans="1:22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</row>
    <row r="527" spans="1:22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</row>
    <row r="528" spans="1:22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</row>
    <row r="529" spans="1:22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</row>
    <row r="530" spans="1:22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</row>
    <row r="531" spans="1:22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</row>
    <row r="532" spans="1:22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</row>
    <row r="533" spans="1:22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</row>
    <row r="534" spans="1:22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</row>
    <row r="535" spans="1:22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</row>
    <row r="536" spans="1:22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</row>
    <row r="537" spans="1:22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</row>
    <row r="538" spans="1:22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</row>
    <row r="539" spans="1:22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</row>
    <row r="540" spans="1:22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</row>
    <row r="541" spans="1:22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</row>
    <row r="542" spans="1:22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</row>
    <row r="543" spans="1:22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</row>
    <row r="544" spans="1:22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</row>
    <row r="545" spans="1:22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</row>
    <row r="546" spans="1:22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</row>
    <row r="547" spans="1:22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</row>
    <row r="548" spans="1:22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</row>
    <row r="549" spans="1:22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</row>
    <row r="550" spans="1:22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</row>
    <row r="551" spans="1:22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</row>
    <row r="552" spans="1:22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</row>
    <row r="553" spans="1:22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</row>
    <row r="554" spans="1:22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</row>
    <row r="555" spans="1:22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</row>
    <row r="556" spans="1:22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</row>
    <row r="557" spans="1:22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</row>
    <row r="558" spans="1:22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</row>
    <row r="559" spans="1:22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</row>
    <row r="560" spans="1:22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</row>
    <row r="561" spans="1:22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</row>
    <row r="562" spans="1:22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</row>
    <row r="563" spans="1:22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</row>
    <row r="564" spans="1:22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</row>
    <row r="565" spans="1:22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</row>
    <row r="566" spans="1:22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</row>
    <row r="567" spans="1:22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</row>
    <row r="568" spans="1:22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</row>
    <row r="569" spans="1:22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</row>
    <row r="570" spans="1:22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</row>
    <row r="571" spans="1:22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</row>
    <row r="572" spans="1:22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</row>
    <row r="573" spans="1:22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</row>
    <row r="574" spans="1:22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</row>
    <row r="575" spans="1:22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</row>
    <row r="576" spans="1:22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</row>
    <row r="577" spans="1:22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</row>
    <row r="578" spans="1:22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</row>
    <row r="579" spans="1:22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</row>
    <row r="580" spans="1:22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</row>
    <row r="581" spans="1:22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</row>
    <row r="582" spans="1:22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</row>
    <row r="583" spans="1:22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</row>
    <row r="584" spans="1:22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</row>
    <row r="585" spans="1:22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</row>
    <row r="586" spans="1:22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</row>
    <row r="587" spans="1:22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</row>
    <row r="588" spans="1:22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</row>
    <row r="589" spans="1:22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</row>
    <row r="590" spans="1:22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</row>
    <row r="591" spans="1:22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</row>
    <row r="592" spans="1:22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</row>
    <row r="593" spans="1:22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</row>
    <row r="594" spans="1:22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</row>
    <row r="595" spans="1:22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</row>
    <row r="596" spans="1:22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</row>
    <row r="597" spans="1:22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</row>
    <row r="598" spans="1:22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</row>
    <row r="599" spans="1:22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</row>
    <row r="600" spans="1:22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</row>
    <row r="601" spans="1:22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</row>
    <row r="602" spans="1:22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</row>
    <row r="603" spans="1:22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</row>
    <row r="604" spans="1:22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</row>
    <row r="605" spans="1:22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</row>
    <row r="606" spans="1:22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</row>
    <row r="607" spans="1:22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</row>
    <row r="608" spans="1:22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</row>
    <row r="609" spans="1:22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</row>
    <row r="610" spans="1:22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</row>
    <row r="611" spans="1:22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</row>
    <row r="612" spans="1:22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</row>
    <row r="613" spans="1:22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</row>
    <row r="614" spans="1:22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</row>
    <row r="615" spans="1:22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</row>
    <row r="616" spans="1:22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</row>
    <row r="617" spans="1:22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</row>
    <row r="618" spans="1:22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</row>
    <row r="619" spans="1:22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</row>
    <row r="620" spans="1:22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</row>
    <row r="621" spans="1:22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</row>
    <row r="622" spans="1:22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</row>
    <row r="623" spans="1:22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</row>
    <row r="624" spans="1:22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</row>
    <row r="625" spans="1:22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</row>
    <row r="626" spans="1:22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</row>
    <row r="627" spans="1:22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</row>
    <row r="628" spans="1:22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</row>
    <row r="629" spans="1:22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</row>
    <row r="630" spans="1:22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</row>
    <row r="631" spans="1:22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</row>
    <row r="632" spans="1:22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</row>
    <row r="633" spans="1:22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</row>
    <row r="634" spans="1:22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</row>
    <row r="635" spans="1:22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</row>
    <row r="636" spans="1:22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</row>
    <row r="637" spans="1:22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</row>
    <row r="638" spans="1:22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</row>
    <row r="639" spans="1:22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</row>
    <row r="640" spans="1:22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</row>
    <row r="641" spans="1:22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</row>
    <row r="642" spans="1:22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</row>
    <row r="643" spans="1:22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</row>
    <row r="644" spans="1:22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</row>
    <row r="645" spans="1:22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</row>
    <row r="646" spans="1:22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</row>
    <row r="647" spans="1:22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</row>
    <row r="648" spans="1:22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</row>
    <row r="649" spans="1:22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</row>
    <row r="650" spans="1:22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</row>
    <row r="651" spans="1:22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</row>
    <row r="652" spans="1:22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</row>
    <row r="653" spans="1:22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</row>
    <row r="654" spans="1:22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</row>
    <row r="655" spans="1:22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</row>
    <row r="656" spans="1:22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</row>
    <row r="657" spans="1:22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</row>
    <row r="658" spans="1:22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</row>
    <row r="659" spans="1:22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</row>
    <row r="660" spans="1:22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</row>
    <row r="661" spans="1:22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</row>
    <row r="662" spans="1:22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</row>
    <row r="663" spans="1:22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</row>
    <row r="664" spans="1:22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</row>
    <row r="665" spans="1:22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</row>
    <row r="666" spans="1:22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</row>
    <row r="667" spans="1:22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</row>
    <row r="668" spans="1:22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</row>
    <row r="669" spans="1:22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</row>
    <row r="670" spans="1:22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</row>
    <row r="671" spans="1:22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</row>
    <row r="672" spans="1:22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</row>
    <row r="673" spans="1:22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</row>
    <row r="674" spans="1:22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</row>
    <row r="675" spans="1:22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</row>
    <row r="676" spans="1:22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</row>
    <row r="677" spans="1:22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</row>
    <row r="678" spans="1:22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</row>
    <row r="679" spans="1:22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</row>
    <row r="680" spans="1:22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</row>
    <row r="681" spans="1:22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</row>
    <row r="682" spans="1:22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</row>
    <row r="683" spans="1:22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</row>
    <row r="684" spans="1:22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</row>
    <row r="685" spans="1:22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</row>
    <row r="686" spans="1:22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</row>
    <row r="687" spans="1:22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</row>
    <row r="688" spans="1:22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</row>
    <row r="689" spans="1:22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</row>
    <row r="690" spans="1:22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</row>
    <row r="691" spans="1:22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</row>
    <row r="692" spans="1:22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</row>
    <row r="693" spans="1:22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</row>
    <row r="694" spans="1:22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</row>
    <row r="695" spans="1:22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</row>
    <row r="696" spans="1:22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</row>
    <row r="697" spans="1:22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</row>
    <row r="698" spans="1:22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</row>
    <row r="699" spans="1:22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</row>
    <row r="700" spans="1:22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</row>
    <row r="701" spans="1:22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</row>
    <row r="702" spans="1:22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</row>
    <row r="703" spans="1:22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</row>
    <row r="704" spans="1:22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</row>
    <row r="705" spans="1:22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</row>
    <row r="706" spans="1:22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</row>
    <row r="707" spans="1:22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</row>
    <row r="708" spans="1:22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</row>
    <row r="709" spans="1:22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</row>
    <row r="710" spans="1:22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</row>
    <row r="711" spans="1:22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</row>
    <row r="712" spans="1:22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</row>
    <row r="713" spans="1:22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</row>
    <row r="714" spans="1:22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</row>
    <row r="715" spans="1:22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</row>
    <row r="716" spans="1:22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</row>
    <row r="717" spans="1:22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</row>
    <row r="718" spans="1:22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</row>
    <row r="719" spans="1:22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</row>
    <row r="720" spans="1:22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</row>
    <row r="721" spans="1:22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</row>
    <row r="722" spans="1:22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</row>
    <row r="723" spans="1:22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</row>
    <row r="724" spans="1:22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</row>
    <row r="725" spans="1:22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</row>
    <row r="726" spans="1:22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</row>
    <row r="727" spans="1:22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</row>
    <row r="728" spans="1:22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</row>
    <row r="729" spans="1:22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</row>
    <row r="730" spans="1:22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</row>
    <row r="731" spans="1:22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</row>
    <row r="732" spans="1:22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</row>
    <row r="733" spans="1:22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</row>
    <row r="734" spans="1:22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</row>
    <row r="735" spans="1:22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</row>
    <row r="736" spans="1:22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</row>
    <row r="737" spans="1:22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</row>
    <row r="738" spans="1:22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</row>
    <row r="739" spans="1:22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</row>
    <row r="740" spans="1:22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</row>
    <row r="741" spans="1:22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</row>
    <row r="742" spans="1:22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</row>
    <row r="743" spans="1:22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</row>
    <row r="744" spans="1:22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</row>
    <row r="745" spans="1:22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</row>
    <row r="746" spans="1:22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</row>
    <row r="747" spans="1:22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</row>
    <row r="748" spans="1:22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</row>
    <row r="749" spans="1:22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</row>
    <row r="750" spans="1:22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</row>
    <row r="751" spans="1:22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</row>
    <row r="752" spans="1:22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</row>
    <row r="753" spans="1:22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</row>
    <row r="754" spans="1:22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</row>
    <row r="755" spans="1:22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</row>
    <row r="756" spans="1:22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</row>
    <row r="757" spans="1:22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</row>
    <row r="758" spans="1:22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</row>
    <row r="759" spans="1:22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</row>
    <row r="760" spans="1:22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</row>
    <row r="761" spans="1:22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</row>
    <row r="762" spans="1:22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</row>
    <row r="763" spans="1:22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</row>
    <row r="764" spans="1:22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</row>
    <row r="765" spans="1:22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</row>
    <row r="766" spans="1:22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</row>
    <row r="767" spans="1:22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</row>
    <row r="768" spans="1:22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</row>
    <row r="769" spans="1:22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</row>
    <row r="770" spans="1:22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</row>
    <row r="771" spans="1:22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</row>
    <row r="772" spans="1:22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</row>
    <row r="773" spans="1:22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</row>
    <row r="774" spans="1:22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</row>
    <row r="775" spans="1:22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</row>
    <row r="776" spans="1:22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</row>
    <row r="777" spans="1:22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</row>
    <row r="778" spans="1:22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</row>
    <row r="779" spans="1:22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</row>
    <row r="780" spans="1:22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</row>
    <row r="781" spans="1:22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</row>
    <row r="782" spans="1:22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</row>
    <row r="783" spans="1:22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</row>
    <row r="784" spans="1:22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</row>
    <row r="785" spans="1:22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</row>
    <row r="786" spans="1:22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</row>
    <row r="787" spans="1:22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</row>
    <row r="788" spans="1:22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</row>
    <row r="789" spans="1:22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</row>
    <row r="790" spans="1:22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</row>
    <row r="791" spans="1:22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</row>
    <row r="792" spans="1:22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</row>
    <row r="793" spans="1:22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</row>
    <row r="794" spans="1:22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</row>
    <row r="795" spans="1:22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</row>
    <row r="796" spans="1:22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</row>
    <row r="797" spans="1:22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</row>
    <row r="798" spans="1:22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</row>
    <row r="799" spans="1:22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</row>
    <row r="800" spans="1:22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</row>
    <row r="801" spans="1:22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</row>
    <row r="802" spans="1:22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</row>
    <row r="803" spans="1:22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</row>
    <row r="804" spans="1:22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</row>
    <row r="805" spans="1:22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</row>
    <row r="806" spans="1:22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</row>
    <row r="807" spans="1:22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</row>
    <row r="808" spans="1:22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</row>
    <row r="809" spans="1:22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</row>
    <row r="810" spans="1:22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</row>
    <row r="811" spans="1:22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</row>
    <row r="812" spans="1:22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</row>
    <row r="813" spans="1:22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</row>
    <row r="814" spans="1:22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</row>
    <row r="815" spans="1:22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</row>
    <row r="816" spans="1:22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</row>
    <row r="817" spans="1:22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</row>
    <row r="818" spans="1:22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</row>
    <row r="819" spans="1:22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</row>
    <row r="820" spans="1:22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</row>
    <row r="821" spans="1:22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</row>
    <row r="822" spans="1:22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</row>
    <row r="823" spans="1:22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</row>
    <row r="824" spans="1:22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</row>
    <row r="825" spans="1:22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</row>
    <row r="826" spans="1:22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</row>
    <row r="827" spans="1:22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</row>
    <row r="828" spans="1:22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</row>
    <row r="829" spans="1:22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</row>
    <row r="830" spans="1:22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</row>
    <row r="831" spans="1:22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</row>
    <row r="832" spans="1:22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</row>
    <row r="833" spans="1:22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</row>
    <row r="834" spans="1:22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</row>
    <row r="835" spans="1:22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</row>
    <row r="836" spans="1:22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</row>
    <row r="837" spans="1:22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</row>
    <row r="838" spans="1:22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</row>
    <row r="839" spans="1:22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</row>
    <row r="840" spans="1:22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</row>
    <row r="841" spans="1:22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</row>
    <row r="842" spans="1:22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</row>
    <row r="843" spans="1:22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</row>
    <row r="844" spans="1:22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</row>
    <row r="845" spans="1:22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</row>
    <row r="846" spans="1:22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</row>
    <row r="847" spans="1:22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</row>
    <row r="848" spans="1:22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</row>
    <row r="849" spans="1:22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</row>
    <row r="850" spans="1:22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</row>
    <row r="851" spans="1:22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</row>
    <row r="852" spans="1:22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</row>
    <row r="853" spans="1:22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</row>
    <row r="854" spans="1:22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</row>
    <row r="855" spans="1:22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</row>
    <row r="856" spans="1:22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</row>
    <row r="857" spans="1:22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</row>
    <row r="858" spans="1:22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</row>
    <row r="859" spans="1:22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</row>
    <row r="860" spans="1:22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</row>
    <row r="861" spans="1:22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</row>
    <row r="862" spans="1:22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</row>
    <row r="863" spans="1:22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</row>
    <row r="864" spans="1:22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</row>
    <row r="865" spans="1:22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</row>
    <row r="866" spans="1:22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</row>
    <row r="867" spans="1:22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</row>
    <row r="868" spans="1:22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</row>
    <row r="869" spans="1:22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</row>
    <row r="870" spans="1:22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</row>
    <row r="871" spans="1:22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</row>
    <row r="872" spans="1:22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</row>
    <row r="873" spans="1:22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</row>
    <row r="874" spans="1:22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</row>
    <row r="875" spans="1:22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</row>
    <row r="876" spans="1:22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</row>
    <row r="877" spans="1:22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</row>
    <row r="878" spans="1:22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</row>
    <row r="879" spans="1:22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</row>
    <row r="880" spans="1:22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</row>
    <row r="881" spans="1:22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</row>
    <row r="882" spans="1:22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</row>
    <row r="883" spans="1:22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</row>
    <row r="884" spans="1:22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</row>
    <row r="885" spans="1:22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</row>
    <row r="886" spans="1:22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</row>
    <row r="887" spans="1:22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</row>
    <row r="888" spans="1:22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</row>
    <row r="889" spans="1:22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</row>
    <row r="890" spans="1:22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</row>
    <row r="891" spans="1:22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</row>
    <row r="892" spans="1:22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</row>
    <row r="893" spans="1:22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</row>
    <row r="894" spans="1:22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</row>
    <row r="895" spans="1:22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</row>
    <row r="896" spans="1:22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</row>
    <row r="897" spans="1:22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</row>
    <row r="898" spans="1:22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</row>
    <row r="899" spans="1:22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</row>
    <row r="900" spans="1:22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</row>
    <row r="901" spans="1:22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</row>
    <row r="902" spans="1:22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</row>
    <row r="903" spans="1:22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</row>
    <row r="904" spans="1:22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</row>
    <row r="905" spans="1:22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</row>
    <row r="906" spans="1:22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</row>
    <row r="907" spans="1:22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</row>
    <row r="908" spans="1:22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</row>
    <row r="909" spans="1:22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</row>
    <row r="910" spans="1:22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</row>
    <row r="911" spans="1:22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</row>
    <row r="912" spans="1:22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</row>
    <row r="913" spans="1:22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</row>
    <row r="914" spans="1:22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</row>
    <row r="915" spans="1:22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</row>
    <row r="916" spans="1:22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</row>
    <row r="917" spans="1:22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</row>
    <row r="918" spans="1:22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</row>
    <row r="919" spans="1:22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</row>
    <row r="920" spans="1:22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</row>
    <row r="921" spans="1:22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</row>
    <row r="922" spans="1:22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</row>
    <row r="923" spans="1:22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</row>
    <row r="924" spans="1:22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</row>
    <row r="925" spans="1:22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</row>
    <row r="926" spans="1:22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</row>
    <row r="927" spans="1:22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</row>
    <row r="928" spans="1:22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</row>
    <row r="929" spans="1:22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</row>
    <row r="930" spans="1:22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</row>
    <row r="931" spans="1:22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</row>
    <row r="932" spans="1:22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</row>
    <row r="933" spans="1:22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</row>
    <row r="934" spans="1:22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</row>
    <row r="935" spans="1:22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</row>
    <row r="936" spans="1:22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</row>
    <row r="937" spans="1:22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</row>
    <row r="938" spans="1:22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</row>
    <row r="939" spans="1:22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</row>
    <row r="940" spans="1:22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</row>
    <row r="941" spans="1:22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</row>
    <row r="942" spans="1:22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</row>
    <row r="943" spans="1:22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</row>
    <row r="944" spans="1:22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</row>
    <row r="945" spans="1:22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</row>
    <row r="946" spans="1:22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</row>
    <row r="947" spans="1:22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</row>
    <row r="948" spans="1:22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</row>
    <row r="949" spans="1:22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</row>
    <row r="950" spans="1:22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</row>
    <row r="951" spans="1:22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</row>
    <row r="952" spans="1:22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</row>
    <row r="953" spans="1:22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</row>
    <row r="954" spans="1:22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</row>
    <row r="955" spans="1:22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</row>
    <row r="956" spans="1:22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</row>
    <row r="957" spans="1:22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</row>
    <row r="958" spans="1:22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</row>
    <row r="959" spans="1:22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</row>
    <row r="960" spans="1:22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</row>
    <row r="961" spans="1:22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</row>
    <row r="962" spans="1:22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</row>
    <row r="963" spans="1:22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</row>
    <row r="964" spans="1:22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</row>
    <row r="965" spans="1:22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</row>
    <row r="966" spans="1:22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</row>
    <row r="967" spans="1:22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</row>
    <row r="968" spans="1:22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</row>
    <row r="969" spans="1:22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</row>
    <row r="970" spans="1:22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</row>
    <row r="971" spans="1:22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</row>
    <row r="972" spans="1:22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</row>
    <row r="973" spans="1:22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</row>
    <row r="974" spans="1:22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</row>
    <row r="975" spans="1:22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</row>
    <row r="976" spans="1:22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</row>
    <row r="977" spans="1:22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</row>
    <row r="978" spans="1:22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</row>
    <row r="979" spans="1:22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</row>
    <row r="980" spans="1:22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</row>
    <row r="981" spans="1:22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</row>
    <row r="982" spans="1:22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</row>
    <row r="983" spans="1:22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</row>
    <row r="984" spans="1:22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</row>
    <row r="985" spans="1:22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</row>
    <row r="986" spans="1:22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</row>
    <row r="987" spans="1:22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</row>
    <row r="988" spans="1:22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</row>
    <row r="989" spans="1:22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</row>
    <row r="990" spans="1:22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</row>
    <row r="991" spans="1:22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</row>
    <row r="992" spans="1:22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</row>
    <row r="993" spans="1:22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</row>
    <row r="994" spans="1:22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</row>
    <row r="995" spans="1:22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</row>
    <row r="996" spans="1:22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</row>
    <row r="997" spans="1:22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</row>
    <row r="998" spans="1:22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</row>
    <row r="999" spans="1:22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</row>
    <row r="1000" spans="1:22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</row>
    <row r="1001" spans="1:22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</row>
    <row r="1002" spans="1:22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</row>
    <row r="1003" spans="1:22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</row>
    <row r="1004" spans="1:22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</row>
    <row r="1005" spans="1:22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</row>
    <row r="1006" spans="1:22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</row>
    <row r="1007" spans="1:22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</row>
    <row r="1008" spans="1:22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</row>
    <row r="1009" spans="1:22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</row>
    <row r="1010" spans="1:22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</row>
    <row r="1011" spans="1:22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</row>
    <row r="1012" spans="1:22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</row>
    <row r="1013" spans="1:22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</row>
    <row r="1014" spans="1:22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</row>
    <row r="1015" spans="1:22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</row>
    <row r="1016" spans="1:22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</row>
    <row r="1017" spans="1:22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</row>
    <row r="1018" spans="1:22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</row>
    <row r="1019" spans="1:22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</row>
    <row r="1020" spans="1:22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</row>
    <row r="1021" spans="1:22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</row>
    <row r="1022" spans="1:22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</row>
    <row r="1023" spans="1:22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</row>
    <row r="1024" spans="1:22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</row>
    <row r="1025" spans="1:22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</row>
    <row r="1026" spans="1:22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</row>
    <row r="1027" spans="1:22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</row>
    <row r="1028" spans="1:22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</row>
    <row r="1029" spans="1:22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</row>
    <row r="1030" spans="1:22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</row>
    <row r="1031" spans="1:22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</row>
    <row r="1032" spans="1:22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</row>
    <row r="1033" spans="1:22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</row>
    <row r="1034" spans="1:22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</row>
    <row r="1035" spans="1:22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</row>
    <row r="1036" spans="1:22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</row>
    <row r="1037" spans="1:22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</row>
    <row r="1038" spans="1:22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</row>
    <row r="1039" spans="1:22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</row>
    <row r="1040" spans="1:22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</row>
    <row r="1041" spans="1:22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</row>
    <row r="1042" spans="1:22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</row>
    <row r="1043" spans="1:22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</row>
    <row r="1044" spans="1:22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</row>
    <row r="1045" spans="1:22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</row>
    <row r="1046" spans="1:22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</row>
    <row r="1047" spans="1:22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</row>
    <row r="1048" spans="1:22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</row>
    <row r="1049" spans="1:22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</row>
    <row r="1050" spans="1:22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</row>
    <row r="1051" spans="1:22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</row>
    <row r="1052" spans="1:22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</row>
    <row r="1053" spans="1:22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</row>
    <row r="1054" spans="1:22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</row>
    <row r="1055" spans="1:22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</row>
    <row r="1056" spans="1:22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</row>
    <row r="1057" spans="1:22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</row>
    <row r="1058" spans="1:22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</row>
    <row r="1059" spans="1:22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</row>
    <row r="1060" spans="1:22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</row>
    <row r="1061" spans="1:22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</row>
    <row r="1062" spans="1:22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</row>
    <row r="1063" spans="1:22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</row>
    <row r="1064" spans="1:22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</row>
    <row r="1065" spans="1:22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</row>
    <row r="1066" spans="1:22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</row>
    <row r="1067" spans="1:22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</row>
    <row r="1068" spans="1:22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</row>
    <row r="1069" spans="1:22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</row>
    <row r="1070" spans="1:22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</row>
    <row r="1071" spans="1:22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</row>
    <row r="1072" spans="1:22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</row>
    <row r="1073" spans="1:22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</row>
    <row r="1074" spans="1:22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</row>
    <row r="1075" spans="1:22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</row>
    <row r="1076" spans="1:22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</row>
    <row r="1077" spans="1:22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</row>
    <row r="1078" spans="1:22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</row>
    <row r="1079" spans="1:22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</row>
    <row r="1080" spans="1:22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</row>
    <row r="1081" spans="1:22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</row>
    <row r="1082" spans="1:22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</row>
    <row r="1083" spans="1:22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</row>
    <row r="1084" spans="1:22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</row>
    <row r="1085" spans="1:22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</row>
    <row r="1086" spans="1:22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</row>
    <row r="1087" spans="1:22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</row>
    <row r="1088" spans="1:22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</row>
    <row r="1089" spans="1:22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</row>
    <row r="1090" spans="1:22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</row>
    <row r="1091" spans="1:22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</row>
    <row r="1092" spans="1:22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</row>
    <row r="1093" spans="1:22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</row>
    <row r="1094" spans="1:22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</row>
    <row r="1095" spans="1:22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</row>
    <row r="1096" spans="1:22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</row>
    <row r="1097" spans="1:22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</row>
    <row r="1098" spans="1:22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</row>
    <row r="1099" spans="1:22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</row>
    <row r="1100" spans="1:22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</row>
    <row r="1101" spans="1:22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</row>
    <row r="1102" spans="1:22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</row>
    <row r="1103" spans="1:22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</row>
    <row r="1104" spans="1:22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</row>
    <row r="1105" spans="1:22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</row>
    <row r="1106" spans="1:22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</row>
    <row r="1107" spans="1:22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</row>
    <row r="1108" spans="1:22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</row>
    <row r="1109" spans="1:22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</row>
    <row r="1110" spans="1:22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</row>
    <row r="1111" spans="1:22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</row>
    <row r="1112" spans="1:22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</row>
    <row r="1113" spans="1:22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</row>
    <row r="1114" spans="1:22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</row>
    <row r="1115" spans="1:22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</row>
    <row r="1116" spans="1:22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</row>
    <row r="1117" spans="1:22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</row>
    <row r="1118" spans="1:22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</row>
    <row r="1119" spans="1:22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</row>
    <row r="1120" spans="1:22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</row>
    <row r="1121" spans="1:22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</row>
    <row r="1122" spans="1:22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</row>
    <row r="1123" spans="1:22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</row>
    <row r="1124" spans="1:22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</row>
    <row r="1125" spans="1:22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</row>
    <row r="1126" spans="1:22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</row>
    <row r="1127" spans="1:22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</row>
    <row r="1128" spans="1:22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</row>
    <row r="1129" spans="1:22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</row>
    <row r="1130" spans="1:22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</row>
    <row r="1131" spans="1:22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</row>
    <row r="1132" spans="1:22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</row>
    <row r="1133" spans="1:22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</row>
    <row r="1134" spans="1:22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</row>
    <row r="1135" spans="1:22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</row>
    <row r="1136" spans="1:22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</row>
    <row r="1137" spans="1:22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</row>
    <row r="1138" spans="1:22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</row>
    <row r="1139" spans="1:22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</row>
    <row r="1140" spans="1:22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</row>
    <row r="1141" spans="1:22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</row>
    <row r="1142" spans="1:22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</row>
    <row r="1143" spans="1:22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</row>
    <row r="1144" spans="1:22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</row>
    <row r="1145" spans="1:22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</row>
    <row r="1146" spans="1:22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</row>
    <row r="1147" spans="1:22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</row>
    <row r="1148" spans="1:22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</row>
    <row r="1149" spans="1:22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</row>
    <row r="1150" spans="1:22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</row>
    <row r="1151" spans="1:22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</row>
    <row r="1152" spans="1:22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</row>
    <row r="1153" spans="1:22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</row>
    <row r="1154" spans="1:22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</row>
    <row r="1155" spans="1:22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</row>
    <row r="1156" spans="1:22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</row>
    <row r="1157" spans="1:22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</row>
    <row r="1158" spans="1:22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</row>
    <row r="1159" spans="1:22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</row>
    <row r="1160" spans="1:22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</row>
    <row r="1161" spans="1:22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</row>
    <row r="1162" spans="1:22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</row>
    <row r="1163" spans="1:22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</row>
    <row r="1164" spans="1:22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</row>
    <row r="1165" spans="1:22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</row>
    <row r="1166" spans="1:22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</row>
    <row r="1167" spans="1:22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</row>
    <row r="1168" spans="1:22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</row>
    <row r="1169" spans="1:22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</row>
    <row r="1170" spans="1:22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</row>
    <row r="1171" spans="1:22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</row>
    <row r="1172" spans="1:22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</row>
    <row r="1173" spans="1:22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</row>
    <row r="1174" spans="1:22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</row>
    <row r="1175" spans="1:22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</row>
    <row r="1176" spans="1:22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</row>
    <row r="1177" spans="1:22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</row>
    <row r="1178" spans="1:22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</row>
    <row r="1179" spans="1:22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</row>
    <row r="1180" spans="1:22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</row>
    <row r="1181" spans="1:22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</row>
    <row r="1182" spans="1:22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</row>
    <row r="1183" spans="1:22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</row>
    <row r="1184" spans="1:22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</row>
    <row r="1185" spans="1:22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</row>
    <row r="1186" spans="1:22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</row>
    <row r="1187" spans="1:22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</row>
    <row r="1188" spans="1:22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</row>
    <row r="1189" spans="1:22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</row>
    <row r="1190" spans="1:22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</row>
    <row r="1191" spans="1:22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</row>
    <row r="1192" spans="1:22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</row>
    <row r="1193" spans="1:22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</row>
    <row r="1194" spans="1:22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</row>
    <row r="1195" spans="1:22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</row>
    <row r="1196" spans="1:22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</row>
    <row r="1197" spans="1:22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</row>
    <row r="1198" spans="1:22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</row>
    <row r="1199" spans="1:22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</row>
    <row r="1200" spans="1:22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</row>
    <row r="1201" spans="1:22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</row>
    <row r="1202" spans="1:22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</row>
    <row r="1203" spans="1:22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</row>
    <row r="1204" spans="1:22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</row>
    <row r="1205" spans="1:22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</row>
    <row r="1206" spans="1:22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</row>
    <row r="1207" spans="1:22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</row>
    <row r="1208" spans="1:22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</row>
    <row r="1209" spans="1:22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</row>
    <row r="1210" spans="1:22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</row>
    <row r="1211" spans="1:22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</row>
    <row r="1212" spans="1:22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</row>
    <row r="1213" spans="1:22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</row>
    <row r="1214" spans="1:22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</row>
    <row r="1215" spans="1:22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</row>
    <row r="1216" spans="1:22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</row>
    <row r="1217" spans="1:22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</row>
    <row r="1218" spans="1:22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</row>
    <row r="1219" spans="1:22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</row>
    <row r="1220" spans="1:22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</row>
    <row r="1221" spans="1:22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</row>
    <row r="1222" spans="1:22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</row>
    <row r="1223" spans="1:22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</row>
    <row r="1224" spans="1:22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</row>
    <row r="1225" spans="1:22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</row>
    <row r="1226" spans="1:22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</row>
    <row r="1227" spans="1:22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</row>
    <row r="1228" spans="1:22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</row>
    <row r="1229" spans="1:22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</row>
    <row r="1230" spans="1:22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</row>
    <row r="1231" spans="1:22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</row>
    <row r="1232" spans="1:22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</row>
    <row r="1233" spans="1:22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</row>
    <row r="1234" spans="1:22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</row>
    <row r="1235" spans="1:22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</row>
    <row r="1236" spans="1:22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</row>
    <row r="1237" spans="1:22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</row>
    <row r="1238" spans="1:22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</row>
    <row r="1239" spans="1:22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</row>
    <row r="1240" spans="1:22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</row>
    <row r="1241" spans="1:22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</row>
    <row r="1242" spans="1:22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</row>
    <row r="1243" spans="1:22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</row>
    <row r="1244" spans="1:22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</row>
    <row r="1245" spans="1:22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</row>
    <row r="1246" spans="1:22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</row>
    <row r="1247" spans="1:22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</row>
    <row r="1248" spans="1:22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</row>
    <row r="1249" spans="1:22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</row>
    <row r="1250" spans="1:22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</row>
    <row r="1251" spans="1:22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</row>
    <row r="1252" spans="1:22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</row>
    <row r="1253" spans="1:22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</row>
    <row r="1254" spans="1:22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</row>
    <row r="1255" spans="1:22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</row>
    <row r="1256" spans="1:22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</row>
    <row r="1257" spans="1:22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</row>
    <row r="1258" spans="1:22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</row>
    <row r="1259" spans="1:22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</row>
    <row r="1260" spans="1:22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</row>
    <row r="1261" spans="1:22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</row>
    <row r="1262" spans="1:22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</row>
    <row r="1263" spans="1:22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</row>
    <row r="1264" spans="1:22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</row>
    <row r="1265" spans="1:22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</row>
    <row r="1266" spans="1:22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</row>
    <row r="1267" spans="1:22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</row>
    <row r="1268" spans="1:22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</row>
    <row r="1269" spans="1:22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</row>
    <row r="1270" spans="1:22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</row>
    <row r="1271" spans="1:22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</row>
    <row r="1272" spans="1:22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</row>
    <row r="1273" spans="1:22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</row>
    <row r="1274" spans="1:22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</row>
    <row r="1275" spans="1:22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</row>
    <row r="1276" spans="1:22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</row>
    <row r="1277" spans="1:22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</row>
    <row r="1278" spans="1:22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</row>
    <row r="1279" spans="1:22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</row>
    <row r="1280" spans="1:22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</row>
    <row r="1281" spans="1:22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</row>
    <row r="1282" spans="1:22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</row>
    <row r="1283" spans="1:22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</row>
    <row r="1284" spans="1:22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</row>
    <row r="1285" spans="1:22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</row>
    <row r="1286" spans="1:22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</row>
    <row r="1287" spans="1:22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</row>
    <row r="1288" spans="1:22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</row>
    <row r="1289" spans="1:22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</row>
    <row r="1290" spans="1:22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</row>
    <row r="1291" spans="1:22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</row>
    <row r="1292" spans="1:22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</row>
    <row r="1293" spans="1:22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</row>
    <row r="1294" spans="1:22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</row>
    <row r="1295" spans="1:22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</row>
    <row r="1296" spans="1:22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</row>
    <row r="1297" spans="1:22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</row>
    <row r="1298" spans="1:22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</row>
    <row r="1299" spans="1:22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</row>
    <row r="1300" spans="1:22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</row>
    <row r="1301" spans="1:22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</row>
    <row r="1302" spans="1:22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</row>
    <row r="1303" spans="1:22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</row>
    <row r="1304" spans="1:22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</row>
    <row r="1305" spans="1:22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</row>
    <row r="1306" spans="1:22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</row>
    <row r="1307" spans="1:22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</row>
    <row r="1308" spans="1:22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</row>
    <row r="1309" spans="1:22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</row>
    <row r="1310" spans="1:22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</row>
    <row r="1311" spans="1:22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</row>
    <row r="1312" spans="1:22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</row>
    <row r="1313" spans="1:22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</row>
    <row r="1314" spans="1:22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</row>
    <row r="1315" spans="1:22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</row>
    <row r="1316" spans="1:22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</row>
    <row r="1317" spans="1:22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</row>
    <row r="1318" spans="1:22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</row>
    <row r="1319" spans="1:22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</row>
    <row r="1320" spans="1:22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</row>
    <row r="1321" spans="1:22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</row>
    <row r="1322" spans="1:22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</row>
    <row r="1323" spans="1:22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</row>
    <row r="1324" spans="1:22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</row>
    <row r="1325" spans="1:22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</row>
    <row r="1326" spans="1:22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</row>
    <row r="1327" spans="1:22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</row>
    <row r="1328" spans="1:22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</row>
    <row r="1329" spans="1:22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</row>
    <row r="1330" spans="1:22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</row>
    <row r="1331" spans="1:22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</row>
    <row r="1332" spans="1:22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</row>
    <row r="1333" spans="1:22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</row>
    <row r="1334" spans="1:22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</row>
    <row r="1335" spans="1:22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</row>
    <row r="1336" spans="1:22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</row>
    <row r="1337" spans="1:22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</row>
    <row r="1338" spans="1:22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</row>
    <row r="1339" spans="1:22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</row>
    <row r="1340" spans="1:22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</row>
    <row r="1341" spans="1:22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</row>
    <row r="1342" spans="1:22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</row>
    <row r="1343" spans="1:22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</row>
    <row r="1344" spans="1:22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</row>
    <row r="1345" spans="1:22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</row>
    <row r="1346" spans="1:22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</row>
    <row r="1347" spans="1:22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</row>
    <row r="1348" spans="1:22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</row>
    <row r="1349" spans="1:22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</row>
    <row r="1350" spans="1:22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</row>
    <row r="1351" spans="1:22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</row>
    <row r="1352" spans="1:22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</row>
    <row r="1353" spans="1:22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</row>
    <row r="1354" spans="1:22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</row>
    <row r="1355" spans="1:22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</row>
    <row r="1356" spans="1:22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</row>
    <row r="1357" spans="1:22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</row>
    <row r="1358" spans="1:22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</row>
    <row r="1359" spans="1:22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</row>
    <row r="1360" spans="1:22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</row>
    <row r="1361" spans="1:22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</row>
    <row r="1362" spans="1:22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</row>
    <row r="1363" spans="1:22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</row>
    <row r="1364" spans="1:22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</row>
    <row r="1365" spans="1:22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</row>
    <row r="1366" spans="1:22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</row>
    <row r="1367" spans="1:22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</row>
    <row r="1368" spans="1:22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</row>
    <row r="1369" spans="1:22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</row>
    <row r="1370" spans="1:22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</row>
    <row r="1371" spans="1:22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</row>
    <row r="1372" spans="1:22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</row>
    <row r="1373" spans="1:22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</row>
    <row r="1374" spans="1:22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</row>
    <row r="1375" spans="1:22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</row>
    <row r="1376" spans="1:22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</row>
    <row r="1377" spans="1:22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</row>
    <row r="1378" spans="1:22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</row>
    <row r="1379" spans="1:22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</row>
    <row r="1380" spans="1:22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</row>
    <row r="1381" spans="1:22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</row>
    <row r="1382" spans="1:22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</row>
    <row r="1383" spans="1:22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</row>
    <row r="1384" spans="1:22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</row>
    <row r="1385" spans="1:22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</row>
    <row r="1386" spans="1:22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</row>
    <row r="1387" spans="1:22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</row>
    <row r="1388" spans="1:22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</row>
    <row r="1389" spans="1:22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</row>
    <row r="1390" spans="1:22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</row>
    <row r="1391" spans="1:22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</row>
    <row r="1392" spans="1:22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</row>
    <row r="1393" spans="1:22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</row>
    <row r="1394" spans="1:22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</row>
    <row r="1395" spans="1:22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</row>
    <row r="1396" spans="1:22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</row>
    <row r="1397" spans="1:22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</row>
    <row r="1398" spans="1:22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</row>
    <row r="1399" spans="1:22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</row>
    <row r="1400" spans="1:22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</row>
    <row r="1401" spans="1:22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</row>
    <row r="1402" spans="1:22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</row>
    <row r="1403" spans="1:22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</row>
    <row r="1404" spans="1:22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</row>
    <row r="1405" spans="1:22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</row>
    <row r="1406" spans="1:22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</row>
    <row r="1407" spans="1:22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</row>
    <row r="1408" spans="1:22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</row>
    <row r="1409" spans="1:22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</row>
    <row r="1410" spans="1:22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</row>
    <row r="1411" spans="1:22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</row>
    <row r="1412" spans="1:22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</row>
    <row r="1413" spans="1:22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</row>
    <row r="1414" spans="1:22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</row>
    <row r="1415" spans="1:22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</row>
    <row r="1416" spans="1:22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</row>
    <row r="1417" spans="1:22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</row>
    <row r="1418" spans="1:22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</row>
    <row r="1419" spans="1:22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</row>
    <row r="1420" spans="1:22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</row>
    <row r="1421" spans="1:22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</row>
    <row r="1422" spans="1:22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</row>
    <row r="1423" spans="1:22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</row>
    <row r="1424" spans="1:22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</row>
    <row r="1425" spans="1:22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</row>
    <row r="1426" spans="1:22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</row>
    <row r="1427" spans="1:22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</row>
    <row r="1428" spans="1:22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</row>
    <row r="1429" spans="1:22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</row>
    <row r="1430" spans="1:22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</row>
    <row r="1431" spans="1:22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</row>
    <row r="1432" spans="1:22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</row>
    <row r="1433" spans="1:22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</row>
    <row r="1434" spans="1:22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</row>
    <row r="1435" spans="1:22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</row>
    <row r="1436" spans="1:22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</row>
    <row r="1437" spans="1:22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</row>
    <row r="1438" spans="1:22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</row>
    <row r="1439" spans="1:22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</row>
    <row r="1440" spans="1:22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</row>
    <row r="1441" spans="1:22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</row>
    <row r="1442" spans="1:22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</row>
    <row r="1443" spans="1:22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</row>
    <row r="1444" spans="1:22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</row>
    <row r="1445" spans="1:22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</row>
    <row r="1446" spans="1:22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</row>
    <row r="1447" spans="1:22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</row>
    <row r="1448" spans="1:22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</row>
    <row r="1449" spans="1:22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</row>
    <row r="1450" spans="1:22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</row>
    <row r="1451" spans="1:22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</row>
    <row r="1452" spans="1:22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</row>
    <row r="1453" spans="1:22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</row>
    <row r="1454" spans="1:22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</row>
    <row r="1455" spans="1:22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</row>
    <row r="1456" spans="1:22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</row>
    <row r="1457" spans="1:22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</row>
    <row r="1458" spans="1:22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</row>
    <row r="1459" spans="1:22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</row>
    <row r="1460" spans="1:22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</row>
    <row r="1461" spans="1:22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</row>
    <row r="1462" spans="1:22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</row>
    <row r="1463" spans="1:22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</row>
    <row r="1464" spans="1:22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</row>
    <row r="1465" spans="1:22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</row>
    <row r="1466" spans="1:22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</row>
    <row r="1467" spans="1:22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</row>
    <row r="1468" spans="1:22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</row>
    <row r="1469" spans="1:22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</row>
    <row r="1470" spans="1:22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</row>
    <row r="1471" spans="1:22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</row>
    <row r="1472" spans="1:22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</row>
    <row r="1473" spans="1:22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</row>
    <row r="1474" spans="1:22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</row>
    <row r="1475" spans="1:22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</row>
    <row r="1476" spans="1:22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</row>
    <row r="1477" spans="1:22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</row>
    <row r="1478" spans="1:22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</row>
    <row r="1479" spans="1:22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</row>
    <row r="1480" spans="1:22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</row>
    <row r="1481" spans="1:22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</row>
    <row r="1482" spans="1:22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</row>
    <row r="1483" spans="1:22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</row>
    <row r="1484" spans="1:22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</row>
    <row r="1485" spans="1:22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</row>
    <row r="1486" spans="1:22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</row>
    <row r="1487" spans="1:22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</row>
    <row r="1488" spans="1:22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</row>
    <row r="1489" spans="1:22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</row>
    <row r="1490" spans="1:22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</row>
    <row r="1491" spans="1:22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</row>
    <row r="1492" spans="1:22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</row>
    <row r="1493" spans="1:22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</row>
    <row r="1494" spans="1:22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</row>
    <row r="1495" spans="1:22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</row>
    <row r="1496" spans="1:22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</row>
    <row r="1497" spans="1:22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</row>
    <row r="1498" spans="1:22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</row>
    <row r="1499" spans="1:22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</row>
    <row r="1500" spans="1:22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</row>
    <row r="1501" spans="1:22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</row>
    <row r="1502" spans="1:22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</row>
    <row r="1503" spans="1:22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</row>
    <row r="1504" spans="1:22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</row>
    <row r="1505" spans="1:22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</row>
    <row r="1506" spans="1:22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</row>
    <row r="1507" spans="1:22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</row>
    <row r="1508" spans="1:22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</row>
    <row r="1509" spans="1:22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</row>
    <row r="1510" spans="1:22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</row>
    <row r="1511" spans="1:22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</row>
    <row r="1512" spans="1:22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</row>
    <row r="1513" spans="1:22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</row>
    <row r="1514" spans="1:22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</row>
    <row r="1515" spans="1:22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</row>
    <row r="1516" spans="1:22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</row>
    <row r="1517" spans="1:22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</row>
    <row r="1518" spans="1:22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</row>
    <row r="1519" spans="1:22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</row>
    <row r="1520" spans="1:22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</row>
    <row r="1521" spans="1:22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</row>
    <row r="1522" spans="1:22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</row>
    <row r="1523" spans="1:22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</row>
    <row r="1524" spans="1:22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</row>
    <row r="1525" spans="1:22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</row>
    <row r="1526" spans="1:22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</row>
    <row r="1527" spans="1:22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</row>
    <row r="1528" spans="1:22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</row>
    <row r="1529" spans="1:22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</row>
    <row r="1530" spans="1:22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</row>
    <row r="1531" spans="1:22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</row>
    <row r="1532" spans="1:22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</row>
    <row r="1533" spans="1:22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</row>
    <row r="1534" spans="1:22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</row>
    <row r="1535" spans="1:22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</row>
    <row r="1536" spans="1:22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</row>
    <row r="1537" spans="1:22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</row>
    <row r="1538" spans="1:22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</row>
    <row r="1539" spans="1:22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</row>
    <row r="1540" spans="1:22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</row>
    <row r="1541" spans="1:22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</row>
    <row r="1542" spans="1:22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</row>
    <row r="1543" spans="1:22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</row>
    <row r="1544" spans="1:22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</row>
    <row r="1545" spans="1:22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</row>
    <row r="1546" spans="1:22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</row>
    <row r="1547" spans="1:22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</row>
    <row r="1548" spans="1:22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</row>
    <row r="1549" spans="1:22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</row>
    <row r="1550" spans="1:22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</row>
    <row r="1551" spans="1:22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</row>
    <row r="1552" spans="1:22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</row>
    <row r="1553" spans="1:22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</row>
    <row r="1554" spans="1:22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</row>
    <row r="1555" spans="1:22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</row>
    <row r="1556" spans="1:22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</row>
    <row r="1557" spans="1:22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</row>
    <row r="1558" spans="1:22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</row>
    <row r="1559" spans="1:22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</row>
    <row r="1560" spans="1:22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</row>
    <row r="1561" spans="1:22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</row>
    <row r="1562" spans="1:22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</row>
    <row r="1563" spans="1:22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</row>
    <row r="1564" spans="1:22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</row>
    <row r="1565" spans="1:22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</row>
    <row r="1566" spans="1:22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</row>
    <row r="1567" spans="1:22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</row>
    <row r="1568" spans="1:22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</row>
    <row r="1569" spans="1:22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</row>
    <row r="1570" spans="1:22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</row>
    <row r="1571" spans="1:22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</row>
    <row r="1572" spans="1:22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</row>
    <row r="1573" spans="1:22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</row>
    <row r="1574" spans="1:22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</row>
    <row r="1575" spans="1:22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</row>
    <row r="1576" spans="1:22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</row>
    <row r="1577" spans="1:22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</row>
    <row r="1578" spans="1:22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</row>
    <row r="1579" spans="1:22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</row>
    <row r="1580" spans="1:22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</row>
    <row r="1581" spans="1:22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</row>
    <row r="1582" spans="1:22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</row>
    <row r="1583" spans="1:22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</row>
    <row r="1584" spans="1:22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</row>
    <row r="1585" spans="1:22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</row>
    <row r="1586" spans="1:22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</row>
    <row r="1587" spans="1:22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</row>
    <row r="1588" spans="1:22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</row>
    <row r="1589" spans="1:22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</row>
    <row r="1590" spans="1:22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</row>
    <row r="1591" spans="1:22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</row>
    <row r="1592" spans="1:22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</row>
    <row r="1593" spans="1:22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</row>
    <row r="1594" spans="1:22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</row>
    <row r="1595" spans="1:22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</row>
    <row r="1596" spans="1:22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</row>
    <row r="1597" spans="1:22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</row>
    <row r="1598" spans="1:22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</row>
    <row r="1599" spans="1:22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</row>
    <row r="1600" spans="1:22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</row>
    <row r="1601" spans="1:22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</row>
    <row r="1602" spans="1:22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</row>
    <row r="1603" spans="1:22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</row>
    <row r="1604" spans="1:22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</row>
    <row r="1605" spans="1:22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</row>
    <row r="1606" spans="1:22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</row>
    <row r="1607" spans="1:22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</row>
    <row r="1608" spans="1:22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</row>
    <row r="1609" spans="1:22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</row>
    <row r="1610" spans="1:22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</row>
    <row r="1611" spans="1:22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</row>
    <row r="1612" spans="1:22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</row>
    <row r="1613" spans="1:22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</row>
    <row r="1614" spans="1:22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</row>
    <row r="1615" spans="1:22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</row>
    <row r="1616" spans="1:22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</row>
    <row r="1617" spans="1:22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</row>
    <row r="1618" spans="1:22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</row>
    <row r="1619" spans="1:22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</row>
    <row r="1620" spans="1:22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</row>
    <row r="1621" spans="1:22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</row>
    <row r="1622" spans="1:22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</row>
    <row r="1623" spans="1:22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</row>
    <row r="1624" spans="1:22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</row>
    <row r="1625" spans="1:22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</row>
    <row r="1626" spans="1:22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</row>
    <row r="1627" spans="1:22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</row>
    <row r="1628" spans="1:22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</row>
    <row r="1629" spans="1:22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</row>
    <row r="1630" spans="1:22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</row>
    <row r="1631" spans="1:22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</row>
    <row r="1632" spans="1:22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</row>
    <row r="1633" spans="1:22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</row>
    <row r="1634" spans="1:22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</row>
    <row r="1635" spans="1:22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</row>
    <row r="1636" spans="1:22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</row>
    <row r="1637" spans="1:22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</row>
    <row r="1638" spans="1:22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</row>
    <row r="1639" spans="1:22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</row>
    <row r="1640" spans="1:22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</row>
    <row r="1641" spans="1:22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</row>
    <row r="1642" spans="1:22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</row>
    <row r="1643" spans="1:22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</row>
    <row r="1644" spans="1:22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</row>
    <row r="1645" spans="1:22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</row>
    <row r="1646" spans="1:22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</row>
    <row r="1647" spans="1:22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</row>
    <row r="1648" spans="1:22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</row>
    <row r="1649" spans="1:22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</row>
    <row r="1650" spans="1:22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</row>
    <row r="1651" spans="1:22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</row>
    <row r="1652" spans="1:22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</row>
    <row r="1653" spans="1:22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</row>
    <row r="1654" spans="1:22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</row>
    <row r="1655" spans="1:22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</row>
    <row r="1656" spans="1:22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</row>
    <row r="1657" spans="1:22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</row>
    <row r="1658" spans="1:22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</row>
    <row r="1659" spans="1:22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</row>
    <row r="1660" spans="1:22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</row>
    <row r="1661" spans="1:22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</row>
    <row r="1662" spans="1:22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</row>
    <row r="1663" spans="1:22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</row>
    <row r="1664" spans="1:22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</row>
    <row r="1665" spans="1:22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</row>
    <row r="1666" spans="1:22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</row>
    <row r="1667" spans="1:22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</row>
    <row r="1668" spans="1:22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</row>
    <row r="1669" spans="1:22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</row>
    <row r="1670" spans="1:22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</row>
    <row r="1671" spans="1:22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</row>
    <row r="1672" spans="1:22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</row>
    <row r="1673" spans="1:22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</row>
    <row r="1674" spans="1:22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</row>
    <row r="1675" spans="1:22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</row>
    <row r="1676" spans="1:22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</row>
    <row r="1677" spans="1:22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</row>
    <row r="1678" spans="1:22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</row>
    <row r="1679" spans="1:22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</row>
    <row r="1680" spans="1:22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</row>
    <row r="1681" spans="1:22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</row>
    <row r="1682" spans="1:22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</row>
    <row r="1683" spans="1:22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</row>
    <row r="1684" spans="1:22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</row>
    <row r="1685" spans="1:22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</row>
    <row r="1686" spans="1:22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</row>
    <row r="1687" spans="1:22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</row>
    <row r="1688" spans="1:22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</row>
    <row r="1689" spans="1:22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</row>
    <row r="1690" spans="1:22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</row>
    <row r="1691" spans="1:22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</row>
    <row r="1692" spans="1:22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</row>
    <row r="1693" spans="1:22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</row>
    <row r="1694" spans="1:22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</row>
    <row r="1695" spans="1:22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</row>
    <row r="1696" spans="1:22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</row>
    <row r="1697" spans="1:22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</row>
    <row r="1698" spans="1:22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</row>
    <row r="1699" spans="1:22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</row>
    <row r="1700" spans="1:22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</row>
    <row r="1701" spans="1:22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</row>
    <row r="1702" spans="1:22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</row>
    <row r="1703" spans="1:22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</row>
    <row r="1704" spans="1:22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</row>
    <row r="1705" spans="1:22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</row>
    <row r="1706" spans="1:22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</row>
    <row r="1707" spans="1:22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</row>
    <row r="1708" spans="1:22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</row>
    <row r="1709" spans="1:22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</row>
    <row r="1710" spans="1:22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</row>
    <row r="1711" spans="1:22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</row>
    <row r="1712" spans="1:22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</row>
    <row r="1713" spans="1:22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</row>
    <row r="1714" spans="1:22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</row>
    <row r="1715" spans="1:22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</row>
    <row r="1716" spans="1:22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</row>
    <row r="1717" spans="1:22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</row>
    <row r="1718" spans="1:22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</row>
    <row r="1719" spans="1:22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</row>
    <row r="1720" spans="1:22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</row>
    <row r="1721" spans="1:22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</row>
    <row r="1722" spans="1:22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</row>
    <row r="1723" spans="1:22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</row>
    <row r="1724" spans="1:22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</row>
    <row r="1725" spans="1:22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</row>
    <row r="1726" spans="1:22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</row>
    <row r="1727" spans="1:22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</row>
    <row r="1728" spans="1:22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</row>
    <row r="1729" spans="1:22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</row>
    <row r="1730" spans="1:22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</row>
    <row r="1731" spans="1:22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</row>
    <row r="1732" spans="1:22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</row>
    <row r="1733" spans="1:22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</row>
    <row r="1734" spans="1:22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</row>
    <row r="1735" spans="1:22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</row>
    <row r="1736" spans="1:22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</row>
    <row r="1737" spans="1:22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</row>
    <row r="1738" spans="1:22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</row>
    <row r="1739" spans="1:22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</row>
    <row r="1740" spans="1:22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</row>
    <row r="1741" spans="1:22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</row>
    <row r="1742" spans="1:22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</row>
    <row r="1743" spans="1:22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</row>
    <row r="1744" spans="1:22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</row>
    <row r="1745" spans="1:22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</row>
    <row r="1746" spans="1:22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</row>
    <row r="1747" spans="1:22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</row>
    <row r="1748" spans="1:22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</row>
    <row r="1749" spans="1:22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</row>
    <row r="1750" spans="1:22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</row>
    <row r="1751" spans="1:22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</row>
    <row r="1752" spans="1:22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</row>
    <row r="1753" spans="1:22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</row>
    <row r="1754" spans="1:22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</row>
    <row r="1755" spans="1:22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</row>
    <row r="1756" spans="1:22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</row>
    <row r="1757" spans="1:22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</row>
    <row r="1758" spans="1:22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</row>
    <row r="1759" spans="1:22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</row>
    <row r="1760" spans="1:22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</row>
    <row r="1761" spans="1:22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</row>
    <row r="1762" spans="1:22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</row>
    <row r="1763" spans="1:22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</row>
    <row r="1764" spans="1:22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</row>
    <row r="1765" spans="1:22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</row>
    <row r="1766" spans="1:22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</row>
    <row r="1767" spans="1:22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</row>
    <row r="1768" spans="1:22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</row>
    <row r="1769" spans="1:22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</row>
    <row r="1770" spans="1:22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</row>
    <row r="1771" spans="1:22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</row>
    <row r="1772" spans="1:22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</row>
    <row r="1773" spans="1:22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</row>
    <row r="1774" spans="1:22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</row>
    <row r="1775" spans="1:22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</row>
    <row r="1776" spans="1:22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</row>
    <row r="1777" spans="1:22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</row>
    <row r="1778" spans="1:22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</row>
    <row r="1779" spans="1:22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</row>
    <row r="1780" spans="1:22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</row>
    <row r="1781" spans="1:22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</row>
    <row r="1782" spans="1:22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</row>
    <row r="1783" spans="1:22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</row>
    <row r="1784" spans="1:22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</row>
    <row r="1785" spans="1:22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</row>
    <row r="1786" spans="1:22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</row>
    <row r="1787" spans="1:22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</row>
    <row r="1788" spans="1:22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</row>
    <row r="1789" spans="1:22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</row>
    <row r="1790" spans="1:22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</row>
    <row r="1791" spans="1:22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</row>
    <row r="1792" spans="1:22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</row>
    <row r="1793" spans="1:22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</row>
    <row r="1794" spans="1:22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</row>
    <row r="1795" spans="1:22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</row>
    <row r="1796" spans="1:22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</row>
    <row r="1797" spans="1:22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</row>
    <row r="1798" spans="1:22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</row>
    <row r="1799" spans="1:22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</row>
    <row r="1800" spans="1:22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</row>
    <row r="1801" spans="1:22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</row>
    <row r="1802" spans="1:22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</row>
    <row r="1803" spans="1:22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</row>
    <row r="1804" spans="1:22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</row>
    <row r="1805" spans="1:22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</row>
    <row r="1806" spans="1:22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</row>
    <row r="1807" spans="1:22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</row>
    <row r="1808" spans="1:22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</row>
    <row r="1809" spans="1:22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</row>
    <row r="1810" spans="1:22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</row>
    <row r="1811" spans="1:22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</row>
    <row r="1812" spans="1:22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</row>
    <row r="1813" spans="1:22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</row>
    <row r="1814" spans="1:22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</row>
    <row r="1815" spans="1:22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</row>
    <row r="1816" spans="1:22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</row>
    <row r="1817" spans="1:22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</row>
    <row r="1818" spans="1:22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</row>
    <row r="1819" spans="1:22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</row>
    <row r="1820" spans="1:22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</row>
    <row r="1821" spans="1:22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</row>
    <row r="1822" spans="1:22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</row>
    <row r="1823" spans="1:22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</row>
    <row r="1824" spans="1:22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</row>
    <row r="1825" spans="1:22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</row>
    <row r="1826" spans="1:22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</row>
    <row r="1827" spans="1:22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</row>
    <row r="1828" spans="1:22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</row>
    <row r="1829" spans="1:22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</row>
    <row r="1830" spans="1:22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</row>
    <row r="1831" spans="1:22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</row>
    <row r="1832" spans="1:22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</row>
    <row r="1833" spans="1:22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</row>
    <row r="1834" spans="1:22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</row>
    <row r="1835" spans="1:22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</row>
    <row r="1836" spans="1:22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</row>
    <row r="1837" spans="1:22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</row>
    <row r="1838" spans="1:22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</row>
    <row r="1839" spans="1:22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</row>
    <row r="1840" spans="1:22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</row>
    <row r="1841" spans="1:22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</row>
    <row r="1842" spans="1:22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</row>
    <row r="1843" spans="1:22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</row>
    <row r="1844" spans="1:22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</row>
    <row r="1845" spans="1:22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</row>
    <row r="1846" spans="1:22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</row>
    <row r="1847" spans="1:22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</row>
    <row r="1848" spans="1:22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</row>
    <row r="1849" spans="1:22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</row>
    <row r="1850" spans="1:22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</row>
    <row r="1851" spans="1:22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</row>
    <row r="1852" spans="1:22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</row>
    <row r="1853" spans="1:22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</row>
    <row r="1854" spans="1:22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</row>
    <row r="1855" spans="1:22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</row>
    <row r="1856" spans="1:22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</row>
    <row r="1857" spans="1:22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</row>
    <row r="1858" spans="1:22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</row>
    <row r="1859" spans="1:22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</row>
    <row r="1860" spans="1:22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</row>
    <row r="1861" spans="1:22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</row>
    <row r="1862" spans="1:22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</row>
    <row r="1863" spans="1:22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</row>
    <row r="1864" spans="1:22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</row>
    <row r="1865" spans="1:22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</row>
    <row r="1866" spans="1:22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</row>
    <row r="1867" spans="1:22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</row>
    <row r="1868" spans="1:22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</row>
    <row r="1869" spans="1:22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</row>
    <row r="1870" spans="1:22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</row>
    <row r="1871" spans="1:22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</row>
    <row r="1872" spans="1:22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</row>
    <row r="1873" spans="1:22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</row>
    <row r="1874" spans="1:22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</row>
    <row r="1875" spans="1:22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</row>
    <row r="1876" spans="1:22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</row>
    <row r="1877" spans="1:22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</row>
    <row r="1878" spans="1:22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</row>
    <row r="1879" spans="1:22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</row>
    <row r="1880" spans="1:22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</row>
    <row r="1881" spans="1:22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</row>
    <row r="1882" spans="1:22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</row>
    <row r="1883" spans="1:22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</row>
    <row r="1884" spans="1:22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</row>
    <row r="1885" spans="1:22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</row>
    <row r="1886" spans="1:22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</row>
    <row r="1887" spans="1:22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</row>
    <row r="1888" spans="1:22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</row>
    <row r="1889" spans="1:22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</row>
    <row r="1890" spans="1:22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</row>
    <row r="1891" spans="1:22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</row>
    <row r="1892" spans="1:22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</row>
    <row r="1893" spans="1:22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</row>
    <row r="1894" spans="1:22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</row>
    <row r="1895" spans="1:22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</row>
    <row r="1896" spans="1:22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</row>
    <row r="1897" spans="1:22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</row>
    <row r="1898" spans="1:22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</row>
    <row r="1899" spans="1:22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</row>
    <row r="1900" spans="1:22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</row>
    <row r="1901" spans="1:22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</row>
    <row r="1902" spans="1:22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</row>
    <row r="1903" spans="1:22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</row>
    <row r="1904" spans="1:22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</row>
    <row r="1905" spans="1:22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</row>
    <row r="1906" spans="1:22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</row>
    <row r="1907" spans="1:22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</row>
    <row r="1908" spans="1:22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</row>
    <row r="1909" spans="1:22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</row>
    <row r="1910" spans="1:22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</row>
    <row r="1911" spans="1:22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</row>
    <row r="1912" spans="1:22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</row>
    <row r="1913" spans="1:22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</row>
    <row r="1914" spans="1:22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</row>
    <row r="1915" spans="1:22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</row>
    <row r="1916" spans="1:22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</row>
    <row r="1917" spans="1:22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</row>
    <row r="1918" spans="1:22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</row>
    <row r="1919" spans="1:22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</row>
    <row r="1920" spans="1:22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</row>
    <row r="1921" spans="1:22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</row>
    <row r="1922" spans="1:22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</row>
    <row r="1923" spans="1:22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</row>
    <row r="1924" spans="1:22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</row>
    <row r="1925" spans="1:22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</row>
    <row r="1926" spans="1:22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</row>
    <row r="1927" spans="1:22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</row>
    <row r="1928" spans="1:22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</row>
    <row r="1929" spans="1:22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</row>
    <row r="1930" spans="1:22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</row>
    <row r="1931" spans="1:22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</row>
    <row r="1932" spans="1:22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</row>
    <row r="1933" spans="1:22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</row>
    <row r="1934" spans="1:22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</row>
    <row r="1935" spans="1:22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</row>
    <row r="1936" spans="1:22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</row>
    <row r="1937" spans="1:22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72A3-9D50-40F1-8803-C3C5EA4BD84A}">
  <sheetPr codeName="Sheet7"/>
  <dimension ref="A1:DN522"/>
  <sheetViews>
    <sheetView topLeftCell="D494" zoomScaleNormal="100" workbookViewId="0">
      <selection activeCell="D521" sqref="D521"/>
    </sheetView>
  </sheetViews>
  <sheetFormatPr defaultColWidth="9.1796875" defaultRowHeight="14.5"/>
  <cols>
    <col min="1" max="1" width="24.81640625" customWidth="1"/>
    <col min="2" max="2" width="18.81640625" customWidth="1"/>
    <col min="3" max="3" width="10.81640625" customWidth="1"/>
    <col min="4" max="4" width="13.81640625" bestFit="1" customWidth="1"/>
    <col min="5" max="12" width="8.81640625" customWidth="1"/>
    <col min="14" max="14" width="18.81640625" customWidth="1"/>
    <col min="15" max="15" width="10.81640625" customWidth="1"/>
    <col min="16" max="16" width="13.81640625" bestFit="1" customWidth="1"/>
    <col min="17" max="21" width="8.81640625" customWidth="1"/>
    <col min="26" max="30" width="8.81640625" customWidth="1"/>
    <col min="31" max="31" width="18.81640625" customWidth="1"/>
    <col min="32" max="32" width="10.81640625" customWidth="1"/>
    <col min="33" max="33" width="13.81640625" bestFit="1" customWidth="1"/>
    <col min="34" max="41" width="8.81640625" customWidth="1"/>
    <col min="43" max="43" width="18.81640625" customWidth="1"/>
    <col min="44" max="44" width="10.81640625" customWidth="1"/>
    <col min="45" max="45" width="13.81640625" bestFit="1" customWidth="1"/>
    <col min="46" max="53" width="8.81640625" customWidth="1"/>
  </cols>
  <sheetData>
    <row r="1" spans="2:12">
      <c r="B1" s="154" t="s">
        <v>2856</v>
      </c>
    </row>
    <row r="2" spans="2:12" ht="21">
      <c r="B2" s="155" t="s">
        <v>2857</v>
      </c>
    </row>
    <row r="4" spans="2:12" ht="15" thickBot="1">
      <c r="B4" s="156" t="s">
        <v>2858</v>
      </c>
    </row>
    <row r="5" spans="2:12" ht="15" thickBot="1">
      <c r="B5" s="388"/>
      <c r="C5" s="389"/>
      <c r="D5" s="157" t="s">
        <v>0</v>
      </c>
      <c r="E5" s="158">
        <v>2015</v>
      </c>
      <c r="F5" s="158">
        <v>2020</v>
      </c>
      <c r="G5" s="158">
        <v>2025</v>
      </c>
      <c r="H5" s="158">
        <v>2030</v>
      </c>
      <c r="I5" s="158">
        <v>2035</v>
      </c>
      <c r="J5" s="158">
        <v>2040</v>
      </c>
      <c r="K5" s="158">
        <v>2045</v>
      </c>
      <c r="L5" s="158">
        <v>2050</v>
      </c>
    </row>
    <row r="6" spans="2:12" ht="15.5" thickTop="1" thickBot="1">
      <c r="B6" s="375" t="s">
        <v>2859</v>
      </c>
      <c r="C6" s="159" t="s">
        <v>2860</v>
      </c>
      <c r="D6" s="159" t="s">
        <v>2</v>
      </c>
      <c r="E6" s="160">
        <v>403.66769999999997</v>
      </c>
      <c r="F6" s="160">
        <v>606.14927339748783</v>
      </c>
      <c r="G6" s="160">
        <v>766.39753003230362</v>
      </c>
      <c r="H6" s="160">
        <v>926.64578666711941</v>
      </c>
      <c r="I6" s="160">
        <v>1073.654746120922</v>
      </c>
      <c r="J6" s="160">
        <v>1220.6637055747244</v>
      </c>
      <c r="K6" s="160">
        <v>1370.5899421379372</v>
      </c>
      <c r="L6" s="160">
        <v>1520.5161787011502</v>
      </c>
    </row>
    <row r="7" spans="2:12" ht="15" thickBot="1">
      <c r="B7" s="376"/>
      <c r="C7" s="161" t="s">
        <v>2861</v>
      </c>
      <c r="D7" s="161" t="s">
        <v>2</v>
      </c>
      <c r="E7" s="162">
        <v>403.66769999999997</v>
      </c>
      <c r="F7" s="162">
        <v>785</v>
      </c>
      <c r="G7" s="162">
        <v>1222.5</v>
      </c>
      <c r="H7" s="162">
        <v>1660</v>
      </c>
      <c r="I7" s="162">
        <v>2043</v>
      </c>
      <c r="J7" s="162">
        <v>2426</v>
      </c>
      <c r="K7" s="162">
        <v>2731.5</v>
      </c>
      <c r="L7" s="162">
        <v>3037</v>
      </c>
    </row>
    <row r="8" spans="2:12" ht="15" thickBot="1">
      <c r="B8" s="377"/>
      <c r="C8" s="159" t="s">
        <v>2862</v>
      </c>
      <c r="D8" s="159" t="s">
        <v>2</v>
      </c>
      <c r="E8" s="160">
        <v>403.66769999999997</v>
      </c>
      <c r="F8" s="160">
        <v>783.88035438694976</v>
      </c>
      <c r="G8" s="160">
        <v>1483.7707675031147</v>
      </c>
      <c r="H8" s="160">
        <v>2183.6611806192795</v>
      </c>
      <c r="I8" s="160">
        <v>2842.8862409716312</v>
      </c>
      <c r="J8" s="160">
        <v>3502.1113013239824</v>
      </c>
      <c r="K8" s="160">
        <v>3972.8269031476711</v>
      </c>
      <c r="L8" s="160">
        <v>4443.5425049713594</v>
      </c>
    </row>
    <row r="9" spans="2:12" ht="15" thickBot="1">
      <c r="B9" s="384" t="s">
        <v>2863</v>
      </c>
      <c r="C9" s="161" t="s">
        <v>2860</v>
      </c>
      <c r="D9" s="161" t="s">
        <v>2864</v>
      </c>
      <c r="E9" s="162">
        <v>45</v>
      </c>
      <c r="F9" s="162">
        <v>40</v>
      </c>
      <c r="G9" s="162">
        <v>38</v>
      </c>
      <c r="H9" s="162">
        <v>37</v>
      </c>
      <c r="I9" s="162">
        <v>57</v>
      </c>
      <c r="J9" s="162">
        <v>71</v>
      </c>
      <c r="K9" s="162">
        <v>65</v>
      </c>
      <c r="L9" s="162">
        <v>74</v>
      </c>
    </row>
    <row r="10" spans="2:12" ht="15" thickBot="1">
      <c r="B10" s="376"/>
      <c r="C10" s="159" t="s">
        <v>2861</v>
      </c>
      <c r="D10" s="159" t="s">
        <v>2864</v>
      </c>
      <c r="E10" s="160">
        <v>45</v>
      </c>
      <c r="F10" s="160">
        <v>76</v>
      </c>
      <c r="G10" s="160">
        <v>77</v>
      </c>
      <c r="H10" s="160">
        <v>109</v>
      </c>
      <c r="I10" s="160">
        <v>107</v>
      </c>
      <c r="J10" s="160">
        <v>115</v>
      </c>
      <c r="K10" s="160">
        <v>129</v>
      </c>
      <c r="L10" s="160">
        <v>147</v>
      </c>
    </row>
    <row r="11" spans="2:12" ht="15" thickBot="1">
      <c r="B11" s="377"/>
      <c r="C11" s="161" t="s">
        <v>2862</v>
      </c>
      <c r="D11" s="161" t="s">
        <v>2864</v>
      </c>
      <c r="E11" s="162">
        <v>45</v>
      </c>
      <c r="F11" s="162">
        <v>76</v>
      </c>
      <c r="G11" s="162">
        <v>133</v>
      </c>
      <c r="H11" s="162">
        <v>159</v>
      </c>
      <c r="I11" s="162">
        <v>165</v>
      </c>
      <c r="J11" s="162">
        <v>167</v>
      </c>
      <c r="K11" s="162">
        <v>185</v>
      </c>
      <c r="L11" s="162">
        <v>212</v>
      </c>
    </row>
    <row r="12" spans="2:12" ht="15" thickBot="1">
      <c r="B12" s="385" t="s">
        <v>2865</v>
      </c>
      <c r="C12" s="159" t="s">
        <v>2866</v>
      </c>
      <c r="D12" s="159" t="s">
        <v>2855</v>
      </c>
      <c r="E12" s="163">
        <v>0.05</v>
      </c>
      <c r="F12" s="163">
        <v>0.05</v>
      </c>
      <c r="G12" s="163">
        <v>0.05</v>
      </c>
      <c r="H12" s="163">
        <v>0.05</v>
      </c>
      <c r="I12" s="163">
        <v>0.05</v>
      </c>
      <c r="J12" s="163">
        <v>0.05</v>
      </c>
      <c r="K12" s="163">
        <v>0.05</v>
      </c>
      <c r="L12" s="163">
        <v>0.05</v>
      </c>
    </row>
    <row r="13" spans="2:12" ht="15" thickBot="1">
      <c r="B13" s="386"/>
      <c r="C13" s="161" t="s">
        <v>2867</v>
      </c>
      <c r="D13" s="161" t="s">
        <v>2855</v>
      </c>
      <c r="E13" s="163">
        <v>0.1</v>
      </c>
      <c r="F13" s="163">
        <v>0.1</v>
      </c>
      <c r="G13" s="163">
        <v>0.1</v>
      </c>
      <c r="H13" s="163">
        <v>0.1</v>
      </c>
      <c r="I13" s="163">
        <v>0.1</v>
      </c>
      <c r="J13" s="163">
        <v>0.1</v>
      </c>
      <c r="K13" s="163">
        <v>0.1</v>
      </c>
      <c r="L13" s="163">
        <v>0.1</v>
      </c>
    </row>
    <row r="14" spans="2:12" ht="15" thickBot="1">
      <c r="B14" s="387"/>
      <c r="C14" s="159" t="s">
        <v>2868</v>
      </c>
      <c r="D14" s="159" t="s">
        <v>2855</v>
      </c>
      <c r="E14" s="163">
        <v>0.02</v>
      </c>
      <c r="F14" s="163">
        <v>0.02</v>
      </c>
      <c r="G14" s="163">
        <v>0.02</v>
      </c>
      <c r="H14" s="163">
        <v>0.02</v>
      </c>
      <c r="I14" s="163">
        <v>0.02</v>
      </c>
      <c r="J14" s="163">
        <v>0.02</v>
      </c>
      <c r="K14" s="163">
        <v>0.02</v>
      </c>
      <c r="L14" s="163">
        <v>0.02</v>
      </c>
    </row>
    <row r="15" spans="2:12" ht="15" thickBot="1">
      <c r="B15" s="164" t="s">
        <v>2869</v>
      </c>
      <c r="C15" s="161" t="s">
        <v>2870</v>
      </c>
      <c r="D15" s="161" t="s">
        <v>2854</v>
      </c>
      <c r="E15" s="162">
        <v>25</v>
      </c>
      <c r="F15" s="162">
        <v>25</v>
      </c>
      <c r="G15" s="162">
        <v>25</v>
      </c>
      <c r="H15" s="162">
        <v>25</v>
      </c>
      <c r="I15" s="162">
        <v>25</v>
      </c>
      <c r="J15" s="162">
        <v>25</v>
      </c>
      <c r="K15" s="162">
        <v>25</v>
      </c>
      <c r="L15" s="162">
        <v>25</v>
      </c>
    </row>
    <row r="17" spans="2:12" ht="15" thickBot="1">
      <c r="B17" s="156" t="s">
        <v>2871</v>
      </c>
    </row>
    <row r="18" spans="2:12" ht="15" thickBot="1">
      <c r="B18" s="373"/>
      <c r="C18" s="374"/>
      <c r="D18" s="157" t="s">
        <v>0</v>
      </c>
      <c r="E18" s="165">
        <v>2015</v>
      </c>
      <c r="F18" s="165">
        <v>2020</v>
      </c>
      <c r="G18" s="165">
        <v>2025</v>
      </c>
      <c r="H18" s="165">
        <v>2030</v>
      </c>
      <c r="I18" s="165">
        <v>2035</v>
      </c>
      <c r="J18" s="165">
        <v>2040</v>
      </c>
      <c r="K18" s="165">
        <v>2045</v>
      </c>
      <c r="L18" s="165">
        <v>2050</v>
      </c>
    </row>
    <row r="19" spans="2:12" ht="15.5" thickTop="1" thickBot="1">
      <c r="B19" s="375" t="s">
        <v>2859</v>
      </c>
      <c r="C19" s="159" t="s">
        <v>2860</v>
      </c>
      <c r="D19" s="159" t="s">
        <v>2</v>
      </c>
      <c r="E19" s="160">
        <v>11.636700000000003</v>
      </c>
      <c r="F19" s="160">
        <v>29.848723085510589</v>
      </c>
      <c r="G19" s="160">
        <v>38.287371158789547</v>
      </c>
      <c r="H19" s="160">
        <v>46.726019232068509</v>
      </c>
      <c r="I19" s="160">
        <v>60.041552862002597</v>
      </c>
      <c r="J19" s="160">
        <v>73.357086491936684</v>
      </c>
      <c r="K19" s="160">
        <v>90.638104313916799</v>
      </c>
      <c r="L19" s="160">
        <v>107.91912213589691</v>
      </c>
    </row>
    <row r="20" spans="2:12" ht="15" thickBot="1">
      <c r="B20" s="376"/>
      <c r="C20" s="161" t="s">
        <v>2861</v>
      </c>
      <c r="D20" s="161" t="s">
        <v>2</v>
      </c>
      <c r="E20" s="162">
        <v>11.636700000000003</v>
      </c>
      <c r="F20" s="162">
        <v>37.909090909090907</v>
      </c>
      <c r="G20" s="162">
        <v>79.954545454545453</v>
      </c>
      <c r="H20" s="162">
        <v>122</v>
      </c>
      <c r="I20" s="162">
        <v>194.5</v>
      </c>
      <c r="J20" s="162">
        <v>267</v>
      </c>
      <c r="K20" s="162">
        <v>352</v>
      </c>
      <c r="L20" s="162">
        <v>437</v>
      </c>
    </row>
    <row r="21" spans="2:12" ht="15" thickBot="1">
      <c r="B21" s="377"/>
      <c r="C21" s="159" t="s">
        <v>2862</v>
      </c>
      <c r="D21" s="159" t="s">
        <v>2</v>
      </c>
      <c r="E21" s="160">
        <v>11.636700000000003</v>
      </c>
      <c r="F21" s="160">
        <v>36.515153552630487</v>
      </c>
      <c r="G21" s="160">
        <v>181.5042868077351</v>
      </c>
      <c r="H21" s="160">
        <v>326.49342006283968</v>
      </c>
      <c r="I21" s="160">
        <v>570.19890393736966</v>
      </c>
      <c r="J21" s="160">
        <v>813.90438781189971</v>
      </c>
      <c r="K21" s="160">
        <v>972.55366312951128</v>
      </c>
      <c r="L21" s="160">
        <v>1131.202938447123</v>
      </c>
    </row>
    <row r="22" spans="2:12" ht="15" thickBot="1">
      <c r="B22" s="384" t="s">
        <v>2863</v>
      </c>
      <c r="C22" s="161" t="s">
        <v>2860</v>
      </c>
      <c r="D22" s="161" t="s">
        <v>2864</v>
      </c>
      <c r="E22" s="162">
        <v>2</v>
      </c>
      <c r="F22" s="162">
        <v>4</v>
      </c>
      <c r="G22" s="162">
        <v>2</v>
      </c>
      <c r="H22" s="162">
        <v>2</v>
      </c>
      <c r="I22" s="162">
        <v>3</v>
      </c>
      <c r="J22" s="162">
        <v>3</v>
      </c>
      <c r="K22" s="162">
        <v>5</v>
      </c>
      <c r="L22" s="162">
        <v>7</v>
      </c>
    </row>
    <row r="23" spans="2:12" ht="15" thickBot="1">
      <c r="B23" s="376"/>
      <c r="C23" s="159" t="s">
        <v>2861</v>
      </c>
      <c r="D23" s="159" t="s">
        <v>2864</v>
      </c>
      <c r="E23" s="160">
        <v>2</v>
      </c>
      <c r="F23" s="160">
        <v>5</v>
      </c>
      <c r="G23" s="160">
        <v>5</v>
      </c>
      <c r="H23" s="160">
        <v>12</v>
      </c>
      <c r="I23" s="160">
        <v>14</v>
      </c>
      <c r="J23" s="160">
        <v>15</v>
      </c>
      <c r="K23" s="160">
        <v>17</v>
      </c>
      <c r="L23" s="160">
        <v>24</v>
      </c>
    </row>
    <row r="24" spans="2:12" ht="15" thickBot="1">
      <c r="B24" s="377"/>
      <c r="C24" s="161" t="s">
        <v>2862</v>
      </c>
      <c r="D24" s="161" t="s">
        <v>2864</v>
      </c>
      <c r="E24" s="162">
        <v>2</v>
      </c>
      <c r="F24" s="162">
        <v>5</v>
      </c>
      <c r="G24" s="162">
        <v>21</v>
      </c>
      <c r="H24" s="162">
        <v>37</v>
      </c>
      <c r="I24" s="162">
        <v>49</v>
      </c>
      <c r="J24" s="162">
        <v>49</v>
      </c>
      <c r="K24" s="162">
        <v>44</v>
      </c>
      <c r="L24" s="162">
        <v>26</v>
      </c>
    </row>
    <row r="25" spans="2:12" ht="15" thickBot="1">
      <c r="B25" s="385" t="s">
        <v>2865</v>
      </c>
      <c r="C25" s="159" t="s">
        <v>2866</v>
      </c>
      <c r="D25" s="159" t="s">
        <v>2855</v>
      </c>
      <c r="E25" s="163">
        <v>0.11</v>
      </c>
      <c r="F25" s="163">
        <v>0.11</v>
      </c>
      <c r="G25" s="163">
        <v>0.08</v>
      </c>
      <c r="H25" s="163">
        <v>0.05</v>
      </c>
      <c r="I25" s="163">
        <v>0.05</v>
      </c>
      <c r="J25" s="163">
        <v>0.05</v>
      </c>
      <c r="K25" s="163">
        <v>0.05</v>
      </c>
      <c r="L25" s="163">
        <v>0.05</v>
      </c>
    </row>
    <row r="26" spans="2:12" ht="15" thickBot="1">
      <c r="B26" s="386"/>
      <c r="C26" s="161" t="s">
        <v>2867</v>
      </c>
      <c r="D26" s="161" t="s">
        <v>2855</v>
      </c>
      <c r="E26" s="166">
        <v>0.2</v>
      </c>
      <c r="F26" s="166">
        <v>0.2</v>
      </c>
      <c r="G26" s="166">
        <v>0.15</v>
      </c>
      <c r="H26" s="166">
        <v>0.1</v>
      </c>
      <c r="I26" s="166">
        <v>0.1</v>
      </c>
      <c r="J26" s="166">
        <v>0.1</v>
      </c>
      <c r="K26" s="166">
        <v>0.1</v>
      </c>
      <c r="L26" s="166">
        <v>0.1</v>
      </c>
    </row>
    <row r="27" spans="2:12" ht="15" thickBot="1">
      <c r="B27" s="387"/>
      <c r="C27" s="159" t="s">
        <v>2868</v>
      </c>
      <c r="D27" s="159" t="s">
        <v>2855</v>
      </c>
      <c r="E27" s="163">
        <v>0.05</v>
      </c>
      <c r="F27" s="163">
        <v>0.05</v>
      </c>
      <c r="G27" s="163">
        <v>0.05</v>
      </c>
      <c r="H27" s="163">
        <v>0.02</v>
      </c>
      <c r="I27" s="163">
        <v>0.02</v>
      </c>
      <c r="J27" s="163">
        <v>0.02</v>
      </c>
      <c r="K27" s="163">
        <v>0.02</v>
      </c>
      <c r="L27" s="163">
        <v>0.02</v>
      </c>
    </row>
    <row r="28" spans="2:12" ht="15" thickBot="1">
      <c r="B28" s="164" t="s">
        <v>2869</v>
      </c>
      <c r="C28" s="161" t="s">
        <v>2870</v>
      </c>
      <c r="D28" s="161" t="s">
        <v>2854</v>
      </c>
      <c r="E28" s="167">
        <v>30</v>
      </c>
      <c r="F28" s="167">
        <v>30</v>
      </c>
      <c r="G28" s="167">
        <v>30</v>
      </c>
      <c r="H28" s="167">
        <v>30</v>
      </c>
      <c r="I28" s="167">
        <v>30</v>
      </c>
      <c r="J28" s="167">
        <v>30</v>
      </c>
      <c r="K28" s="167">
        <v>30</v>
      </c>
      <c r="L28" s="167">
        <v>30</v>
      </c>
    </row>
    <row r="31" spans="2:12" ht="15" thickBot="1">
      <c r="B31" s="156" t="s">
        <v>2872</v>
      </c>
    </row>
    <row r="32" spans="2:12" ht="15" thickBot="1">
      <c r="B32" s="373"/>
      <c r="C32" s="374"/>
      <c r="D32" s="157" t="s">
        <v>0</v>
      </c>
      <c r="E32" s="165">
        <v>2015</v>
      </c>
      <c r="F32" s="165">
        <v>2020</v>
      </c>
      <c r="G32" s="165">
        <v>2030</v>
      </c>
      <c r="H32" s="165">
        <v>2040</v>
      </c>
      <c r="I32" s="165">
        <v>2050</v>
      </c>
    </row>
    <row r="33" spans="2:9" ht="15.5" thickTop="1" thickBot="1">
      <c r="B33" s="375" t="s">
        <v>2873</v>
      </c>
      <c r="C33" s="159" t="s">
        <v>2860</v>
      </c>
      <c r="D33" s="159" t="s">
        <v>2874</v>
      </c>
      <c r="E33" s="168">
        <v>1850</v>
      </c>
      <c r="F33" s="169">
        <v>1800</v>
      </c>
      <c r="G33" s="169">
        <v>1730</v>
      </c>
      <c r="H33" s="169">
        <v>1670</v>
      </c>
      <c r="I33" s="169">
        <v>1630</v>
      </c>
    </row>
    <row r="34" spans="2:9" ht="15.5" thickTop="1" thickBot="1">
      <c r="B34" s="376"/>
      <c r="C34" s="161" t="s">
        <v>2861</v>
      </c>
      <c r="D34" s="161" t="s">
        <v>2874</v>
      </c>
      <c r="E34" s="168">
        <v>1850</v>
      </c>
      <c r="F34" s="167">
        <v>1760</v>
      </c>
      <c r="G34" s="167">
        <v>1660</v>
      </c>
      <c r="H34" s="167">
        <v>1600</v>
      </c>
      <c r="I34" s="167">
        <v>1560</v>
      </c>
    </row>
    <row r="35" spans="2:9" ht="15.5" thickTop="1" thickBot="1">
      <c r="B35" s="376"/>
      <c r="C35" s="159" t="s">
        <v>2862</v>
      </c>
      <c r="D35" s="159" t="s">
        <v>2874</v>
      </c>
      <c r="E35" s="168">
        <v>1850</v>
      </c>
      <c r="F35" s="169">
        <v>1760</v>
      </c>
      <c r="G35" s="169">
        <v>1630</v>
      </c>
      <c r="H35" s="169">
        <v>1560</v>
      </c>
      <c r="I35" s="169">
        <v>1520</v>
      </c>
    </row>
    <row r="36" spans="2:9" ht="15.5" thickTop="1" thickBot="1">
      <c r="B36" s="376"/>
      <c r="C36" s="161" t="s">
        <v>2875</v>
      </c>
      <c r="D36" s="161" t="s">
        <v>2874</v>
      </c>
      <c r="E36" s="168">
        <v>1850</v>
      </c>
      <c r="F36" s="167">
        <v>1670</v>
      </c>
      <c r="G36" s="167">
        <v>1430</v>
      </c>
      <c r="H36" s="167">
        <v>1310</v>
      </c>
      <c r="I36" s="167">
        <v>1230</v>
      </c>
    </row>
    <row r="37" spans="2:9" ht="15.5" thickTop="1" thickBot="1">
      <c r="B37" s="377"/>
      <c r="C37" s="159" t="s">
        <v>2876</v>
      </c>
      <c r="D37" s="159" t="s">
        <v>2874</v>
      </c>
      <c r="E37" s="168">
        <v>1850</v>
      </c>
      <c r="F37" s="169">
        <v>1830</v>
      </c>
      <c r="G37" s="169">
        <v>1800</v>
      </c>
      <c r="H37" s="169">
        <v>1780</v>
      </c>
      <c r="I37" s="169">
        <v>1760</v>
      </c>
    </row>
    <row r="38" spans="2:9" ht="16" thickBot="1">
      <c r="B38" s="164" t="s">
        <v>2877</v>
      </c>
      <c r="C38" s="161" t="s">
        <v>2870</v>
      </c>
      <c r="D38" s="161" t="s">
        <v>2878</v>
      </c>
      <c r="E38" s="166">
        <v>0.03</v>
      </c>
      <c r="F38" s="166">
        <v>0.03</v>
      </c>
      <c r="G38" s="166">
        <v>0.03</v>
      </c>
      <c r="H38" s="166">
        <v>0.03</v>
      </c>
      <c r="I38" s="166">
        <v>0.03</v>
      </c>
    </row>
    <row r="41" spans="2:9" ht="15" thickBot="1">
      <c r="B41" s="156" t="s">
        <v>2879</v>
      </c>
    </row>
    <row r="42" spans="2:9" ht="15" thickBot="1">
      <c r="B42" s="373"/>
      <c r="C42" s="374"/>
      <c r="D42" s="157" t="s">
        <v>0</v>
      </c>
      <c r="E42" s="165">
        <v>2015</v>
      </c>
      <c r="F42" s="165">
        <v>2020</v>
      </c>
      <c r="G42" s="165">
        <v>2030</v>
      </c>
      <c r="H42" s="165">
        <v>2040</v>
      </c>
      <c r="I42" s="165">
        <v>2050</v>
      </c>
    </row>
    <row r="43" spans="2:9" ht="15.5" thickTop="1" thickBot="1">
      <c r="B43" s="375" t="s">
        <v>2873</v>
      </c>
      <c r="C43" s="159" t="s">
        <v>2860</v>
      </c>
      <c r="D43" s="159" t="s">
        <v>2874</v>
      </c>
      <c r="E43" s="168">
        <v>1350</v>
      </c>
      <c r="F43" s="169">
        <v>1310</v>
      </c>
      <c r="G43" s="169">
        <v>1260</v>
      </c>
      <c r="H43" s="169">
        <v>1220</v>
      </c>
      <c r="I43" s="169">
        <v>1190</v>
      </c>
    </row>
    <row r="44" spans="2:9" ht="15.5" thickTop="1" thickBot="1">
      <c r="B44" s="376"/>
      <c r="C44" s="161" t="s">
        <v>2861</v>
      </c>
      <c r="D44" s="161" t="s">
        <v>2874</v>
      </c>
      <c r="E44" s="168">
        <v>1350</v>
      </c>
      <c r="F44" s="167">
        <v>1290</v>
      </c>
      <c r="G44" s="167">
        <v>1210</v>
      </c>
      <c r="H44" s="167">
        <v>1170</v>
      </c>
      <c r="I44" s="167">
        <v>1130</v>
      </c>
    </row>
    <row r="45" spans="2:9" ht="15.5" thickTop="1" thickBot="1">
      <c r="B45" s="376"/>
      <c r="C45" s="159" t="s">
        <v>2862</v>
      </c>
      <c r="D45" s="159" t="s">
        <v>2874</v>
      </c>
      <c r="E45" s="168">
        <v>1350</v>
      </c>
      <c r="F45" s="169">
        <v>1290</v>
      </c>
      <c r="G45" s="169">
        <v>1190</v>
      </c>
      <c r="H45" s="169">
        <v>1140</v>
      </c>
      <c r="I45" s="169">
        <v>1110</v>
      </c>
    </row>
    <row r="46" spans="2:9" ht="15.5" thickTop="1" thickBot="1">
      <c r="B46" s="376"/>
      <c r="C46" s="161" t="s">
        <v>2875</v>
      </c>
      <c r="D46" s="161" t="s">
        <v>2874</v>
      </c>
      <c r="E46" s="168">
        <v>1350</v>
      </c>
      <c r="F46" s="167">
        <v>1220</v>
      </c>
      <c r="G46" s="167">
        <v>1040</v>
      </c>
      <c r="H46" s="167">
        <v>960</v>
      </c>
      <c r="I46" s="167">
        <v>900</v>
      </c>
    </row>
    <row r="47" spans="2:9" ht="15.5" thickTop="1" thickBot="1">
      <c r="B47" s="377"/>
      <c r="C47" s="159" t="s">
        <v>2876</v>
      </c>
      <c r="D47" s="159" t="s">
        <v>2874</v>
      </c>
      <c r="E47" s="168">
        <v>1350</v>
      </c>
      <c r="F47" s="169">
        <v>1330</v>
      </c>
      <c r="G47" s="169">
        <v>1320</v>
      </c>
      <c r="H47" s="169">
        <v>1300</v>
      </c>
      <c r="I47" s="169">
        <v>1280</v>
      </c>
    </row>
    <row r="48" spans="2:9" ht="16" thickBot="1">
      <c r="B48" s="164" t="s">
        <v>2877</v>
      </c>
      <c r="C48" s="161" t="s">
        <v>2870</v>
      </c>
      <c r="D48" s="161" t="s">
        <v>2878</v>
      </c>
      <c r="E48" s="166">
        <v>0.03</v>
      </c>
      <c r="F48" s="166">
        <v>0.03</v>
      </c>
      <c r="G48" s="166">
        <v>0.03</v>
      </c>
      <c r="H48" s="166">
        <v>0.03</v>
      </c>
      <c r="I48" s="166">
        <v>0.03</v>
      </c>
    </row>
    <row r="51" spans="1:9" ht="15" thickBot="1">
      <c r="B51" s="156" t="s">
        <v>2880</v>
      </c>
    </row>
    <row r="52" spans="1:9" ht="15" thickBot="1">
      <c r="B52" s="373"/>
      <c r="C52" s="374"/>
      <c r="D52" s="157" t="s">
        <v>0</v>
      </c>
      <c r="E52" s="165">
        <v>2015</v>
      </c>
      <c r="F52" s="165">
        <v>2020</v>
      </c>
      <c r="G52" s="165">
        <v>2030</v>
      </c>
      <c r="H52" s="165">
        <v>2040</v>
      </c>
      <c r="I52" s="165">
        <v>2050</v>
      </c>
    </row>
    <row r="53" spans="1:9" ht="15.5" thickTop="1" thickBot="1">
      <c r="B53" s="375" t="s">
        <v>2873</v>
      </c>
      <c r="C53" s="159" t="s">
        <v>2860</v>
      </c>
      <c r="D53" s="159" t="s">
        <v>2874</v>
      </c>
      <c r="E53" s="168">
        <v>1090</v>
      </c>
      <c r="F53" s="169">
        <v>1060</v>
      </c>
      <c r="G53" s="169">
        <v>1020</v>
      </c>
      <c r="H53" s="169">
        <v>980</v>
      </c>
      <c r="I53" s="169">
        <v>960</v>
      </c>
    </row>
    <row r="54" spans="1:9" ht="15.5" thickTop="1" thickBot="1">
      <c r="B54" s="376"/>
      <c r="C54" s="161" t="s">
        <v>2861</v>
      </c>
      <c r="D54" s="161" t="s">
        <v>2874</v>
      </c>
      <c r="E54" s="168">
        <v>1090</v>
      </c>
      <c r="F54" s="167">
        <v>1040</v>
      </c>
      <c r="G54" s="167">
        <v>980</v>
      </c>
      <c r="H54" s="167">
        <v>940</v>
      </c>
      <c r="I54" s="167">
        <v>920</v>
      </c>
    </row>
    <row r="55" spans="1:9" ht="15.5" thickTop="1" thickBot="1">
      <c r="B55" s="376"/>
      <c r="C55" s="159" t="s">
        <v>2862</v>
      </c>
      <c r="D55" s="159" t="s">
        <v>2874</v>
      </c>
      <c r="E55" s="168">
        <v>1090</v>
      </c>
      <c r="F55" s="169">
        <v>1040</v>
      </c>
      <c r="G55" s="169">
        <v>960</v>
      </c>
      <c r="H55" s="169">
        <v>920</v>
      </c>
      <c r="I55" s="169">
        <v>890</v>
      </c>
    </row>
    <row r="56" spans="1:9" ht="15.5" thickTop="1" thickBot="1">
      <c r="B56" s="376"/>
      <c r="C56" s="161" t="s">
        <v>2875</v>
      </c>
      <c r="D56" s="161" t="s">
        <v>2874</v>
      </c>
      <c r="E56" s="168">
        <v>1090</v>
      </c>
      <c r="F56" s="167">
        <v>990</v>
      </c>
      <c r="G56" s="167">
        <v>840</v>
      </c>
      <c r="H56" s="167">
        <v>770</v>
      </c>
      <c r="I56" s="167">
        <v>730</v>
      </c>
    </row>
    <row r="57" spans="1:9" ht="15.5" thickTop="1" thickBot="1">
      <c r="B57" s="377"/>
      <c r="C57" s="159" t="s">
        <v>2876</v>
      </c>
      <c r="D57" s="159" t="s">
        <v>2874</v>
      </c>
      <c r="E57" s="168">
        <v>1090</v>
      </c>
      <c r="F57" s="169">
        <v>1080</v>
      </c>
      <c r="G57" s="169">
        <v>1060</v>
      </c>
      <c r="H57" s="169">
        <v>1050</v>
      </c>
      <c r="I57" s="169">
        <v>1040</v>
      </c>
    </row>
    <row r="58" spans="1:9" ht="16" thickBot="1">
      <c r="B58" s="164" t="s">
        <v>2877</v>
      </c>
      <c r="C58" s="161" t="s">
        <v>2870</v>
      </c>
      <c r="D58" s="161" t="s">
        <v>2878</v>
      </c>
      <c r="E58" s="166">
        <v>0.03</v>
      </c>
      <c r="F58" s="166">
        <v>0.03</v>
      </c>
      <c r="G58" s="166">
        <v>0.03</v>
      </c>
      <c r="H58" s="166">
        <v>0.03</v>
      </c>
      <c r="I58" s="166">
        <v>0.03</v>
      </c>
    </row>
    <row r="60" spans="1:9" ht="15" thickBot="1">
      <c r="B60" s="156" t="s">
        <v>2881</v>
      </c>
    </row>
    <row r="61" spans="1:9" ht="15" thickBot="1">
      <c r="B61" s="373"/>
      <c r="C61" s="374"/>
      <c r="D61" s="157" t="s">
        <v>0</v>
      </c>
      <c r="E61" s="165">
        <v>2015</v>
      </c>
      <c r="F61" s="165">
        <v>2020</v>
      </c>
      <c r="G61" s="165">
        <v>2030</v>
      </c>
      <c r="H61" s="165">
        <v>2040</v>
      </c>
      <c r="I61" s="165">
        <v>2050</v>
      </c>
    </row>
    <row r="62" spans="1:9" ht="15.5" thickTop="1" thickBot="1">
      <c r="B62" s="375" t="s">
        <v>2873</v>
      </c>
      <c r="C62" s="159" t="s">
        <v>2860</v>
      </c>
      <c r="D62" s="159" t="s">
        <v>2874</v>
      </c>
      <c r="E62" s="168">
        <v>3500</v>
      </c>
      <c r="F62" s="169">
        <v>2990</v>
      </c>
      <c r="G62" s="169">
        <v>2850</v>
      </c>
      <c r="H62" s="169">
        <v>2750</v>
      </c>
      <c r="I62" s="169">
        <v>2640</v>
      </c>
    </row>
    <row r="63" spans="1:9" ht="15" thickBot="1">
      <c r="A63" t="s">
        <v>2882</v>
      </c>
      <c r="B63" s="376"/>
      <c r="C63" s="161" t="s">
        <v>2861</v>
      </c>
      <c r="D63" s="161" t="s">
        <v>2874</v>
      </c>
      <c r="E63" s="170">
        <v>3500</v>
      </c>
      <c r="F63" s="167">
        <v>2870</v>
      </c>
      <c r="G63" s="167">
        <v>2570</v>
      </c>
      <c r="H63" s="167">
        <v>2430</v>
      </c>
      <c r="I63" s="167">
        <v>2330</v>
      </c>
    </row>
    <row r="64" spans="1:9" ht="15" thickBot="1">
      <c r="B64" s="376"/>
      <c r="C64" s="159" t="s">
        <v>2862</v>
      </c>
      <c r="D64" s="159" t="s">
        <v>2874</v>
      </c>
      <c r="E64" s="170">
        <v>3500</v>
      </c>
      <c r="F64" s="169">
        <v>2890</v>
      </c>
      <c r="G64" s="169">
        <v>2310</v>
      </c>
      <c r="H64" s="169">
        <v>2150</v>
      </c>
      <c r="I64" s="169">
        <v>2100</v>
      </c>
    </row>
    <row r="65" spans="2:9" ht="15" thickBot="1">
      <c r="B65" s="376"/>
      <c r="C65" s="161" t="s">
        <v>2875</v>
      </c>
      <c r="D65" s="161" t="s">
        <v>2874</v>
      </c>
      <c r="E65" s="170">
        <v>3500</v>
      </c>
      <c r="F65" s="167">
        <v>2390</v>
      </c>
      <c r="G65" s="167">
        <v>1550</v>
      </c>
      <c r="H65" s="167">
        <v>1350</v>
      </c>
      <c r="I65" s="167">
        <v>1280</v>
      </c>
    </row>
    <row r="66" spans="2:9" ht="15" thickBot="1">
      <c r="B66" s="377"/>
      <c r="C66" s="159" t="s">
        <v>2876</v>
      </c>
      <c r="D66" s="159" t="s">
        <v>2874</v>
      </c>
      <c r="E66" s="171">
        <v>3500</v>
      </c>
      <c r="F66" s="169">
        <v>3260</v>
      </c>
      <c r="G66" s="169">
        <v>3180</v>
      </c>
      <c r="H66" s="169">
        <v>3140</v>
      </c>
      <c r="I66" s="169">
        <v>3090</v>
      </c>
    </row>
    <row r="67" spans="2:9" ht="16" thickBot="1">
      <c r="B67" s="164" t="s">
        <v>2877</v>
      </c>
      <c r="C67" s="161" t="s">
        <v>2870</v>
      </c>
      <c r="D67" s="161" t="s">
        <v>2878</v>
      </c>
      <c r="E67" s="166">
        <v>0.02</v>
      </c>
      <c r="F67" s="166">
        <v>0.02</v>
      </c>
      <c r="G67" s="166">
        <v>0.02</v>
      </c>
      <c r="H67" s="166">
        <v>0.02</v>
      </c>
      <c r="I67" s="166">
        <v>0.02</v>
      </c>
    </row>
    <row r="70" spans="2:9" ht="15" thickBot="1">
      <c r="B70" s="156" t="s">
        <v>2883</v>
      </c>
    </row>
    <row r="71" spans="2:9" ht="15" thickBot="1">
      <c r="B71" s="373"/>
      <c r="C71" s="374"/>
      <c r="D71" s="157" t="s">
        <v>0</v>
      </c>
      <c r="E71" s="165">
        <v>2015</v>
      </c>
      <c r="F71" s="165">
        <v>2020</v>
      </c>
      <c r="G71" s="165">
        <v>2030</v>
      </c>
      <c r="H71" s="165">
        <v>2040</v>
      </c>
      <c r="I71" s="165">
        <v>2050</v>
      </c>
    </row>
    <row r="72" spans="2:9" ht="15.5" thickTop="1" thickBot="1">
      <c r="B72" s="375" t="s">
        <v>2873</v>
      </c>
      <c r="C72" s="159" t="s">
        <v>2860</v>
      </c>
      <c r="D72" s="159" t="s">
        <v>2874</v>
      </c>
      <c r="E72" s="168">
        <v>3600</v>
      </c>
      <c r="F72" s="169">
        <v>3070</v>
      </c>
      <c r="G72" s="169">
        <v>2940</v>
      </c>
      <c r="H72" s="169">
        <v>2830</v>
      </c>
      <c r="I72" s="169">
        <v>2710</v>
      </c>
    </row>
    <row r="73" spans="2:9" ht="15.5" thickTop="1" thickBot="1">
      <c r="B73" s="376"/>
      <c r="C73" s="161" t="s">
        <v>2861</v>
      </c>
      <c r="D73" s="161" t="s">
        <v>2874</v>
      </c>
      <c r="E73" s="168">
        <v>3600</v>
      </c>
      <c r="F73" s="167">
        <v>2950</v>
      </c>
      <c r="G73" s="167">
        <v>2650</v>
      </c>
      <c r="H73" s="167">
        <v>2490</v>
      </c>
      <c r="I73" s="167">
        <v>2390</v>
      </c>
    </row>
    <row r="74" spans="2:9" ht="15.5" thickTop="1" thickBot="1">
      <c r="B74" s="376"/>
      <c r="C74" s="159" t="s">
        <v>2862</v>
      </c>
      <c r="D74" s="159" t="s">
        <v>2874</v>
      </c>
      <c r="E74" s="168">
        <v>3600</v>
      </c>
      <c r="F74" s="169">
        <v>2970</v>
      </c>
      <c r="G74" s="169">
        <v>2370</v>
      </c>
      <c r="H74" s="169">
        <v>2220</v>
      </c>
      <c r="I74" s="169">
        <v>2160</v>
      </c>
    </row>
    <row r="75" spans="2:9" ht="15.5" thickTop="1" thickBot="1">
      <c r="B75" s="376"/>
      <c r="C75" s="161" t="s">
        <v>2875</v>
      </c>
      <c r="D75" s="161" t="s">
        <v>2874</v>
      </c>
      <c r="E75" s="168">
        <v>3600</v>
      </c>
      <c r="F75" s="167">
        <v>2460</v>
      </c>
      <c r="G75" s="167">
        <v>1600</v>
      </c>
      <c r="H75" s="167">
        <v>1390</v>
      </c>
      <c r="I75" s="167">
        <v>1320</v>
      </c>
    </row>
    <row r="76" spans="2:9" ht="15.5" thickTop="1" thickBot="1">
      <c r="B76" s="377"/>
      <c r="C76" s="159" t="s">
        <v>2876</v>
      </c>
      <c r="D76" s="159" t="s">
        <v>2874</v>
      </c>
      <c r="E76" s="168">
        <v>3600</v>
      </c>
      <c r="F76" s="169">
        <v>3360</v>
      </c>
      <c r="G76" s="169">
        <v>3280</v>
      </c>
      <c r="H76" s="169">
        <v>3230</v>
      </c>
      <c r="I76" s="169">
        <v>3170</v>
      </c>
    </row>
    <row r="77" spans="2:9" ht="16" thickBot="1">
      <c r="B77" s="164" t="s">
        <v>2877</v>
      </c>
      <c r="C77" s="161" t="s">
        <v>2870</v>
      </c>
      <c r="D77" s="161" t="s">
        <v>2878</v>
      </c>
      <c r="E77" s="166">
        <v>0.02</v>
      </c>
      <c r="F77" s="166">
        <v>0.02</v>
      </c>
      <c r="G77" s="166">
        <v>0.02</v>
      </c>
      <c r="H77" s="166">
        <v>0.02</v>
      </c>
      <c r="I77" s="166">
        <v>0.02</v>
      </c>
    </row>
    <row r="80" spans="2:9" ht="15" thickBot="1">
      <c r="B80" s="156" t="s">
        <v>2884</v>
      </c>
    </row>
    <row r="81" spans="2:12" ht="15" thickBot="1">
      <c r="B81" s="373"/>
      <c r="C81" s="374"/>
      <c r="D81" s="157" t="s">
        <v>0</v>
      </c>
      <c r="E81" s="165">
        <v>2015</v>
      </c>
      <c r="F81" s="165">
        <v>2020</v>
      </c>
      <c r="G81" s="165">
        <v>2030</v>
      </c>
      <c r="H81" s="165">
        <v>2040</v>
      </c>
      <c r="I81" s="165">
        <v>2050</v>
      </c>
    </row>
    <row r="82" spans="2:12" ht="15.5" thickTop="1" thickBot="1">
      <c r="B82" s="375" t="s">
        <v>2873</v>
      </c>
      <c r="C82" s="159" t="s">
        <v>2860</v>
      </c>
      <c r="D82" s="159" t="s">
        <v>2874</v>
      </c>
      <c r="E82" s="168">
        <v>5500</v>
      </c>
      <c r="F82" s="169">
        <v>4690</v>
      </c>
      <c r="G82" s="169">
        <v>4490</v>
      </c>
      <c r="H82" s="169">
        <v>4330</v>
      </c>
      <c r="I82" s="169">
        <v>4140</v>
      </c>
    </row>
    <row r="83" spans="2:12" ht="15.5" thickTop="1" thickBot="1">
      <c r="B83" s="376"/>
      <c r="C83" s="161" t="s">
        <v>2861</v>
      </c>
      <c r="D83" s="161" t="s">
        <v>2874</v>
      </c>
      <c r="E83" s="168">
        <v>5500</v>
      </c>
      <c r="F83" s="167">
        <v>4510</v>
      </c>
      <c r="G83" s="167">
        <v>4040</v>
      </c>
      <c r="H83" s="167">
        <v>3810</v>
      </c>
      <c r="I83" s="167">
        <v>3660</v>
      </c>
    </row>
    <row r="84" spans="2:12" ht="15.5" thickTop="1" thickBot="1">
      <c r="B84" s="376"/>
      <c r="C84" s="159" t="s">
        <v>2862</v>
      </c>
      <c r="D84" s="159" t="s">
        <v>2874</v>
      </c>
      <c r="E84" s="168">
        <v>5500</v>
      </c>
      <c r="F84" s="169">
        <v>4540</v>
      </c>
      <c r="G84" s="169">
        <v>3620</v>
      </c>
      <c r="H84" s="169">
        <v>3390</v>
      </c>
      <c r="I84" s="169">
        <v>3300</v>
      </c>
    </row>
    <row r="85" spans="2:12" ht="15.5" thickTop="1" thickBot="1">
      <c r="B85" s="376"/>
      <c r="C85" s="161" t="s">
        <v>2875</v>
      </c>
      <c r="D85" s="161" t="s">
        <v>2874</v>
      </c>
      <c r="E85" s="168">
        <v>5500</v>
      </c>
      <c r="F85" s="167">
        <v>3760</v>
      </c>
      <c r="G85" s="167">
        <v>2440</v>
      </c>
      <c r="H85" s="167">
        <v>2120</v>
      </c>
      <c r="I85" s="167">
        <v>2010</v>
      </c>
    </row>
    <row r="86" spans="2:12" ht="15.5" thickTop="1" thickBot="1">
      <c r="B86" s="377"/>
      <c r="C86" s="159" t="s">
        <v>2876</v>
      </c>
      <c r="D86" s="159" t="s">
        <v>2874</v>
      </c>
      <c r="E86" s="168">
        <v>5500</v>
      </c>
      <c r="F86" s="169">
        <v>5130</v>
      </c>
      <c r="G86" s="169">
        <v>5000</v>
      </c>
      <c r="H86" s="169">
        <v>4930</v>
      </c>
      <c r="I86" s="169">
        <v>4850</v>
      </c>
    </row>
    <row r="87" spans="2:12" ht="16" thickBot="1">
      <c r="B87" s="164" t="s">
        <v>2877</v>
      </c>
      <c r="C87" s="161" t="s">
        <v>2870</v>
      </c>
      <c r="D87" s="161" t="s">
        <v>2878</v>
      </c>
      <c r="E87" s="166">
        <v>0.02</v>
      </c>
      <c r="F87" s="166">
        <v>0.02</v>
      </c>
      <c r="G87" s="166">
        <v>0.02</v>
      </c>
      <c r="H87" s="166">
        <v>0.02</v>
      </c>
      <c r="I87" s="166">
        <v>0.02</v>
      </c>
    </row>
    <row r="89" spans="2:12" ht="15" thickBot="1">
      <c r="B89" s="156" t="s">
        <v>2885</v>
      </c>
    </row>
    <row r="90" spans="2:12" ht="15" thickBot="1">
      <c r="B90" s="378"/>
      <c r="C90" s="379"/>
      <c r="D90" s="172" t="s">
        <v>0</v>
      </c>
      <c r="E90" s="173">
        <v>2015</v>
      </c>
      <c r="F90" s="173">
        <v>2020</v>
      </c>
      <c r="G90" s="173">
        <v>2025</v>
      </c>
      <c r="H90" s="173">
        <v>2030</v>
      </c>
      <c r="I90" s="173">
        <v>2035</v>
      </c>
      <c r="J90" s="173">
        <v>2040</v>
      </c>
      <c r="K90" s="173">
        <v>2045</v>
      </c>
      <c r="L90" s="173">
        <v>2050</v>
      </c>
    </row>
    <row r="91" spans="2:12" ht="15.5" thickTop="1" thickBot="1">
      <c r="B91" s="364" t="s">
        <v>2859</v>
      </c>
      <c r="C91" s="174" t="s">
        <v>2860</v>
      </c>
      <c r="D91" s="174" t="s">
        <v>2</v>
      </c>
      <c r="E91" s="175">
        <v>220</v>
      </c>
      <c r="F91" s="175">
        <v>424.27247422740209</v>
      </c>
      <c r="G91" s="175">
        <v>533.59458604179963</v>
      </c>
      <c r="H91" s="175">
        <v>642.91669785619729</v>
      </c>
      <c r="I91" s="175">
        <v>833.73054213910052</v>
      </c>
      <c r="J91" s="175">
        <v>1024.5443864220038</v>
      </c>
      <c r="K91" s="175">
        <v>1244.4582838637666</v>
      </c>
      <c r="L91" s="175">
        <v>1464.3721813055295</v>
      </c>
    </row>
    <row r="92" spans="2:12" ht="15" thickBot="1">
      <c r="B92" s="365"/>
      <c r="C92" s="176" t="s">
        <v>2861</v>
      </c>
      <c r="D92" s="176" t="s">
        <v>2</v>
      </c>
      <c r="E92" s="177">
        <v>220</v>
      </c>
      <c r="F92" s="177">
        <v>491.63636363636363</v>
      </c>
      <c r="G92" s="177">
        <v>826.81818181818176</v>
      </c>
      <c r="H92" s="177">
        <v>1162</v>
      </c>
      <c r="I92" s="177">
        <v>1851</v>
      </c>
      <c r="J92" s="177">
        <v>2540</v>
      </c>
      <c r="K92" s="177">
        <v>3482</v>
      </c>
      <c r="L92" s="177">
        <v>4424</v>
      </c>
    </row>
    <row r="93" spans="2:12" ht="15" thickBot="1">
      <c r="B93" s="366"/>
      <c r="C93" s="174" t="s">
        <v>2862</v>
      </c>
      <c r="D93" s="174" t="s">
        <v>2</v>
      </c>
      <c r="E93" s="175">
        <v>220</v>
      </c>
      <c r="F93" s="175">
        <v>732.07456591498942</v>
      </c>
      <c r="G93" s="175">
        <v>1785.321819256143</v>
      </c>
      <c r="H93" s="175">
        <v>2838.5690725972968</v>
      </c>
      <c r="I93" s="175">
        <v>3913.0395866832614</v>
      </c>
      <c r="J93" s="175">
        <v>4987.5101007692256</v>
      </c>
      <c r="K93" s="175">
        <v>5866.1955602156177</v>
      </c>
      <c r="L93" s="175">
        <v>6744.8810196620088</v>
      </c>
    </row>
    <row r="94" spans="2:12" ht="15" thickBot="1">
      <c r="B94" s="380" t="s">
        <v>2863</v>
      </c>
      <c r="C94" s="176" t="s">
        <v>2860</v>
      </c>
      <c r="D94" s="176" t="s">
        <v>2864</v>
      </c>
      <c r="E94" s="177">
        <v>36.245940000000004</v>
      </c>
      <c r="F94" s="177">
        <v>40.827894845480408</v>
      </c>
      <c r="G94" s="177">
        <v>23.43515905924869</v>
      </c>
      <c r="H94" s="177">
        <v>21.196685666510348</v>
      </c>
      <c r="I94" s="177">
        <v>25.577992100646632</v>
      </c>
      <c r="J94" s="177">
        <v>93.871145612514667</v>
      </c>
      <c r="K94" s="177">
        <v>91.576352500844422</v>
      </c>
      <c r="L94" s="177">
        <v>60.652260380589816</v>
      </c>
    </row>
    <row r="95" spans="2:12" ht="15" thickBot="1">
      <c r="B95" s="365"/>
      <c r="C95" s="174" t="s">
        <v>2861</v>
      </c>
      <c r="D95" s="174" t="s">
        <v>2864</v>
      </c>
      <c r="E95" s="175">
        <v>36.245940000000004</v>
      </c>
      <c r="F95" s="175">
        <v>54.300672727272719</v>
      </c>
      <c r="G95" s="175">
        <v>52.434247272727269</v>
      </c>
      <c r="H95" s="175">
        <v>82.541480000000007</v>
      </c>
      <c r="I95" s="175">
        <v>128.67766</v>
      </c>
      <c r="J95" s="175">
        <v>190.04593999999997</v>
      </c>
      <c r="K95" s="175">
        <v>242.50067272727273</v>
      </c>
      <c r="L95" s="175">
        <v>241.03424727272721</v>
      </c>
    </row>
    <row r="96" spans="2:12" ht="15" thickBot="1">
      <c r="B96" s="366"/>
      <c r="C96" s="176" t="s">
        <v>2862</v>
      </c>
      <c r="D96" s="176" t="s">
        <v>2864</v>
      </c>
      <c r="E96" s="177">
        <v>36.245940000000004</v>
      </c>
      <c r="F96" s="177">
        <v>102.38831318299788</v>
      </c>
      <c r="G96" s="177">
        <v>174.4386363111916</v>
      </c>
      <c r="H96" s="177">
        <v>247.76326502526985</v>
      </c>
      <c r="I96" s="177">
        <v>232.6818095473478</v>
      </c>
      <c r="J96" s="177">
        <v>240.22999608703793</v>
      </c>
      <c r="K96" s="177">
        <v>283.37477419456809</v>
      </c>
      <c r="L96" s="177">
        <v>344.92635907817805</v>
      </c>
    </row>
    <row r="97" spans="1:12" ht="15" thickBot="1">
      <c r="B97" s="381" t="s">
        <v>2865</v>
      </c>
      <c r="C97" s="174" t="s">
        <v>2866</v>
      </c>
      <c r="D97" s="174" t="s">
        <v>2855</v>
      </c>
      <c r="E97" s="178">
        <v>0.2</v>
      </c>
      <c r="F97" s="178">
        <v>0.2</v>
      </c>
      <c r="G97" s="178">
        <v>0.2</v>
      </c>
      <c r="H97" s="178">
        <v>0.2</v>
      </c>
      <c r="I97" s="178">
        <v>0.2</v>
      </c>
      <c r="J97" s="178">
        <v>0.2</v>
      </c>
      <c r="K97" s="178">
        <v>0.2</v>
      </c>
      <c r="L97" s="178">
        <v>0.2</v>
      </c>
    </row>
    <row r="98" spans="1:12" ht="15" thickBot="1">
      <c r="B98" s="382"/>
      <c r="C98" s="176" t="s">
        <v>2867</v>
      </c>
      <c r="D98" s="176" t="s">
        <v>2855</v>
      </c>
      <c r="E98" s="179">
        <v>0.23</v>
      </c>
      <c r="F98" s="179">
        <v>0.23</v>
      </c>
      <c r="G98" s="179">
        <v>0.23</v>
      </c>
      <c r="H98" s="179">
        <v>0.23</v>
      </c>
      <c r="I98" s="179">
        <v>0.23</v>
      </c>
      <c r="J98" s="179">
        <v>0.23</v>
      </c>
      <c r="K98" s="179">
        <v>0.23</v>
      </c>
      <c r="L98" s="179">
        <v>0.23</v>
      </c>
    </row>
    <row r="99" spans="1:12" ht="15" thickBot="1">
      <c r="B99" s="383"/>
      <c r="C99" s="174" t="s">
        <v>2868</v>
      </c>
      <c r="D99" s="174" t="s">
        <v>2855</v>
      </c>
      <c r="E99" s="178">
        <v>0.1</v>
      </c>
      <c r="F99" s="178">
        <v>0.1</v>
      </c>
      <c r="G99" s="178">
        <v>0.1</v>
      </c>
      <c r="H99" s="178">
        <v>0.1</v>
      </c>
      <c r="I99" s="178">
        <v>0.1</v>
      </c>
      <c r="J99" s="178">
        <v>0.1</v>
      </c>
      <c r="K99" s="178">
        <v>0.1</v>
      </c>
      <c r="L99" s="178">
        <v>0.1</v>
      </c>
    </row>
    <row r="100" spans="1:12" ht="15" thickBot="1">
      <c r="B100" s="180" t="s">
        <v>2869</v>
      </c>
      <c r="C100" s="176" t="s">
        <v>2886</v>
      </c>
      <c r="D100" s="176" t="s">
        <v>2854</v>
      </c>
      <c r="E100" s="181">
        <v>25</v>
      </c>
      <c r="F100" s="181">
        <v>25</v>
      </c>
      <c r="G100" s="181">
        <v>25</v>
      </c>
      <c r="H100" s="181">
        <v>25</v>
      </c>
      <c r="I100" s="181">
        <v>25</v>
      </c>
      <c r="J100" s="181">
        <v>25</v>
      </c>
      <c r="K100" s="181">
        <v>25</v>
      </c>
      <c r="L100" s="181">
        <v>25</v>
      </c>
    </row>
    <row r="102" spans="1:12" ht="15" thickBot="1">
      <c r="B102" s="156" t="s">
        <v>2887</v>
      </c>
    </row>
    <row r="103" spans="1:12" ht="15" thickBot="1">
      <c r="B103" s="371"/>
      <c r="C103" s="372"/>
      <c r="D103" s="172" t="s">
        <v>0</v>
      </c>
      <c r="E103" s="173">
        <v>2015</v>
      </c>
      <c r="F103" s="173">
        <v>2020</v>
      </c>
      <c r="G103" s="173">
        <v>2030</v>
      </c>
      <c r="H103" s="173">
        <v>2040</v>
      </c>
      <c r="I103" s="173">
        <v>2050</v>
      </c>
    </row>
    <row r="104" spans="1:12" ht="15.5" thickTop="1" thickBot="1">
      <c r="B104" s="364" t="s">
        <v>2873</v>
      </c>
      <c r="C104" s="182" t="s">
        <v>2860</v>
      </c>
      <c r="D104" s="182" t="s">
        <v>2874</v>
      </c>
      <c r="E104" s="183">
        <v>1120</v>
      </c>
      <c r="F104" s="184">
        <v>910</v>
      </c>
      <c r="G104" s="184">
        <v>790</v>
      </c>
      <c r="H104" s="184">
        <v>640</v>
      </c>
      <c r="I104" s="184">
        <v>550</v>
      </c>
    </row>
    <row r="105" spans="1:12" ht="15.5" thickTop="1" thickBot="1">
      <c r="A105" t="s">
        <v>2771</v>
      </c>
      <c r="B105" s="365"/>
      <c r="C105" s="185" t="s">
        <v>2861</v>
      </c>
      <c r="D105" s="185" t="s">
        <v>2874</v>
      </c>
      <c r="E105" s="183">
        <v>1120</v>
      </c>
      <c r="F105" s="186">
        <v>860</v>
      </c>
      <c r="G105" s="186">
        <v>650</v>
      </c>
      <c r="H105" s="186">
        <v>500</v>
      </c>
      <c r="I105" s="186">
        <v>410</v>
      </c>
    </row>
    <row r="106" spans="1:12" ht="15.5" thickTop="1" thickBot="1">
      <c r="B106" s="365"/>
      <c r="C106" s="182" t="s">
        <v>2862</v>
      </c>
      <c r="D106" s="182" t="s">
        <v>2874</v>
      </c>
      <c r="E106" s="183">
        <v>1120</v>
      </c>
      <c r="F106" s="184">
        <v>760</v>
      </c>
      <c r="G106" s="184">
        <v>490</v>
      </c>
      <c r="H106" s="184">
        <v>400</v>
      </c>
      <c r="I106" s="184">
        <v>350</v>
      </c>
    </row>
    <row r="107" spans="1:12" ht="15.5" thickTop="1" thickBot="1">
      <c r="B107" s="365"/>
      <c r="C107" s="185" t="s">
        <v>2875</v>
      </c>
      <c r="D107" s="185" t="s">
        <v>2874</v>
      </c>
      <c r="E107" s="183">
        <v>1120</v>
      </c>
      <c r="F107" s="186">
        <v>710</v>
      </c>
      <c r="G107" s="186">
        <v>430</v>
      </c>
      <c r="H107" s="186">
        <v>340</v>
      </c>
      <c r="I107" s="186">
        <v>280</v>
      </c>
    </row>
    <row r="108" spans="1:12" ht="15.5" thickTop="1" thickBot="1">
      <c r="B108" s="366"/>
      <c r="C108" s="182" t="s">
        <v>2876</v>
      </c>
      <c r="D108" s="182" t="s">
        <v>2874</v>
      </c>
      <c r="E108" s="183">
        <v>1120</v>
      </c>
      <c r="F108" s="184">
        <v>1010</v>
      </c>
      <c r="G108" s="184">
        <v>950</v>
      </c>
      <c r="H108" s="184">
        <v>860</v>
      </c>
      <c r="I108" s="184">
        <v>800</v>
      </c>
    </row>
    <row r="109" spans="1:12" ht="17" thickBot="1">
      <c r="B109" s="180" t="s">
        <v>2877</v>
      </c>
      <c r="C109" s="185" t="s">
        <v>2870</v>
      </c>
      <c r="D109" s="187" t="s">
        <v>2888</v>
      </c>
      <c r="E109" s="188">
        <v>2.3E-2</v>
      </c>
      <c r="F109" s="188">
        <v>2.3E-2</v>
      </c>
      <c r="G109" s="188">
        <v>2.3E-2</v>
      </c>
      <c r="H109" s="188">
        <v>2.3E-2</v>
      </c>
      <c r="I109" s="188">
        <v>2.3E-2</v>
      </c>
    </row>
    <row r="112" spans="1:12" ht="15" thickBot="1">
      <c r="B112" s="156" t="s">
        <v>2889</v>
      </c>
    </row>
    <row r="113" spans="1:9" ht="15" thickBot="1">
      <c r="B113" s="371"/>
      <c r="C113" s="372"/>
      <c r="D113" s="172" t="s">
        <v>0</v>
      </c>
      <c r="E113" s="173">
        <v>2015</v>
      </c>
      <c r="F113" s="173">
        <v>2020</v>
      </c>
      <c r="G113" s="173">
        <v>2030</v>
      </c>
      <c r="H113" s="173">
        <v>2040</v>
      </c>
      <c r="I113" s="173">
        <v>2050</v>
      </c>
    </row>
    <row r="114" spans="1:9" ht="15.5" thickTop="1" thickBot="1">
      <c r="B114" s="364" t="s">
        <v>2873</v>
      </c>
      <c r="C114" s="182" t="s">
        <v>2860</v>
      </c>
      <c r="D114" s="182" t="s">
        <v>2874</v>
      </c>
      <c r="E114" s="183">
        <v>1020</v>
      </c>
      <c r="F114" s="184">
        <v>830</v>
      </c>
      <c r="G114" s="184">
        <v>720</v>
      </c>
      <c r="H114" s="184">
        <v>580</v>
      </c>
      <c r="I114" s="184">
        <v>500</v>
      </c>
    </row>
    <row r="115" spans="1:9" ht="15.5" thickTop="1" thickBot="1">
      <c r="A115" t="s">
        <v>2890</v>
      </c>
      <c r="B115" s="365"/>
      <c r="C115" s="185" t="s">
        <v>2861</v>
      </c>
      <c r="D115" s="185" t="s">
        <v>2874</v>
      </c>
      <c r="E115" s="183">
        <v>1020</v>
      </c>
      <c r="F115" s="186">
        <v>790</v>
      </c>
      <c r="G115" s="186">
        <v>600</v>
      </c>
      <c r="H115" s="186">
        <v>450</v>
      </c>
      <c r="I115" s="186">
        <v>370</v>
      </c>
    </row>
    <row r="116" spans="1:9" ht="15.5" thickTop="1" thickBot="1">
      <c r="B116" s="365"/>
      <c r="C116" s="182" t="s">
        <v>2862</v>
      </c>
      <c r="D116" s="182" t="s">
        <v>2874</v>
      </c>
      <c r="E116" s="183">
        <v>1020</v>
      </c>
      <c r="F116" s="184">
        <v>690</v>
      </c>
      <c r="G116" s="184">
        <v>450</v>
      </c>
      <c r="H116" s="184">
        <v>370</v>
      </c>
      <c r="I116" s="184">
        <v>320</v>
      </c>
    </row>
    <row r="117" spans="1:9" ht="15.5" thickTop="1" thickBot="1">
      <c r="B117" s="365"/>
      <c r="C117" s="185" t="s">
        <v>2875</v>
      </c>
      <c r="D117" s="185" t="s">
        <v>2874</v>
      </c>
      <c r="E117" s="183">
        <v>1020</v>
      </c>
      <c r="F117" s="186">
        <v>650</v>
      </c>
      <c r="G117" s="186">
        <v>390</v>
      </c>
      <c r="H117" s="186">
        <v>310</v>
      </c>
      <c r="I117" s="186">
        <v>260</v>
      </c>
    </row>
    <row r="118" spans="1:9" ht="15.5" thickTop="1" thickBot="1">
      <c r="B118" s="366"/>
      <c r="C118" s="182" t="s">
        <v>2876</v>
      </c>
      <c r="D118" s="182" t="s">
        <v>2874</v>
      </c>
      <c r="E118" s="183">
        <v>1020</v>
      </c>
      <c r="F118" s="184">
        <v>920</v>
      </c>
      <c r="G118" s="184">
        <v>870</v>
      </c>
      <c r="H118" s="184">
        <v>780</v>
      </c>
      <c r="I118" s="184">
        <v>730</v>
      </c>
    </row>
    <row r="119" spans="1:9" ht="17" thickBot="1">
      <c r="B119" s="180" t="s">
        <v>2877</v>
      </c>
      <c r="C119" s="185" t="s">
        <v>2870</v>
      </c>
      <c r="D119" s="187" t="s">
        <v>2888</v>
      </c>
      <c r="E119" s="188">
        <v>1.7000000000000001E-2</v>
      </c>
      <c r="F119" s="188">
        <v>1.7000000000000001E-2</v>
      </c>
      <c r="G119" s="188">
        <v>1.7000000000000001E-2</v>
      </c>
      <c r="H119" s="188">
        <v>1.7000000000000001E-2</v>
      </c>
      <c r="I119" s="188">
        <v>1.7000000000000001E-2</v>
      </c>
    </row>
    <row r="122" spans="1:9" ht="15" thickBot="1">
      <c r="B122" s="156" t="s">
        <v>2891</v>
      </c>
    </row>
    <row r="123" spans="1:9" ht="15" thickBot="1">
      <c r="B123" s="362"/>
      <c r="C123" s="363"/>
      <c r="D123" s="172" t="s">
        <v>0</v>
      </c>
      <c r="E123" s="173">
        <v>2015</v>
      </c>
      <c r="F123" s="173">
        <v>2020</v>
      </c>
      <c r="G123" s="173">
        <v>2030</v>
      </c>
      <c r="H123" s="173">
        <v>2040</v>
      </c>
      <c r="I123" s="173">
        <v>2050</v>
      </c>
    </row>
    <row r="124" spans="1:9" ht="15.5" thickTop="1" thickBot="1">
      <c r="B124" s="364" t="s">
        <v>2873</v>
      </c>
      <c r="C124" s="174" t="s">
        <v>2860</v>
      </c>
      <c r="D124" s="174" t="s">
        <v>2874</v>
      </c>
      <c r="E124" s="189">
        <v>1140</v>
      </c>
      <c r="F124" s="190">
        <v>920</v>
      </c>
      <c r="G124" s="190">
        <v>810</v>
      </c>
      <c r="H124" s="190">
        <v>650</v>
      </c>
      <c r="I124" s="190">
        <v>560</v>
      </c>
    </row>
    <row r="125" spans="1:9" ht="15.5" thickTop="1" thickBot="1">
      <c r="A125" t="s">
        <v>2892</v>
      </c>
      <c r="B125" s="365"/>
      <c r="C125" s="176" t="s">
        <v>2861</v>
      </c>
      <c r="D125" s="176" t="s">
        <v>2874</v>
      </c>
      <c r="E125" s="189">
        <v>1140</v>
      </c>
      <c r="F125" s="181">
        <v>880</v>
      </c>
      <c r="G125" s="181">
        <v>670</v>
      </c>
      <c r="H125" s="181">
        <v>510</v>
      </c>
      <c r="I125" s="181">
        <v>410</v>
      </c>
    </row>
    <row r="126" spans="1:9" ht="15.5" thickTop="1" thickBot="1">
      <c r="B126" s="365"/>
      <c r="C126" s="174" t="s">
        <v>2862</v>
      </c>
      <c r="D126" s="174" t="s">
        <v>2874</v>
      </c>
      <c r="E126" s="189">
        <v>1140</v>
      </c>
      <c r="F126" s="190">
        <v>770</v>
      </c>
      <c r="G126" s="190">
        <v>500</v>
      </c>
      <c r="H126" s="190">
        <v>410</v>
      </c>
      <c r="I126" s="190">
        <v>350</v>
      </c>
    </row>
    <row r="127" spans="1:9" ht="15.5" thickTop="1" thickBot="1">
      <c r="B127" s="365"/>
      <c r="C127" s="176" t="s">
        <v>2875</v>
      </c>
      <c r="D127" s="176" t="s">
        <v>2874</v>
      </c>
      <c r="E127" s="189">
        <v>1140</v>
      </c>
      <c r="F127" s="181">
        <v>720</v>
      </c>
      <c r="G127" s="181">
        <v>430</v>
      </c>
      <c r="H127" s="181">
        <v>350</v>
      </c>
      <c r="I127" s="181">
        <v>290</v>
      </c>
    </row>
    <row r="128" spans="1:9" ht="15.5" thickTop="1" thickBot="1">
      <c r="B128" s="366"/>
      <c r="C128" s="174" t="s">
        <v>2876</v>
      </c>
      <c r="D128" s="174" t="s">
        <v>2874</v>
      </c>
      <c r="E128" s="189">
        <v>1140</v>
      </c>
      <c r="F128" s="190">
        <v>1030</v>
      </c>
      <c r="G128" s="190">
        <v>970</v>
      </c>
      <c r="H128" s="190">
        <v>880</v>
      </c>
      <c r="I128" s="190">
        <v>810</v>
      </c>
    </row>
    <row r="129" spans="2:12" ht="17" thickBot="1">
      <c r="B129" s="180" t="s">
        <v>2877</v>
      </c>
      <c r="C129" s="176" t="s">
        <v>2870</v>
      </c>
      <c r="D129" s="187" t="s">
        <v>2888</v>
      </c>
      <c r="E129" s="191">
        <v>2.5000000000000001E-2</v>
      </c>
      <c r="F129" s="191">
        <v>2.5000000000000001E-2</v>
      </c>
      <c r="G129" s="191">
        <v>2.5000000000000001E-2</v>
      </c>
      <c r="H129" s="191">
        <v>2.5000000000000001E-2</v>
      </c>
      <c r="I129" s="191">
        <v>2.5000000000000001E-2</v>
      </c>
    </row>
    <row r="132" spans="2:12" ht="15" thickBot="1">
      <c r="B132" s="156" t="s">
        <v>2893</v>
      </c>
    </row>
    <row r="133" spans="2:12" ht="15" thickBot="1">
      <c r="B133" s="362"/>
      <c r="C133" s="363"/>
      <c r="D133" s="172" t="s">
        <v>0</v>
      </c>
      <c r="E133" s="173">
        <v>2015</v>
      </c>
      <c r="F133" s="173">
        <v>2020</v>
      </c>
      <c r="G133" s="173">
        <v>2030</v>
      </c>
      <c r="H133" s="173">
        <v>2040</v>
      </c>
      <c r="I133" s="173">
        <v>2050</v>
      </c>
    </row>
    <row r="134" spans="2:12" ht="15.5" thickTop="1" thickBot="1">
      <c r="B134" s="364" t="s">
        <v>2873</v>
      </c>
      <c r="C134" s="174" t="s">
        <v>2860</v>
      </c>
      <c r="D134" s="174" t="s">
        <v>2874</v>
      </c>
      <c r="E134" s="189">
        <v>1360</v>
      </c>
      <c r="F134" s="190">
        <v>1100</v>
      </c>
      <c r="G134" s="190">
        <v>960</v>
      </c>
      <c r="H134" s="190">
        <v>780</v>
      </c>
      <c r="I134" s="190">
        <v>670</v>
      </c>
    </row>
    <row r="135" spans="2:12" ht="15.5" thickTop="1" thickBot="1">
      <c r="B135" s="365"/>
      <c r="C135" s="176" t="s">
        <v>2861</v>
      </c>
      <c r="D135" s="176" t="s">
        <v>2874</v>
      </c>
      <c r="E135" s="189">
        <v>1360</v>
      </c>
      <c r="F135" s="181">
        <v>1050</v>
      </c>
      <c r="G135" s="181">
        <v>800</v>
      </c>
      <c r="H135" s="181">
        <v>600</v>
      </c>
      <c r="I135" s="181">
        <v>490</v>
      </c>
    </row>
    <row r="136" spans="2:12" ht="15.5" thickTop="1" thickBot="1">
      <c r="B136" s="365"/>
      <c r="C136" s="174" t="s">
        <v>2862</v>
      </c>
      <c r="D136" s="174" t="s">
        <v>2874</v>
      </c>
      <c r="E136" s="189">
        <v>1360</v>
      </c>
      <c r="F136" s="190">
        <v>920</v>
      </c>
      <c r="G136" s="190">
        <v>600</v>
      </c>
      <c r="H136" s="190">
        <v>490</v>
      </c>
      <c r="I136" s="190">
        <v>420</v>
      </c>
    </row>
    <row r="137" spans="2:12" ht="15.5" thickTop="1" thickBot="1">
      <c r="B137" s="365"/>
      <c r="C137" s="176" t="s">
        <v>2875</v>
      </c>
      <c r="D137" s="176" t="s">
        <v>2874</v>
      </c>
      <c r="E137" s="189">
        <v>1360</v>
      </c>
      <c r="F137" s="181">
        <v>860</v>
      </c>
      <c r="G137" s="181">
        <v>520</v>
      </c>
      <c r="H137" s="181">
        <v>410</v>
      </c>
      <c r="I137" s="181">
        <v>350</v>
      </c>
    </row>
    <row r="138" spans="2:12" ht="15.5" thickTop="1" thickBot="1">
      <c r="B138" s="366"/>
      <c r="C138" s="174" t="s">
        <v>2876</v>
      </c>
      <c r="D138" s="174" t="s">
        <v>2874</v>
      </c>
      <c r="E138" s="189">
        <v>1360</v>
      </c>
      <c r="F138" s="190">
        <v>1230</v>
      </c>
      <c r="G138" s="190">
        <v>1150</v>
      </c>
      <c r="H138" s="190">
        <v>1050</v>
      </c>
      <c r="I138" s="190">
        <v>970</v>
      </c>
    </row>
    <row r="139" spans="2:12" ht="17" thickBot="1">
      <c r="B139" s="180" t="s">
        <v>2877</v>
      </c>
      <c r="C139" s="176" t="s">
        <v>2870</v>
      </c>
      <c r="D139" s="187" t="s">
        <v>2888</v>
      </c>
      <c r="E139" s="179">
        <v>0.02</v>
      </c>
      <c r="F139" s="179">
        <v>0.02</v>
      </c>
      <c r="G139" s="179">
        <v>0.02</v>
      </c>
      <c r="H139" s="179">
        <v>0.02</v>
      </c>
      <c r="I139" s="179">
        <v>0.02</v>
      </c>
    </row>
    <row r="141" spans="2:12" ht="21">
      <c r="B141" s="155" t="s">
        <v>2894</v>
      </c>
    </row>
    <row r="143" spans="2:12" ht="15" thickBot="1">
      <c r="B143" s="156" t="s">
        <v>2895</v>
      </c>
    </row>
    <row r="144" spans="2:12" ht="15" thickBot="1">
      <c r="B144" s="357"/>
      <c r="C144" s="358"/>
      <c r="D144" s="192" t="s">
        <v>0</v>
      </c>
      <c r="E144" s="193">
        <v>2015</v>
      </c>
      <c r="F144" s="193">
        <v>2020</v>
      </c>
      <c r="G144" s="193">
        <v>2025</v>
      </c>
      <c r="H144" s="193">
        <v>2030</v>
      </c>
      <c r="I144" s="193">
        <v>2035</v>
      </c>
      <c r="J144" s="193">
        <v>2040</v>
      </c>
      <c r="K144" s="193">
        <v>2045</v>
      </c>
      <c r="L144" s="193">
        <v>2050</v>
      </c>
    </row>
    <row r="145" spans="2:12" ht="15.5" thickTop="1" thickBot="1">
      <c r="B145" s="359" t="s">
        <v>2859</v>
      </c>
      <c r="C145" s="194" t="s">
        <v>2860</v>
      </c>
      <c r="D145" s="194" t="s">
        <v>2</v>
      </c>
      <c r="E145" s="195">
        <v>4.6590000000000016</v>
      </c>
      <c r="F145" s="195">
        <v>8.2511793318236339</v>
      </c>
      <c r="G145" s="195">
        <v>15.01533583440682</v>
      </c>
      <c r="H145" s="195">
        <v>21.779492336990003</v>
      </c>
      <c r="I145" s="195">
        <v>44.246468927389202</v>
      </c>
      <c r="J145" s="195">
        <v>66.713445517788401</v>
      </c>
      <c r="K145" s="195">
        <v>100.23140798494771</v>
      </c>
      <c r="L145" s="195">
        <v>133.74937045210703</v>
      </c>
    </row>
    <row r="146" spans="2:12" ht="15" thickBot="1">
      <c r="B146" s="360"/>
      <c r="C146" s="176" t="s">
        <v>2861</v>
      </c>
      <c r="D146" s="176" t="s">
        <v>2</v>
      </c>
      <c r="E146" s="177">
        <v>4.6590000000000016</v>
      </c>
      <c r="F146" s="177">
        <v>55.545454545454547</v>
      </c>
      <c r="G146" s="177">
        <v>129.27272727272725</v>
      </c>
      <c r="H146" s="177">
        <v>203</v>
      </c>
      <c r="I146" s="177">
        <v>384</v>
      </c>
      <c r="J146" s="177">
        <v>565</v>
      </c>
      <c r="K146" s="177">
        <v>752</v>
      </c>
      <c r="L146" s="177">
        <v>939</v>
      </c>
    </row>
    <row r="147" spans="2:12" ht="15" thickBot="1">
      <c r="B147" s="361"/>
      <c r="C147" s="194" t="s">
        <v>2862</v>
      </c>
      <c r="D147" s="194" t="s">
        <v>2</v>
      </c>
      <c r="E147" s="195">
        <v>4.6590000000000016</v>
      </c>
      <c r="F147" s="195">
        <v>31.216702751416161</v>
      </c>
      <c r="G147" s="195">
        <v>217.97660053168826</v>
      </c>
      <c r="H147" s="195">
        <v>404.73649831196036</v>
      </c>
      <c r="I147" s="195">
        <v>694.4168847160156</v>
      </c>
      <c r="J147" s="195">
        <v>984.09727112007101</v>
      </c>
      <c r="K147" s="195">
        <v>1228.672877065078</v>
      </c>
      <c r="L147" s="195">
        <v>1473.2484830100848</v>
      </c>
    </row>
    <row r="148" spans="2:12" ht="15" thickBot="1">
      <c r="B148" s="367" t="s">
        <v>2863</v>
      </c>
      <c r="C148" s="176" t="s">
        <v>2860</v>
      </c>
      <c r="D148" s="176" t="s">
        <v>2864</v>
      </c>
      <c r="E148" s="177">
        <v>0.67972000000000032</v>
      </c>
      <c r="F148" s="177">
        <v>0.71843586636472645</v>
      </c>
      <c r="G148" s="177">
        <v>1.1238106202123266</v>
      </c>
      <c r="H148" s="177">
        <v>1.6656519808209473</v>
      </c>
      <c r="I148" s="177">
        <v>3.4019368615760341</v>
      </c>
      <c r="J148" s="177">
        <v>5.7531337745836453</v>
      </c>
      <c r="K148" s="177">
        <v>6.1470962955387876</v>
      </c>
      <c r="L148" s="177">
        <v>8.6582445576896649</v>
      </c>
    </row>
    <row r="149" spans="2:12" ht="15" thickBot="1">
      <c r="B149" s="360"/>
      <c r="C149" s="194" t="s">
        <v>2861</v>
      </c>
      <c r="D149" s="194" t="s">
        <v>2864</v>
      </c>
      <c r="E149" s="195">
        <v>0.67972000000000032</v>
      </c>
      <c r="F149" s="195">
        <v>10.17729090909091</v>
      </c>
      <c r="G149" s="195">
        <v>8.0909090909090899</v>
      </c>
      <c r="H149" s="195">
        <v>21.483799999999999</v>
      </c>
      <c r="I149" s="195">
        <v>34</v>
      </c>
      <c r="J149" s="195">
        <v>38.568280000000001</v>
      </c>
      <c r="K149" s="195">
        <v>36.879719999999999</v>
      </c>
      <c r="L149" s="195">
        <v>48.777290909090901</v>
      </c>
    </row>
    <row r="150" spans="2:12" ht="15" thickBot="1">
      <c r="B150" s="361"/>
      <c r="C150" s="176" t="s">
        <v>2862</v>
      </c>
      <c r="D150" s="176" t="s">
        <v>2864</v>
      </c>
      <c r="E150" s="177">
        <v>0.67972000000000032</v>
      </c>
      <c r="F150" s="177">
        <v>5.3115405502832314</v>
      </c>
      <c r="G150" s="177">
        <v>19.02349904072015</v>
      </c>
      <c r="H150" s="177">
        <v>55.764260071388684</v>
      </c>
      <c r="I150" s="177">
        <v>58.966129368200043</v>
      </c>
      <c r="J150" s="177">
        <v>57.074305193422084</v>
      </c>
      <c r="K150" s="177">
        <v>53.727864432876572</v>
      </c>
      <c r="L150" s="177">
        <v>50.093638495409415</v>
      </c>
    </row>
    <row r="151" spans="2:12" ht="15" thickBot="1">
      <c r="B151" s="368" t="s">
        <v>2865</v>
      </c>
      <c r="C151" s="194" t="s">
        <v>2866</v>
      </c>
      <c r="D151" s="194" t="s">
        <v>2855</v>
      </c>
      <c r="E151" s="196">
        <v>7.0000000000000007E-2</v>
      </c>
      <c r="F151" s="196">
        <v>7.0000000000000007E-2</v>
      </c>
      <c r="G151" s="196">
        <v>7.0000000000000007E-2</v>
      </c>
      <c r="H151" s="196">
        <v>7.0000000000000007E-2</v>
      </c>
      <c r="I151" s="196">
        <v>7.0000000000000007E-2</v>
      </c>
      <c r="J151" s="196">
        <v>7.0000000000000007E-2</v>
      </c>
      <c r="K151" s="196">
        <v>7.0000000000000007E-2</v>
      </c>
      <c r="L151" s="196">
        <v>7.0000000000000007E-2</v>
      </c>
    </row>
    <row r="152" spans="2:12" ht="15" thickBot="1">
      <c r="B152" s="369"/>
      <c r="C152" s="176" t="s">
        <v>2867</v>
      </c>
      <c r="D152" s="176" t="s">
        <v>2855</v>
      </c>
      <c r="E152" s="179">
        <v>0.1</v>
      </c>
      <c r="F152" s="179">
        <v>0.1</v>
      </c>
      <c r="G152" s="179">
        <v>0.1</v>
      </c>
      <c r="H152" s="179">
        <v>0.1</v>
      </c>
      <c r="I152" s="179">
        <v>0.1</v>
      </c>
      <c r="J152" s="179">
        <v>0.1</v>
      </c>
      <c r="K152" s="179">
        <v>0.1</v>
      </c>
      <c r="L152" s="179">
        <v>0.1</v>
      </c>
    </row>
    <row r="153" spans="2:12" ht="15" thickBot="1">
      <c r="B153" s="370"/>
      <c r="C153" s="194" t="s">
        <v>2868</v>
      </c>
      <c r="D153" s="194" t="s">
        <v>2855</v>
      </c>
      <c r="E153" s="196">
        <v>0.04</v>
      </c>
      <c r="F153" s="196">
        <v>0.04</v>
      </c>
      <c r="G153" s="196">
        <v>0.04</v>
      </c>
      <c r="H153" s="196">
        <v>0.04</v>
      </c>
      <c r="I153" s="196">
        <v>0.04</v>
      </c>
      <c r="J153" s="196">
        <v>0.04</v>
      </c>
      <c r="K153" s="196">
        <v>0.04</v>
      </c>
      <c r="L153" s="196">
        <v>0.04</v>
      </c>
    </row>
    <row r="154" spans="2:12" ht="15" thickBot="1">
      <c r="B154" s="197" t="s">
        <v>2869</v>
      </c>
      <c r="C154" s="176" t="s">
        <v>2870</v>
      </c>
      <c r="D154" s="176" t="s">
        <v>2854</v>
      </c>
      <c r="E154" s="181">
        <v>30</v>
      </c>
      <c r="F154" s="181">
        <v>30</v>
      </c>
      <c r="G154" s="181">
        <v>30</v>
      </c>
      <c r="H154" s="181">
        <v>30</v>
      </c>
      <c r="I154" s="181">
        <v>30</v>
      </c>
      <c r="J154" s="181">
        <v>30</v>
      </c>
      <c r="K154" s="181">
        <v>30</v>
      </c>
      <c r="L154" s="181">
        <v>30</v>
      </c>
    </row>
    <row r="156" spans="2:12" ht="15" thickBot="1">
      <c r="B156" s="156" t="s">
        <v>2896</v>
      </c>
    </row>
    <row r="157" spans="2:12" ht="15" thickBot="1">
      <c r="B157" s="357"/>
      <c r="C157" s="358"/>
      <c r="D157" s="192" t="s">
        <v>0</v>
      </c>
      <c r="E157" s="193">
        <v>2015</v>
      </c>
      <c r="F157" s="193">
        <v>2020</v>
      </c>
      <c r="G157" s="193">
        <v>2030</v>
      </c>
      <c r="H157" s="193">
        <v>2040</v>
      </c>
      <c r="I157" s="193">
        <v>2050</v>
      </c>
    </row>
    <row r="158" spans="2:12" ht="15.5" thickTop="1" thickBot="1">
      <c r="B158" s="359" t="s">
        <v>2873</v>
      </c>
      <c r="C158" s="194" t="s">
        <v>2860</v>
      </c>
      <c r="D158" s="194" t="s">
        <v>2874</v>
      </c>
      <c r="E158" s="198">
        <v>6000</v>
      </c>
      <c r="F158" s="199">
        <v>5650</v>
      </c>
      <c r="G158" s="199">
        <v>5100</v>
      </c>
      <c r="H158" s="199">
        <v>4530</v>
      </c>
      <c r="I158" s="199">
        <v>4200</v>
      </c>
    </row>
    <row r="159" spans="2:12" ht="15.5" thickTop="1" thickBot="1">
      <c r="B159" s="360"/>
      <c r="C159" s="176" t="s">
        <v>2861</v>
      </c>
      <c r="D159" s="176" t="s">
        <v>2874</v>
      </c>
      <c r="E159" s="198">
        <v>6000</v>
      </c>
      <c r="F159" s="181">
        <v>4630</v>
      </c>
      <c r="G159" s="181">
        <v>4040</v>
      </c>
      <c r="H159" s="181">
        <v>3630</v>
      </c>
      <c r="I159" s="181">
        <v>3420</v>
      </c>
    </row>
    <row r="160" spans="2:12" ht="15.5" thickTop="1" thickBot="1">
      <c r="B160" s="360"/>
      <c r="C160" s="194" t="s">
        <v>2862</v>
      </c>
      <c r="D160" s="194" t="s">
        <v>2874</v>
      </c>
      <c r="E160" s="198">
        <v>6000</v>
      </c>
      <c r="F160" s="199">
        <v>4920</v>
      </c>
      <c r="G160" s="199">
        <v>3760</v>
      </c>
      <c r="H160" s="199">
        <v>3430</v>
      </c>
      <c r="I160" s="199">
        <v>3280</v>
      </c>
    </row>
    <row r="161" spans="2:9" ht="15.5" thickTop="1" thickBot="1">
      <c r="B161" s="360"/>
      <c r="C161" s="176" t="s">
        <v>2875</v>
      </c>
      <c r="D161" s="176" t="s">
        <v>2874</v>
      </c>
      <c r="E161" s="198">
        <v>6000</v>
      </c>
      <c r="F161" s="181">
        <v>4120</v>
      </c>
      <c r="G161" s="181">
        <v>3040</v>
      </c>
      <c r="H161" s="181">
        <v>2660</v>
      </c>
      <c r="I161" s="181">
        <v>2490</v>
      </c>
    </row>
    <row r="162" spans="2:9" ht="15.5" thickTop="1" thickBot="1">
      <c r="B162" s="361"/>
      <c r="C162" s="194" t="s">
        <v>2876</v>
      </c>
      <c r="D162" s="194" t="s">
        <v>2874</v>
      </c>
      <c r="E162" s="198">
        <v>6000</v>
      </c>
      <c r="F162" s="199">
        <v>5800</v>
      </c>
      <c r="G162" s="199">
        <v>5470</v>
      </c>
      <c r="H162" s="199">
        <v>5120</v>
      </c>
      <c r="I162" s="199">
        <v>4910</v>
      </c>
    </row>
    <row r="163" spans="2:9" ht="17" thickBot="1">
      <c r="B163" s="197" t="s">
        <v>2877</v>
      </c>
      <c r="C163" s="176" t="s">
        <v>2870</v>
      </c>
      <c r="D163" s="187" t="s">
        <v>2888</v>
      </c>
      <c r="E163" s="191">
        <v>1.7000000000000001E-2</v>
      </c>
      <c r="F163" s="191">
        <v>1.7000000000000001E-2</v>
      </c>
      <c r="G163" s="191">
        <v>1.7000000000000001E-2</v>
      </c>
      <c r="H163" s="191">
        <v>1.7000000000000001E-2</v>
      </c>
      <c r="I163" s="191">
        <v>1.7000000000000001E-2</v>
      </c>
    </row>
    <row r="166" spans="2:9" ht="15" thickBot="1">
      <c r="B166" s="156" t="s">
        <v>2897</v>
      </c>
    </row>
    <row r="167" spans="2:9" ht="15" thickBot="1">
      <c r="B167" s="357"/>
      <c r="C167" s="358"/>
      <c r="D167" s="192" t="s">
        <v>0</v>
      </c>
      <c r="E167" s="193">
        <v>2015</v>
      </c>
      <c r="F167" s="193">
        <v>2020</v>
      </c>
      <c r="G167" s="193">
        <v>2030</v>
      </c>
      <c r="H167" s="193">
        <v>2040</v>
      </c>
      <c r="I167" s="193">
        <v>2050</v>
      </c>
    </row>
    <row r="168" spans="2:9" ht="15.5" thickTop="1" thickBot="1">
      <c r="B168" s="359" t="s">
        <v>2873</v>
      </c>
      <c r="C168" s="194" t="s">
        <v>2860</v>
      </c>
      <c r="D168" s="194" t="s">
        <v>2874</v>
      </c>
      <c r="E168" s="198">
        <v>5280</v>
      </c>
      <c r="F168" s="199">
        <v>4970</v>
      </c>
      <c r="G168" s="199">
        <v>4480</v>
      </c>
      <c r="H168" s="199">
        <v>3990</v>
      </c>
      <c r="I168" s="199">
        <v>3690</v>
      </c>
    </row>
    <row r="169" spans="2:9" ht="15.5" thickTop="1" thickBot="1">
      <c r="B169" s="360"/>
      <c r="C169" s="176" t="s">
        <v>2861</v>
      </c>
      <c r="D169" s="176" t="s">
        <v>2874</v>
      </c>
      <c r="E169" s="198">
        <v>5280</v>
      </c>
      <c r="F169" s="181">
        <v>4070</v>
      </c>
      <c r="G169" s="181">
        <v>3560</v>
      </c>
      <c r="H169" s="181">
        <v>3190</v>
      </c>
      <c r="I169" s="181">
        <v>3010</v>
      </c>
    </row>
    <row r="170" spans="2:9" ht="15.5" thickTop="1" thickBot="1">
      <c r="B170" s="360"/>
      <c r="C170" s="194" t="s">
        <v>2862</v>
      </c>
      <c r="D170" s="194" t="s">
        <v>2874</v>
      </c>
      <c r="E170" s="198">
        <v>5280</v>
      </c>
      <c r="F170" s="199">
        <v>4330</v>
      </c>
      <c r="G170" s="199">
        <v>3310</v>
      </c>
      <c r="H170" s="199">
        <v>3010</v>
      </c>
      <c r="I170" s="199">
        <v>2880</v>
      </c>
    </row>
    <row r="171" spans="2:9" ht="15.5" thickTop="1" thickBot="1">
      <c r="B171" s="360"/>
      <c r="C171" s="176" t="s">
        <v>2875</v>
      </c>
      <c r="D171" s="176" t="s">
        <v>2874</v>
      </c>
      <c r="E171" s="198">
        <v>5280</v>
      </c>
      <c r="F171" s="181">
        <v>3620</v>
      </c>
      <c r="G171" s="181">
        <v>2680</v>
      </c>
      <c r="H171" s="181">
        <v>2340</v>
      </c>
      <c r="I171" s="181">
        <v>2190</v>
      </c>
    </row>
    <row r="172" spans="2:9" ht="15.5" thickTop="1" thickBot="1">
      <c r="B172" s="361"/>
      <c r="C172" s="194" t="s">
        <v>2876</v>
      </c>
      <c r="D172" s="194" t="s">
        <v>2874</v>
      </c>
      <c r="E172" s="198">
        <v>5280</v>
      </c>
      <c r="F172" s="199">
        <v>5110</v>
      </c>
      <c r="G172" s="199">
        <v>4820</v>
      </c>
      <c r="H172" s="199">
        <v>4510</v>
      </c>
      <c r="I172" s="199">
        <v>4320</v>
      </c>
    </row>
    <row r="173" spans="2:9" ht="17" thickBot="1">
      <c r="B173" s="197" t="s">
        <v>2877</v>
      </c>
      <c r="C173" s="176" t="s">
        <v>2870</v>
      </c>
      <c r="D173" s="187" t="s">
        <v>2888</v>
      </c>
      <c r="E173" s="191">
        <v>1.7000000000000001E-2</v>
      </c>
      <c r="F173" s="191">
        <v>1.7000000000000001E-2</v>
      </c>
      <c r="G173" s="191">
        <v>1.7000000000000001E-2</v>
      </c>
      <c r="H173" s="191">
        <v>1.7000000000000001E-2</v>
      </c>
      <c r="I173" s="191">
        <v>1.7000000000000001E-2</v>
      </c>
    </row>
    <row r="175" spans="2:9" ht="21">
      <c r="B175" s="155" t="s">
        <v>2898</v>
      </c>
    </row>
    <row r="177" spans="2:12" ht="15" thickBot="1">
      <c r="B177" s="156" t="s">
        <v>2899</v>
      </c>
    </row>
    <row r="178" spans="2:12" ht="15" thickBot="1">
      <c r="B178" s="344"/>
      <c r="C178" s="345"/>
      <c r="D178" s="200" t="s">
        <v>0</v>
      </c>
      <c r="E178" s="201">
        <v>2015</v>
      </c>
      <c r="F178" s="201">
        <v>2020</v>
      </c>
      <c r="G178" s="201">
        <v>2025</v>
      </c>
      <c r="H178" s="201">
        <v>2030</v>
      </c>
      <c r="I178" s="201">
        <v>2035</v>
      </c>
      <c r="J178" s="201">
        <v>2040</v>
      </c>
      <c r="K178" s="201">
        <v>2045</v>
      </c>
      <c r="L178" s="201">
        <v>2050</v>
      </c>
    </row>
    <row r="179" spans="2:12" ht="15.5" thickTop="1" thickBot="1">
      <c r="B179" s="346" t="s">
        <v>2859</v>
      </c>
      <c r="C179" s="202" t="s">
        <v>2860</v>
      </c>
      <c r="D179" s="202" t="s">
        <v>2</v>
      </c>
      <c r="E179" s="203">
        <v>11.847999999999999</v>
      </c>
      <c r="F179" s="203">
        <v>18.157344509707865</v>
      </c>
      <c r="G179" s="203">
        <v>23.307843677987066</v>
      </c>
      <c r="H179" s="203">
        <v>28.458342846266262</v>
      </c>
      <c r="I179" s="203">
        <v>36.224364686690222</v>
      </c>
      <c r="J179" s="203">
        <v>43.990386527114183</v>
      </c>
      <c r="K179" s="203">
        <v>54.674039193009826</v>
      </c>
      <c r="L179" s="203">
        <v>65.357691858905469</v>
      </c>
    </row>
    <row r="180" spans="2:12" ht="15" thickBot="1">
      <c r="B180" s="347"/>
      <c r="C180" s="204" t="s">
        <v>2861</v>
      </c>
      <c r="D180" s="204" t="s">
        <v>2</v>
      </c>
      <c r="E180" s="205">
        <v>11.847999999999999</v>
      </c>
      <c r="F180" s="205">
        <v>24.545454545454547</v>
      </c>
      <c r="G180" s="205">
        <v>37.272727272727273</v>
      </c>
      <c r="H180" s="205">
        <v>50</v>
      </c>
      <c r="I180" s="205">
        <v>70.5</v>
      </c>
      <c r="J180" s="205">
        <v>91</v>
      </c>
      <c r="K180" s="205">
        <v>118</v>
      </c>
      <c r="L180" s="205">
        <v>145</v>
      </c>
    </row>
    <row r="181" spans="2:12" ht="15" thickBot="1">
      <c r="B181" s="348"/>
      <c r="C181" s="202" t="s">
        <v>2862</v>
      </c>
      <c r="D181" s="202" t="s">
        <v>2</v>
      </c>
      <c r="E181" s="203">
        <v>11.847999999999999</v>
      </c>
      <c r="F181" s="203">
        <v>28.295605160518459</v>
      </c>
      <c r="G181" s="203">
        <v>82.41630909322663</v>
      </c>
      <c r="H181" s="203">
        <v>136.53701302593481</v>
      </c>
      <c r="I181" s="203">
        <v>230.87910435453176</v>
      </c>
      <c r="J181" s="203">
        <v>325.22119568312871</v>
      </c>
      <c r="K181" s="203">
        <v>405.29540268446851</v>
      </c>
      <c r="L181" s="203">
        <v>485.36960968580826</v>
      </c>
    </row>
    <row r="182" spans="2:12" ht="15" thickBot="1">
      <c r="B182" s="353" t="s">
        <v>2863</v>
      </c>
      <c r="C182" s="204" t="s">
        <v>2860</v>
      </c>
      <c r="D182" s="204" t="s">
        <v>2864</v>
      </c>
      <c r="E182" s="206">
        <v>0.34464000000000039</v>
      </c>
      <c r="F182" s="205">
        <v>1.2618689019415732</v>
      </c>
      <c r="G182" s="205">
        <v>1.0212032590198894</v>
      </c>
      <c r="H182" s="205">
        <v>2.7047364082917902</v>
      </c>
      <c r="I182" s="205">
        <v>1.4924328379686684</v>
      </c>
      <c r="J182" s="205">
        <v>1.9731958982009146</v>
      </c>
      <c r="K182" s="205">
        <v>2.3210810745807153</v>
      </c>
      <c r="L182" s="205">
        <v>3.5588888937191157</v>
      </c>
    </row>
    <row r="183" spans="2:12" ht="15" thickBot="1">
      <c r="B183" s="347"/>
      <c r="C183" s="202" t="s">
        <v>2861</v>
      </c>
      <c r="D183" s="202" t="s">
        <v>2864</v>
      </c>
      <c r="E183" s="207">
        <v>0.34464000000000039</v>
      </c>
      <c r="F183" s="203">
        <v>2.5394909090909095</v>
      </c>
      <c r="G183" s="203">
        <v>2.0909090909090908</v>
      </c>
      <c r="H183" s="203">
        <v>4.6657400000000004</v>
      </c>
      <c r="I183" s="203">
        <v>4.0721999999999996</v>
      </c>
      <c r="J183" s="203">
        <v>4.4870200000000011</v>
      </c>
      <c r="K183" s="203">
        <v>6.3446399999999983</v>
      </c>
      <c r="L183" s="203">
        <v>7.3394909090909097</v>
      </c>
    </row>
    <row r="184" spans="2:12" ht="15" thickBot="1">
      <c r="B184" s="348"/>
      <c r="C184" s="204" t="s">
        <v>2862</v>
      </c>
      <c r="D184" s="204" t="s">
        <v>2864</v>
      </c>
      <c r="E184" s="206">
        <v>0.34464000000000039</v>
      </c>
      <c r="F184" s="205">
        <v>3.2895210321036918</v>
      </c>
      <c r="G184" s="205">
        <v>8.1911427952061988</v>
      </c>
      <c r="H184" s="205">
        <v>15.122878777877071</v>
      </c>
      <c r="I184" s="205">
        <v>19.101003309077122</v>
      </c>
      <c r="J184" s="205">
        <v>18.995053222361655</v>
      </c>
      <c r="K184" s="205">
        <v>18.467581546003725</v>
      </c>
      <c r="L184" s="205">
        <v>17.196262286635886</v>
      </c>
    </row>
    <row r="185" spans="2:12" ht="15" thickBot="1">
      <c r="B185" s="354" t="s">
        <v>2865</v>
      </c>
      <c r="C185" s="202" t="s">
        <v>2866</v>
      </c>
      <c r="D185" s="202" t="s">
        <v>2855</v>
      </c>
      <c r="E185" s="208">
        <v>0.05</v>
      </c>
      <c r="F185" s="208">
        <v>0.05</v>
      </c>
      <c r="G185" s="208">
        <v>0.05</v>
      </c>
      <c r="H185" s="208">
        <v>0.05</v>
      </c>
      <c r="I185" s="208">
        <v>0.05</v>
      </c>
      <c r="J185" s="208">
        <v>0.05</v>
      </c>
      <c r="K185" s="208">
        <v>0.05</v>
      </c>
      <c r="L185" s="208">
        <v>0.05</v>
      </c>
    </row>
    <row r="186" spans="2:12" ht="15" thickBot="1">
      <c r="B186" s="355"/>
      <c r="C186" s="204" t="s">
        <v>2867</v>
      </c>
      <c r="D186" s="204" t="s">
        <v>2855</v>
      </c>
      <c r="E186" s="209">
        <v>0.1</v>
      </c>
      <c r="F186" s="209">
        <v>0.1</v>
      </c>
      <c r="G186" s="209">
        <v>0.1</v>
      </c>
      <c r="H186" s="209">
        <v>0.1</v>
      </c>
      <c r="I186" s="209">
        <v>0.1</v>
      </c>
      <c r="J186" s="209">
        <v>0.1</v>
      </c>
      <c r="K186" s="209">
        <v>0.1</v>
      </c>
      <c r="L186" s="209">
        <v>0.1</v>
      </c>
    </row>
    <row r="187" spans="2:12" ht="15" thickBot="1">
      <c r="B187" s="356"/>
      <c r="C187" s="202" t="s">
        <v>2868</v>
      </c>
      <c r="D187" s="202" t="s">
        <v>2855</v>
      </c>
      <c r="E187" s="208">
        <v>0.02</v>
      </c>
      <c r="F187" s="208">
        <v>0.02</v>
      </c>
      <c r="G187" s="208">
        <v>0.02</v>
      </c>
      <c r="H187" s="208">
        <v>0.02</v>
      </c>
      <c r="I187" s="208">
        <v>0.02</v>
      </c>
      <c r="J187" s="208">
        <v>0.02</v>
      </c>
      <c r="K187" s="208">
        <v>0.02</v>
      </c>
      <c r="L187" s="208">
        <v>0.02</v>
      </c>
    </row>
    <row r="188" spans="2:12" ht="15" thickBot="1">
      <c r="B188" s="210" t="s">
        <v>2869</v>
      </c>
      <c r="C188" s="204" t="s">
        <v>2870</v>
      </c>
      <c r="D188" s="204" t="s">
        <v>2854</v>
      </c>
      <c r="E188" s="211">
        <v>30</v>
      </c>
      <c r="F188" s="211">
        <v>30</v>
      </c>
      <c r="G188" s="211">
        <v>30</v>
      </c>
      <c r="H188" s="211">
        <v>30</v>
      </c>
      <c r="I188" s="211">
        <v>30</v>
      </c>
      <c r="J188" s="211">
        <v>30</v>
      </c>
      <c r="K188" s="211">
        <v>30</v>
      </c>
      <c r="L188" s="211">
        <v>30</v>
      </c>
    </row>
    <row r="190" spans="2:12" ht="15" thickBot="1">
      <c r="B190" s="156" t="s">
        <v>2900</v>
      </c>
    </row>
    <row r="191" spans="2:12" ht="15" thickBot="1">
      <c r="B191" s="344"/>
      <c r="C191" s="345"/>
      <c r="D191" s="200" t="s">
        <v>0</v>
      </c>
      <c r="E191" s="201">
        <v>2015</v>
      </c>
      <c r="F191" s="201">
        <v>2020</v>
      </c>
      <c r="G191" s="201">
        <v>2030</v>
      </c>
      <c r="H191" s="201">
        <v>2040</v>
      </c>
      <c r="I191" s="201">
        <v>2050</v>
      </c>
    </row>
    <row r="192" spans="2:12" ht="15.5" thickTop="1" thickBot="1">
      <c r="B192" s="346" t="s">
        <v>2873</v>
      </c>
      <c r="C192" s="202" t="s">
        <v>2860</v>
      </c>
      <c r="D192" s="202" t="s">
        <v>2874</v>
      </c>
      <c r="E192" s="212">
        <v>3540</v>
      </c>
      <c r="F192" s="213">
        <v>3430</v>
      </c>
      <c r="G192" s="213">
        <v>3260</v>
      </c>
      <c r="H192" s="213">
        <v>3160</v>
      </c>
      <c r="I192" s="213">
        <v>3060</v>
      </c>
    </row>
    <row r="193" spans="1:9" ht="15.5" thickTop="1" thickBot="1">
      <c r="A193" t="s">
        <v>2777</v>
      </c>
      <c r="B193" s="347"/>
      <c r="C193" s="204" t="s">
        <v>2861</v>
      </c>
      <c r="D193" s="204" t="s">
        <v>2874</v>
      </c>
      <c r="E193" s="212">
        <v>3540</v>
      </c>
      <c r="F193" s="211">
        <v>3350</v>
      </c>
      <c r="G193" s="211">
        <v>3150</v>
      </c>
      <c r="H193" s="211">
        <v>3020</v>
      </c>
      <c r="I193" s="211">
        <v>2910</v>
      </c>
    </row>
    <row r="194" spans="1:9" ht="15.5" thickTop="1" thickBot="1">
      <c r="B194" s="347"/>
      <c r="C194" s="202" t="s">
        <v>2862</v>
      </c>
      <c r="D194" s="202" t="s">
        <v>2874</v>
      </c>
      <c r="E194" s="212">
        <v>3540</v>
      </c>
      <c r="F194" s="213">
        <v>3320</v>
      </c>
      <c r="G194" s="213">
        <v>2940</v>
      </c>
      <c r="H194" s="213">
        <v>2760</v>
      </c>
      <c r="I194" s="213">
        <v>2680</v>
      </c>
    </row>
    <row r="195" spans="1:9" ht="15.5" thickTop="1" thickBot="1">
      <c r="B195" s="347"/>
      <c r="C195" s="204" t="s">
        <v>2875</v>
      </c>
      <c r="D195" s="204" t="s">
        <v>2874</v>
      </c>
      <c r="E195" s="212">
        <v>3540</v>
      </c>
      <c r="F195" s="211">
        <v>3100</v>
      </c>
      <c r="G195" s="211">
        <v>2420</v>
      </c>
      <c r="H195" s="211">
        <v>2130</v>
      </c>
      <c r="I195" s="211">
        <v>2000</v>
      </c>
    </row>
    <row r="196" spans="1:9" ht="15.5" thickTop="1" thickBot="1">
      <c r="B196" s="348"/>
      <c r="C196" s="202" t="s">
        <v>2876</v>
      </c>
      <c r="D196" s="202" t="s">
        <v>2874</v>
      </c>
      <c r="E196" s="212">
        <v>3540</v>
      </c>
      <c r="F196" s="213">
        <v>3500</v>
      </c>
      <c r="G196" s="213">
        <v>3430</v>
      </c>
      <c r="H196" s="213">
        <v>3390</v>
      </c>
      <c r="I196" s="213">
        <v>3340</v>
      </c>
    </row>
    <row r="197" spans="1:9" ht="16" thickBot="1">
      <c r="B197" s="210" t="s">
        <v>2877</v>
      </c>
      <c r="C197" s="204" t="s">
        <v>2870</v>
      </c>
      <c r="D197" s="204" t="s">
        <v>2878</v>
      </c>
      <c r="E197" s="209">
        <v>0.02</v>
      </c>
      <c r="F197" s="209">
        <v>0.02</v>
      </c>
      <c r="G197" s="209">
        <v>0.02</v>
      </c>
      <c r="H197" s="209">
        <v>0.02</v>
      </c>
      <c r="I197" s="209">
        <v>0.02</v>
      </c>
    </row>
    <row r="200" spans="1:9" ht="15" thickBot="1">
      <c r="B200" s="156" t="s">
        <v>2901</v>
      </c>
    </row>
    <row r="201" spans="1:9" ht="15" thickBot="1">
      <c r="B201" s="344"/>
      <c r="C201" s="345"/>
      <c r="D201" s="200" t="s">
        <v>0</v>
      </c>
      <c r="E201" s="201">
        <v>2015</v>
      </c>
      <c r="F201" s="201">
        <v>2020</v>
      </c>
      <c r="G201" s="201">
        <v>2030</v>
      </c>
      <c r="H201" s="201">
        <v>2040</v>
      </c>
      <c r="I201" s="201">
        <v>2050</v>
      </c>
    </row>
    <row r="202" spans="1:9" ht="15.5" thickTop="1" thickBot="1">
      <c r="B202" s="346" t="s">
        <v>2873</v>
      </c>
      <c r="C202" s="202" t="s">
        <v>2860</v>
      </c>
      <c r="D202" s="202" t="s">
        <v>2874</v>
      </c>
      <c r="E202" s="212">
        <v>6970</v>
      </c>
      <c r="F202" s="213">
        <v>6750</v>
      </c>
      <c r="G202" s="213">
        <v>6410</v>
      </c>
      <c r="H202" s="213">
        <v>6230</v>
      </c>
      <c r="I202" s="213">
        <v>6030</v>
      </c>
    </row>
    <row r="203" spans="1:9" ht="15.5" thickTop="1" thickBot="1">
      <c r="A203" t="s">
        <v>2778</v>
      </c>
      <c r="B203" s="347"/>
      <c r="C203" s="204" t="s">
        <v>2861</v>
      </c>
      <c r="D203" s="204" t="s">
        <v>2874</v>
      </c>
      <c r="E203" s="212">
        <v>6970</v>
      </c>
      <c r="F203" s="211">
        <v>6600</v>
      </c>
      <c r="G203" s="211">
        <v>6190</v>
      </c>
      <c r="H203" s="211">
        <v>5950</v>
      </c>
      <c r="I203" s="211">
        <v>5720</v>
      </c>
    </row>
    <row r="204" spans="1:9" ht="15.5" thickTop="1" thickBot="1">
      <c r="B204" s="347"/>
      <c r="C204" s="202" t="s">
        <v>2862</v>
      </c>
      <c r="D204" s="202" t="s">
        <v>2874</v>
      </c>
      <c r="E204" s="212">
        <v>6970</v>
      </c>
      <c r="F204" s="213">
        <v>6540</v>
      </c>
      <c r="G204" s="213">
        <v>5790</v>
      </c>
      <c r="H204" s="213">
        <v>5440</v>
      </c>
      <c r="I204" s="213">
        <v>5270</v>
      </c>
    </row>
    <row r="205" spans="1:9" ht="15.5" thickTop="1" thickBot="1">
      <c r="B205" s="347"/>
      <c r="C205" s="204" t="s">
        <v>2875</v>
      </c>
      <c r="D205" s="204" t="s">
        <v>2874</v>
      </c>
      <c r="E205" s="212">
        <v>6970</v>
      </c>
      <c r="F205" s="211">
        <v>6110</v>
      </c>
      <c r="G205" s="211">
        <v>4760</v>
      </c>
      <c r="H205" s="211">
        <v>4190</v>
      </c>
      <c r="I205" s="211">
        <v>3930</v>
      </c>
    </row>
    <row r="206" spans="1:9" ht="15.5" thickTop="1" thickBot="1">
      <c r="B206" s="348"/>
      <c r="C206" s="202" t="s">
        <v>2876</v>
      </c>
      <c r="D206" s="202" t="s">
        <v>2874</v>
      </c>
      <c r="E206" s="212">
        <v>6970</v>
      </c>
      <c r="F206" s="213">
        <v>6880</v>
      </c>
      <c r="G206" s="213">
        <v>6740</v>
      </c>
      <c r="H206" s="213">
        <v>6670</v>
      </c>
      <c r="I206" s="213">
        <v>6580</v>
      </c>
    </row>
    <row r="207" spans="1:9" ht="16" thickBot="1">
      <c r="B207" s="210" t="s">
        <v>2877</v>
      </c>
      <c r="C207" s="204" t="s">
        <v>2870</v>
      </c>
      <c r="D207" s="204" t="s">
        <v>2878</v>
      </c>
      <c r="E207" s="209">
        <v>0.02</v>
      </c>
      <c r="F207" s="209">
        <v>0.02</v>
      </c>
      <c r="G207" s="209">
        <v>0.02</v>
      </c>
      <c r="H207" s="209">
        <v>0.02</v>
      </c>
      <c r="I207" s="209">
        <v>0.02</v>
      </c>
    </row>
    <row r="210" spans="2:12" ht="15" thickBot="1">
      <c r="B210" s="156" t="s">
        <v>2902</v>
      </c>
    </row>
    <row r="211" spans="2:12" ht="15" thickBot="1">
      <c r="B211" s="344"/>
      <c r="C211" s="345"/>
      <c r="D211" s="200" t="s">
        <v>0</v>
      </c>
      <c r="E211" s="201">
        <v>2015</v>
      </c>
      <c r="F211" s="201">
        <v>2020</v>
      </c>
      <c r="G211" s="201">
        <v>2030</v>
      </c>
      <c r="H211" s="201">
        <v>2040</v>
      </c>
      <c r="I211" s="201">
        <v>2050</v>
      </c>
    </row>
    <row r="212" spans="2:12" ht="15.5" thickTop="1" thickBot="1">
      <c r="B212" s="346" t="s">
        <v>2873</v>
      </c>
      <c r="C212" s="202" t="s">
        <v>2860</v>
      </c>
      <c r="D212" s="202" t="s">
        <v>2874</v>
      </c>
      <c r="E212" s="212">
        <v>11790</v>
      </c>
      <c r="F212" s="213">
        <v>11420</v>
      </c>
      <c r="G212" s="213">
        <v>10840</v>
      </c>
      <c r="H212" s="213">
        <v>10540</v>
      </c>
      <c r="I212" s="213">
        <v>10200</v>
      </c>
    </row>
    <row r="213" spans="2:12" ht="15.5" thickTop="1" thickBot="1">
      <c r="B213" s="347"/>
      <c r="C213" s="204" t="s">
        <v>2861</v>
      </c>
      <c r="D213" s="204" t="s">
        <v>2874</v>
      </c>
      <c r="E213" s="212">
        <v>11790</v>
      </c>
      <c r="F213" s="211">
        <v>11170</v>
      </c>
      <c r="G213" s="211">
        <v>10480</v>
      </c>
      <c r="H213" s="211">
        <v>10060</v>
      </c>
      <c r="I213" s="211">
        <v>9680</v>
      </c>
    </row>
    <row r="214" spans="2:12" ht="15.5" thickTop="1" thickBot="1">
      <c r="B214" s="347"/>
      <c r="C214" s="202" t="s">
        <v>2862</v>
      </c>
      <c r="D214" s="202" t="s">
        <v>2874</v>
      </c>
      <c r="E214" s="212">
        <v>11790</v>
      </c>
      <c r="F214" s="213">
        <v>11050</v>
      </c>
      <c r="G214" s="213">
        <v>9800</v>
      </c>
      <c r="H214" s="213">
        <v>9210</v>
      </c>
      <c r="I214" s="213">
        <v>8920</v>
      </c>
    </row>
    <row r="215" spans="2:12" ht="15.5" thickTop="1" thickBot="1">
      <c r="B215" s="347"/>
      <c r="C215" s="204" t="s">
        <v>2875</v>
      </c>
      <c r="D215" s="204" t="s">
        <v>2874</v>
      </c>
      <c r="E215" s="212">
        <v>11790</v>
      </c>
      <c r="F215" s="211">
        <v>10330</v>
      </c>
      <c r="G215" s="211">
        <v>8060</v>
      </c>
      <c r="H215" s="211">
        <v>7090</v>
      </c>
      <c r="I215" s="211">
        <v>6650</v>
      </c>
    </row>
    <row r="216" spans="2:12" ht="15.5" thickTop="1" thickBot="1">
      <c r="B216" s="348"/>
      <c r="C216" s="202" t="s">
        <v>2876</v>
      </c>
      <c r="D216" s="202" t="s">
        <v>2874</v>
      </c>
      <c r="E216" s="212">
        <v>11790</v>
      </c>
      <c r="F216" s="213">
        <v>11640</v>
      </c>
      <c r="G216" s="213">
        <v>11410</v>
      </c>
      <c r="H216" s="213">
        <v>11280</v>
      </c>
      <c r="I216" s="213">
        <v>11140</v>
      </c>
    </row>
    <row r="217" spans="2:12" ht="16" thickBot="1">
      <c r="B217" s="210" t="s">
        <v>2877</v>
      </c>
      <c r="C217" s="204" t="s">
        <v>2870</v>
      </c>
      <c r="D217" s="204" t="s">
        <v>2878</v>
      </c>
      <c r="E217" s="209">
        <v>0.02</v>
      </c>
      <c r="F217" s="209">
        <v>0.02</v>
      </c>
      <c r="G217" s="209">
        <v>0.02</v>
      </c>
      <c r="H217" s="209">
        <v>0.02</v>
      </c>
      <c r="I217" s="209">
        <v>0.02</v>
      </c>
    </row>
    <row r="219" spans="2:12" ht="21">
      <c r="B219" s="155" t="s">
        <v>2903</v>
      </c>
    </row>
    <row r="221" spans="2:12" ht="15" thickBot="1">
      <c r="B221" s="156" t="s">
        <v>2904</v>
      </c>
    </row>
    <row r="222" spans="2:12" ht="15" thickBot="1">
      <c r="B222" s="339"/>
      <c r="C222" s="340"/>
      <c r="D222" s="214" t="s">
        <v>0</v>
      </c>
      <c r="E222" s="215">
        <v>2015</v>
      </c>
      <c r="F222" s="215">
        <v>2020</v>
      </c>
      <c r="G222" s="215">
        <v>2025</v>
      </c>
      <c r="H222" s="215">
        <v>2030</v>
      </c>
      <c r="I222" s="215">
        <v>2035</v>
      </c>
      <c r="J222" s="215">
        <v>2040</v>
      </c>
      <c r="K222" s="215">
        <v>2045</v>
      </c>
      <c r="L222" s="215">
        <v>2050</v>
      </c>
    </row>
    <row r="223" spans="2:12" ht="15.5" thickTop="1" thickBot="1">
      <c r="B223" s="341" t="s">
        <v>2859</v>
      </c>
      <c r="C223" s="216" t="s">
        <v>2860</v>
      </c>
      <c r="D223" s="216" t="s">
        <v>2</v>
      </c>
      <c r="E223" s="217">
        <v>0.53349999999999986</v>
      </c>
      <c r="F223" s="218">
        <v>0.64090404564257442</v>
      </c>
      <c r="G223" s="218">
        <v>1.9219994612654814</v>
      </c>
      <c r="H223" s="218">
        <v>3.2030948768883887</v>
      </c>
      <c r="I223" s="218">
        <v>7.9781252226973658</v>
      </c>
      <c r="J223" s="218">
        <v>12.753155568506342</v>
      </c>
      <c r="K223" s="218">
        <v>23.160011434969839</v>
      </c>
      <c r="L223" s="218">
        <v>33.566867301433334</v>
      </c>
    </row>
    <row r="224" spans="2:12" ht="15" thickBot="1">
      <c r="B224" s="342"/>
      <c r="C224" s="219" t="s">
        <v>2861</v>
      </c>
      <c r="D224" s="219" t="s">
        <v>2</v>
      </c>
      <c r="E224" s="220">
        <v>0.53349999999999986</v>
      </c>
      <c r="F224" s="221">
        <v>2.0909090909090908</v>
      </c>
      <c r="G224" s="221">
        <v>4.545454545454545</v>
      </c>
      <c r="H224" s="221">
        <v>7</v>
      </c>
      <c r="I224" s="221">
        <v>24.5</v>
      </c>
      <c r="J224" s="221">
        <v>42</v>
      </c>
      <c r="K224" s="221">
        <v>112</v>
      </c>
      <c r="L224" s="221">
        <v>182</v>
      </c>
    </row>
    <row r="225" spans="2:12" ht="15" thickBot="1">
      <c r="B225" s="343"/>
      <c r="C225" s="216" t="s">
        <v>2862</v>
      </c>
      <c r="D225" s="216" t="s">
        <v>2</v>
      </c>
      <c r="E225" s="217">
        <v>0.53349999999999986</v>
      </c>
      <c r="F225" s="218">
        <v>10.797734712391669</v>
      </c>
      <c r="G225" s="218">
        <v>52.879616106903057</v>
      </c>
      <c r="H225" s="218">
        <v>94.961497501414442</v>
      </c>
      <c r="I225" s="218">
        <v>206.55014975920602</v>
      </c>
      <c r="J225" s="218">
        <v>318.1388020169976</v>
      </c>
      <c r="K225" s="218">
        <v>434.82031064614358</v>
      </c>
      <c r="L225" s="218">
        <v>551.50181927528956</v>
      </c>
    </row>
    <row r="226" spans="2:12" ht="15" thickBot="1">
      <c r="B226" s="349" t="s">
        <v>2863</v>
      </c>
      <c r="C226" s="219" t="s">
        <v>2860</v>
      </c>
      <c r="D226" s="219" t="s">
        <v>2864</v>
      </c>
      <c r="E226" s="222">
        <v>5.2539999999999989E-2</v>
      </c>
      <c r="F226" s="220">
        <v>7.4500809128514908E-2</v>
      </c>
      <c r="G226" s="220">
        <v>0.16361968377463373</v>
      </c>
      <c r="H226" s="222">
        <v>0.3499584824745291</v>
      </c>
      <c r="I226" s="221">
        <v>0.93398475300082739</v>
      </c>
      <c r="J226" s="221">
        <v>1.1030681944512781</v>
      </c>
      <c r="K226" s="221">
        <v>1.6999807812477599</v>
      </c>
      <c r="L226" s="221">
        <v>2.9763397315868012</v>
      </c>
    </row>
    <row r="227" spans="2:12" ht="15" thickBot="1">
      <c r="B227" s="342"/>
      <c r="C227" s="216" t="s">
        <v>2861</v>
      </c>
      <c r="D227" s="216" t="s">
        <v>2864</v>
      </c>
      <c r="E227" s="223">
        <v>5.2539999999999989E-2</v>
      </c>
      <c r="F227" s="217">
        <v>0.3645018181818182</v>
      </c>
      <c r="G227" s="217">
        <v>0.18181818181818182</v>
      </c>
      <c r="H227" s="217">
        <v>0.80113999999999996</v>
      </c>
      <c r="I227" s="218">
        <v>2.4525399999999999</v>
      </c>
      <c r="J227" s="218">
        <v>4.9645018181818186</v>
      </c>
      <c r="K227" s="218">
        <v>10.181818181818182</v>
      </c>
      <c r="L227" s="218">
        <v>18.80114</v>
      </c>
    </row>
    <row r="228" spans="2:12" ht="15" thickBot="1">
      <c r="B228" s="343"/>
      <c r="C228" s="219" t="s">
        <v>2862</v>
      </c>
      <c r="D228" s="219" t="s">
        <v>2864</v>
      </c>
      <c r="E228" s="222">
        <v>5.2539999999999989E-2</v>
      </c>
      <c r="F228" s="220">
        <v>2.1058669424783338</v>
      </c>
      <c r="G228" s="221">
        <v>5.2898553304065334</v>
      </c>
      <c r="H228" s="221">
        <v>11.54403722739802</v>
      </c>
      <c r="I228" s="221">
        <v>22.128597847642972</v>
      </c>
      <c r="J228" s="221">
        <v>24.665269997951999</v>
      </c>
      <c r="K228" s="221">
        <v>30.317962311785937</v>
      </c>
      <c r="L228" s="221">
        <v>33.188533697677009</v>
      </c>
    </row>
    <row r="229" spans="2:12" ht="15" thickBot="1">
      <c r="B229" s="350" t="s">
        <v>2865</v>
      </c>
      <c r="C229" s="216" t="s">
        <v>2866</v>
      </c>
      <c r="D229" s="216" t="s">
        <v>2855</v>
      </c>
      <c r="E229" s="224">
        <v>0.1</v>
      </c>
      <c r="F229" s="224">
        <v>0.1</v>
      </c>
      <c r="G229" s="224">
        <v>0.1</v>
      </c>
      <c r="H229" s="224">
        <v>0.1</v>
      </c>
      <c r="I229" s="224">
        <v>0.1</v>
      </c>
      <c r="J229" s="224">
        <v>0.1</v>
      </c>
      <c r="K229" s="224">
        <v>0.1</v>
      </c>
      <c r="L229" s="224">
        <v>0.1</v>
      </c>
    </row>
    <row r="230" spans="2:12" ht="15" thickBot="1">
      <c r="B230" s="351"/>
      <c r="C230" s="219" t="s">
        <v>2867</v>
      </c>
      <c r="D230" s="219" t="s">
        <v>2855</v>
      </c>
      <c r="E230" s="225">
        <v>0.15</v>
      </c>
      <c r="F230" s="225">
        <v>0.15</v>
      </c>
      <c r="G230" s="225">
        <v>0.15</v>
      </c>
      <c r="H230" s="225">
        <v>0.15</v>
      </c>
      <c r="I230" s="225">
        <v>0.15</v>
      </c>
      <c r="J230" s="225">
        <v>0.15</v>
      </c>
      <c r="K230" s="225">
        <v>0.15</v>
      </c>
      <c r="L230" s="225">
        <v>0.15</v>
      </c>
    </row>
    <row r="231" spans="2:12" ht="15" thickBot="1">
      <c r="B231" s="352"/>
      <c r="C231" s="216" t="s">
        <v>2868</v>
      </c>
      <c r="D231" s="216" t="s">
        <v>2855</v>
      </c>
      <c r="E231" s="224">
        <v>7.0000000000000007E-2</v>
      </c>
      <c r="F231" s="224">
        <v>7.0000000000000007E-2</v>
      </c>
      <c r="G231" s="224">
        <v>7.0000000000000007E-2</v>
      </c>
      <c r="H231" s="224">
        <v>7.0000000000000007E-2</v>
      </c>
      <c r="I231" s="224">
        <v>7.0000000000000007E-2</v>
      </c>
      <c r="J231" s="224">
        <v>7.0000000000000007E-2</v>
      </c>
      <c r="K231" s="224">
        <v>7.0000000000000007E-2</v>
      </c>
      <c r="L231" s="224">
        <v>7.0000000000000007E-2</v>
      </c>
    </row>
    <row r="232" spans="2:12" ht="15" thickBot="1">
      <c r="B232" s="226" t="s">
        <v>2869</v>
      </c>
      <c r="C232" s="219" t="s">
        <v>2870</v>
      </c>
      <c r="D232" s="219" t="s">
        <v>2854</v>
      </c>
      <c r="E232" s="227">
        <v>20</v>
      </c>
      <c r="F232" s="227">
        <v>20</v>
      </c>
      <c r="G232" s="227">
        <v>20</v>
      </c>
      <c r="H232" s="227">
        <v>20</v>
      </c>
      <c r="I232" s="227">
        <v>20</v>
      </c>
      <c r="J232" s="227">
        <v>20</v>
      </c>
      <c r="K232" s="227">
        <v>20</v>
      </c>
      <c r="L232" s="227">
        <v>20</v>
      </c>
    </row>
    <row r="234" spans="2:12" ht="15" thickBot="1">
      <c r="B234" s="156" t="s">
        <v>2905</v>
      </c>
    </row>
    <row r="235" spans="2:12" ht="15" thickBot="1">
      <c r="B235" s="339"/>
      <c r="C235" s="340"/>
      <c r="D235" s="214" t="s">
        <v>0</v>
      </c>
      <c r="E235" s="215">
        <v>2015</v>
      </c>
      <c r="F235" s="215">
        <v>2020</v>
      </c>
      <c r="G235" s="215">
        <v>2030</v>
      </c>
      <c r="H235" s="215">
        <v>2040</v>
      </c>
      <c r="I235" s="215">
        <v>2050</v>
      </c>
    </row>
    <row r="236" spans="2:12" ht="15.5" thickTop="1" thickBot="1">
      <c r="B236" s="341" t="s">
        <v>2873</v>
      </c>
      <c r="C236" s="216" t="s">
        <v>2860</v>
      </c>
      <c r="D236" s="216" t="s">
        <v>2874</v>
      </c>
      <c r="E236" s="228">
        <v>6160</v>
      </c>
      <c r="F236" s="229">
        <v>5680</v>
      </c>
      <c r="G236" s="229">
        <v>4630</v>
      </c>
      <c r="H236" s="229">
        <v>3760</v>
      </c>
      <c r="I236" s="229">
        <v>3230</v>
      </c>
    </row>
    <row r="237" spans="2:12" ht="15.5" thickTop="1" thickBot="1">
      <c r="B237" s="342"/>
      <c r="C237" s="219" t="s">
        <v>2861</v>
      </c>
      <c r="D237" s="219" t="s">
        <v>2874</v>
      </c>
      <c r="E237" s="228">
        <v>6160</v>
      </c>
      <c r="F237" s="227">
        <v>4920</v>
      </c>
      <c r="G237" s="227">
        <v>4140</v>
      </c>
      <c r="H237" s="227">
        <v>3150</v>
      </c>
      <c r="I237" s="227">
        <v>2520</v>
      </c>
    </row>
    <row r="238" spans="2:12" ht="15.5" thickTop="1" thickBot="1">
      <c r="B238" s="342"/>
      <c r="C238" s="216" t="s">
        <v>2862</v>
      </c>
      <c r="D238" s="216" t="s">
        <v>2874</v>
      </c>
      <c r="E238" s="228">
        <v>6160</v>
      </c>
      <c r="F238" s="229">
        <v>3890</v>
      </c>
      <c r="G238" s="229">
        <v>2800</v>
      </c>
      <c r="H238" s="229">
        <v>2320</v>
      </c>
      <c r="I238" s="229">
        <v>2090</v>
      </c>
    </row>
    <row r="239" spans="2:12" ht="15.5" thickTop="1" thickBot="1">
      <c r="B239" s="342"/>
      <c r="C239" s="219" t="s">
        <v>2875</v>
      </c>
      <c r="D239" s="219" t="s">
        <v>2874</v>
      </c>
      <c r="E239" s="228">
        <v>6160</v>
      </c>
      <c r="F239" s="227">
        <v>3030</v>
      </c>
      <c r="G239" s="227">
        <v>1830</v>
      </c>
      <c r="H239" s="227">
        <v>1370</v>
      </c>
      <c r="I239" s="227">
        <v>1170</v>
      </c>
    </row>
    <row r="240" spans="2:12" ht="15.5" thickTop="1" thickBot="1">
      <c r="B240" s="343"/>
      <c r="C240" s="216" t="s">
        <v>2876</v>
      </c>
      <c r="D240" s="216" t="s">
        <v>2874</v>
      </c>
      <c r="E240" s="228">
        <v>6160</v>
      </c>
      <c r="F240" s="229">
        <v>5830</v>
      </c>
      <c r="G240" s="229">
        <v>5060</v>
      </c>
      <c r="H240" s="229">
        <v>4390</v>
      </c>
      <c r="I240" s="229">
        <v>3950</v>
      </c>
    </row>
    <row r="241" spans="1:9" ht="16" thickBot="1">
      <c r="B241" s="226" t="s">
        <v>2877</v>
      </c>
      <c r="C241" s="219" t="s">
        <v>2870</v>
      </c>
      <c r="D241" s="219" t="s">
        <v>2878</v>
      </c>
      <c r="E241" s="230">
        <v>6.3E-2</v>
      </c>
      <c r="F241" s="230">
        <v>6.5000000000000002E-2</v>
      </c>
      <c r="G241" s="230">
        <v>5.6000000000000001E-2</v>
      </c>
      <c r="H241" s="230">
        <v>6.3E-2</v>
      </c>
      <c r="I241" s="230">
        <v>4.9000000000000002E-2</v>
      </c>
    </row>
    <row r="244" spans="1:9" ht="15" thickBot="1">
      <c r="B244" s="156" t="s">
        <v>2906</v>
      </c>
    </row>
    <row r="245" spans="1:9" ht="15" thickBot="1">
      <c r="B245" s="339"/>
      <c r="C245" s="340"/>
      <c r="D245" s="214" t="s">
        <v>0</v>
      </c>
      <c r="E245" s="215">
        <v>2015</v>
      </c>
      <c r="F245" s="215">
        <v>2020</v>
      </c>
      <c r="G245" s="215">
        <v>2030</v>
      </c>
      <c r="H245" s="215">
        <v>2040</v>
      </c>
      <c r="I245" s="215">
        <v>2050</v>
      </c>
    </row>
    <row r="246" spans="1:9" ht="15.5" thickTop="1" thickBot="1">
      <c r="B246" s="341" t="s">
        <v>2873</v>
      </c>
      <c r="C246" s="216" t="s">
        <v>2860</v>
      </c>
      <c r="D246" s="216" t="s">
        <v>2874</v>
      </c>
      <c r="E246" s="228">
        <v>7840</v>
      </c>
      <c r="F246" s="229">
        <v>7230</v>
      </c>
      <c r="G246" s="229">
        <v>5900</v>
      </c>
      <c r="H246" s="229">
        <v>4790</v>
      </c>
      <c r="I246" s="229">
        <v>4120</v>
      </c>
    </row>
    <row r="247" spans="1:9" ht="15.5" thickTop="1" thickBot="1">
      <c r="A247" t="s">
        <v>2781</v>
      </c>
      <c r="B247" s="342"/>
      <c r="C247" s="219" t="s">
        <v>2861</v>
      </c>
      <c r="D247" s="219" t="s">
        <v>2874</v>
      </c>
      <c r="E247" s="228">
        <v>7840</v>
      </c>
      <c r="F247" s="227">
        <v>6260</v>
      </c>
      <c r="G247" s="227">
        <v>5270</v>
      </c>
      <c r="H247" s="227">
        <v>4000</v>
      </c>
      <c r="I247" s="227">
        <v>3210</v>
      </c>
    </row>
    <row r="248" spans="1:9" ht="15.5" thickTop="1" thickBot="1">
      <c r="B248" s="342"/>
      <c r="C248" s="216" t="s">
        <v>2862</v>
      </c>
      <c r="D248" s="216" t="s">
        <v>2874</v>
      </c>
      <c r="E248" s="228">
        <v>7840</v>
      </c>
      <c r="F248" s="229">
        <v>4950</v>
      </c>
      <c r="G248" s="229">
        <v>3560</v>
      </c>
      <c r="H248" s="229">
        <v>2950</v>
      </c>
      <c r="I248" s="229">
        <v>2660</v>
      </c>
    </row>
    <row r="249" spans="1:9" ht="15.5" thickTop="1" thickBot="1">
      <c r="B249" s="342"/>
      <c r="C249" s="219" t="s">
        <v>2875</v>
      </c>
      <c r="D249" s="219" t="s">
        <v>2874</v>
      </c>
      <c r="E249" s="228">
        <v>7840</v>
      </c>
      <c r="F249" s="227">
        <v>3850</v>
      </c>
      <c r="G249" s="227">
        <v>2320</v>
      </c>
      <c r="H249" s="227">
        <v>1740</v>
      </c>
      <c r="I249" s="227">
        <v>1480</v>
      </c>
    </row>
    <row r="250" spans="1:9" ht="15.5" thickTop="1" thickBot="1">
      <c r="B250" s="343"/>
      <c r="C250" s="216" t="s">
        <v>2876</v>
      </c>
      <c r="D250" s="216" t="s">
        <v>2874</v>
      </c>
      <c r="E250" s="228">
        <v>7840</v>
      </c>
      <c r="F250" s="229">
        <v>7420</v>
      </c>
      <c r="G250" s="229">
        <v>6440</v>
      </c>
      <c r="H250" s="229">
        <v>5580</v>
      </c>
      <c r="I250" s="229">
        <v>5030</v>
      </c>
    </row>
    <row r="251" spans="1:9" ht="16" thickBot="1">
      <c r="B251" s="226" t="s">
        <v>2877</v>
      </c>
      <c r="C251" s="219" t="s">
        <v>2870</v>
      </c>
      <c r="D251" s="219" t="s">
        <v>2878</v>
      </c>
      <c r="E251" s="230">
        <v>6.3E-2</v>
      </c>
      <c r="F251" s="230">
        <v>6.5000000000000002E-2</v>
      </c>
      <c r="G251" s="230">
        <v>5.6000000000000001E-2</v>
      </c>
      <c r="H251" s="230">
        <v>6.3E-2</v>
      </c>
      <c r="I251" s="230">
        <v>4.9000000000000002E-2</v>
      </c>
    </row>
    <row r="254" spans="1:9" ht="15" thickBot="1">
      <c r="B254" s="156" t="s">
        <v>2907</v>
      </c>
    </row>
    <row r="255" spans="1:9" ht="15" thickBot="1">
      <c r="B255" s="339"/>
      <c r="C255" s="340"/>
      <c r="D255" s="214" t="s">
        <v>0</v>
      </c>
      <c r="E255" s="215">
        <v>2015</v>
      </c>
      <c r="F255" s="215">
        <v>2020</v>
      </c>
      <c r="G255" s="215">
        <v>2030</v>
      </c>
      <c r="H255" s="215">
        <v>2040</v>
      </c>
      <c r="I255" s="215">
        <v>2050</v>
      </c>
    </row>
    <row r="256" spans="1:9" ht="15.5" thickTop="1" thickBot="1">
      <c r="B256" s="341" t="s">
        <v>2873</v>
      </c>
      <c r="C256" s="216" t="s">
        <v>2860</v>
      </c>
      <c r="D256" s="216" t="s">
        <v>2874</v>
      </c>
      <c r="E256" s="228">
        <v>7910</v>
      </c>
      <c r="F256" s="229">
        <v>7300</v>
      </c>
      <c r="G256" s="229">
        <v>5950</v>
      </c>
      <c r="H256" s="229">
        <v>4830</v>
      </c>
      <c r="I256" s="229">
        <v>4150</v>
      </c>
    </row>
    <row r="257" spans="1:118" ht="15.5" thickTop="1" thickBot="1">
      <c r="A257" t="s">
        <v>2780</v>
      </c>
      <c r="B257" s="342"/>
      <c r="C257" s="219" t="s">
        <v>2861</v>
      </c>
      <c r="D257" s="219" t="s">
        <v>2874</v>
      </c>
      <c r="E257" s="228">
        <v>7910</v>
      </c>
      <c r="F257" s="227">
        <v>6310</v>
      </c>
      <c r="G257" s="227">
        <v>5320</v>
      </c>
      <c r="H257" s="227">
        <v>4040</v>
      </c>
      <c r="I257" s="227">
        <v>3240</v>
      </c>
    </row>
    <row r="258" spans="1:118" ht="15.5" thickTop="1" thickBot="1">
      <c r="B258" s="342"/>
      <c r="C258" s="216" t="s">
        <v>2862</v>
      </c>
      <c r="D258" s="216" t="s">
        <v>2874</v>
      </c>
      <c r="E258" s="228">
        <v>7910</v>
      </c>
      <c r="F258" s="229">
        <v>4990</v>
      </c>
      <c r="G258" s="229">
        <v>3600</v>
      </c>
      <c r="H258" s="229">
        <v>2980</v>
      </c>
      <c r="I258" s="229">
        <v>2690</v>
      </c>
    </row>
    <row r="259" spans="1:118" ht="15.5" thickTop="1" thickBot="1">
      <c r="B259" s="342"/>
      <c r="C259" s="219" t="s">
        <v>2875</v>
      </c>
      <c r="D259" s="219" t="s">
        <v>2874</v>
      </c>
      <c r="E259" s="228">
        <v>7910</v>
      </c>
      <c r="F259" s="227">
        <v>3890</v>
      </c>
      <c r="G259" s="227">
        <v>2350</v>
      </c>
      <c r="H259" s="227">
        <v>1750</v>
      </c>
      <c r="I259" s="227">
        <v>1500</v>
      </c>
    </row>
    <row r="260" spans="1:118" ht="15.5" thickTop="1" thickBot="1">
      <c r="B260" s="343"/>
      <c r="C260" s="216" t="s">
        <v>2876</v>
      </c>
      <c r="D260" s="216" t="s">
        <v>2874</v>
      </c>
      <c r="E260" s="228">
        <v>7910</v>
      </c>
      <c r="F260" s="229">
        <v>7480</v>
      </c>
      <c r="G260" s="229">
        <v>6500</v>
      </c>
      <c r="H260" s="229">
        <v>5630</v>
      </c>
      <c r="I260" s="229">
        <v>5070</v>
      </c>
    </row>
    <row r="261" spans="1:118" ht="16" thickBot="1">
      <c r="B261" s="226" t="s">
        <v>2877</v>
      </c>
      <c r="C261" s="219" t="s">
        <v>2870</v>
      </c>
      <c r="D261" s="219" t="s">
        <v>2878</v>
      </c>
      <c r="E261" s="230">
        <v>0.04</v>
      </c>
      <c r="F261" s="230">
        <v>0.04</v>
      </c>
      <c r="G261" s="230">
        <v>3.5000000000000003E-2</v>
      </c>
      <c r="H261" s="230">
        <v>0.04</v>
      </c>
      <c r="I261" s="230">
        <v>0.04</v>
      </c>
    </row>
    <row r="263" spans="1:118" ht="21">
      <c r="B263" s="155" t="s">
        <v>2908</v>
      </c>
    </row>
    <row r="265" spans="1:118" ht="15" thickBot="1">
      <c r="B265" s="156" t="s">
        <v>2909</v>
      </c>
    </row>
    <row r="266" spans="1:118" ht="15" thickBot="1">
      <c r="B266" s="326"/>
      <c r="C266" s="327"/>
      <c r="D266" s="231" t="s">
        <v>0</v>
      </c>
      <c r="E266" s="232">
        <v>2015</v>
      </c>
      <c r="F266" s="232">
        <v>2020</v>
      </c>
      <c r="G266" s="232">
        <v>2025</v>
      </c>
      <c r="H266" s="232">
        <v>2030</v>
      </c>
      <c r="I266" s="232">
        <v>2035</v>
      </c>
      <c r="J266" s="232">
        <v>2040</v>
      </c>
      <c r="K266" s="232">
        <v>2045</v>
      </c>
      <c r="L266" s="232">
        <v>2050</v>
      </c>
      <c r="CP266" s="156" t="s">
        <v>2910</v>
      </c>
      <c r="DD266" s="156" t="s">
        <v>2911</v>
      </c>
    </row>
    <row r="267" spans="1:118" ht="15.5" thickTop="1" thickBot="1">
      <c r="B267" s="328" t="s">
        <v>2859</v>
      </c>
      <c r="C267" s="233" t="s">
        <v>2860</v>
      </c>
      <c r="D267" s="233" t="s">
        <v>2</v>
      </c>
      <c r="E267" s="234">
        <v>1207.8528000000003</v>
      </c>
      <c r="F267" s="234">
        <v>1234.5283858927251</v>
      </c>
      <c r="G267" s="234">
        <v>1297.2783958000346</v>
      </c>
      <c r="H267" s="234">
        <v>1360.0284057073441</v>
      </c>
      <c r="I267" s="234">
        <v>1435.9835456285514</v>
      </c>
      <c r="J267" s="234">
        <v>1511.9386855497589</v>
      </c>
      <c r="K267" s="234">
        <v>1583.9050759066727</v>
      </c>
      <c r="L267" s="234">
        <v>1655.8714662635864</v>
      </c>
      <c r="CP267" s="307"/>
      <c r="CQ267" s="308"/>
      <c r="CR267" s="235" t="s">
        <v>0</v>
      </c>
      <c r="CS267" s="236">
        <v>2015</v>
      </c>
      <c r="CT267" s="236">
        <v>2020</v>
      </c>
      <c r="CU267" s="236">
        <v>2025</v>
      </c>
      <c r="CV267" s="236">
        <v>2030</v>
      </c>
      <c r="CW267" s="236">
        <v>2035</v>
      </c>
      <c r="CX267" s="236">
        <v>2040</v>
      </c>
      <c r="CY267" s="236">
        <v>2045</v>
      </c>
      <c r="CZ267" s="236">
        <v>2050</v>
      </c>
      <c r="DD267" s="307"/>
      <c r="DE267" s="308"/>
      <c r="DF267" s="235" t="s">
        <v>0</v>
      </c>
      <c r="DG267" s="236">
        <v>2015</v>
      </c>
      <c r="DH267" s="236">
        <v>2020</v>
      </c>
      <c r="DI267" s="236">
        <v>2025</v>
      </c>
      <c r="DJ267" s="236">
        <v>2030</v>
      </c>
      <c r="DK267" s="236">
        <v>2035</v>
      </c>
      <c r="DL267" s="236">
        <v>2040</v>
      </c>
      <c r="DM267" s="236">
        <v>2045</v>
      </c>
      <c r="DN267" s="236">
        <v>2050</v>
      </c>
    </row>
    <row r="268" spans="1:118" ht="15.5" thickTop="1" thickBot="1">
      <c r="B268" s="329"/>
      <c r="C268" s="237" t="s">
        <v>2861</v>
      </c>
      <c r="D268" s="237" t="s">
        <v>2</v>
      </c>
      <c r="E268" s="238">
        <v>1207.8528000000003</v>
      </c>
      <c r="F268" s="238">
        <v>1245.818181818182</v>
      </c>
      <c r="G268" s="238">
        <v>1411.409090909091</v>
      </c>
      <c r="H268" s="238">
        <v>1577</v>
      </c>
      <c r="I268" s="238">
        <v>1720</v>
      </c>
      <c r="J268" s="238">
        <v>1863</v>
      </c>
      <c r="K268" s="238">
        <v>2028</v>
      </c>
      <c r="L268" s="238">
        <v>2193</v>
      </c>
      <c r="CP268" s="315" t="s">
        <v>2912</v>
      </c>
      <c r="CQ268" s="239" t="s">
        <v>2860</v>
      </c>
      <c r="CR268" s="239" t="s">
        <v>2</v>
      </c>
      <c r="CS268" s="240">
        <v>0</v>
      </c>
      <c r="CT268" s="240">
        <v>0</v>
      </c>
      <c r="CU268" s="241">
        <v>0</v>
      </c>
      <c r="CV268" s="241">
        <v>0</v>
      </c>
      <c r="CW268" s="241">
        <v>0</v>
      </c>
      <c r="CX268" s="241">
        <v>0</v>
      </c>
      <c r="CY268" s="241">
        <v>0</v>
      </c>
      <c r="CZ268" s="241">
        <v>0</v>
      </c>
      <c r="DD268" s="315" t="s">
        <v>2912</v>
      </c>
      <c r="DE268" s="239" t="s">
        <v>2860</v>
      </c>
      <c r="DF268" s="239" t="s">
        <v>2</v>
      </c>
      <c r="DG268" s="240">
        <v>0</v>
      </c>
      <c r="DH268" s="240">
        <v>0</v>
      </c>
      <c r="DI268" s="241">
        <v>0</v>
      </c>
      <c r="DJ268" s="241">
        <v>0</v>
      </c>
      <c r="DK268" s="241">
        <v>0</v>
      </c>
      <c r="DL268" s="241">
        <v>0</v>
      </c>
      <c r="DM268" s="241">
        <v>0</v>
      </c>
      <c r="DN268" s="241">
        <v>0</v>
      </c>
    </row>
    <row r="269" spans="1:118" ht="15" thickBot="1">
      <c r="B269" s="330"/>
      <c r="C269" s="233" t="s">
        <v>2862</v>
      </c>
      <c r="D269" s="233" t="s">
        <v>2</v>
      </c>
      <c r="E269" s="234">
        <v>1207.8528000000003</v>
      </c>
      <c r="F269" s="234">
        <v>1315.6586897773998</v>
      </c>
      <c r="G269" s="234">
        <v>1356.2528303309589</v>
      </c>
      <c r="H269" s="234">
        <v>1396.846970884518</v>
      </c>
      <c r="I269" s="234">
        <v>1421.0210996631486</v>
      </c>
      <c r="J269" s="234">
        <v>1445.1952284417791</v>
      </c>
      <c r="K269" s="234">
        <v>1474.1694707314446</v>
      </c>
      <c r="L269" s="234">
        <v>1503.1437130211098</v>
      </c>
      <c r="CP269" s="316"/>
      <c r="CQ269" s="242" t="s">
        <v>2861</v>
      </c>
      <c r="CR269" s="242" t="s">
        <v>2</v>
      </c>
      <c r="CS269" s="243">
        <v>0</v>
      </c>
      <c r="CT269" s="243">
        <v>0</v>
      </c>
      <c r="CU269" s="244">
        <v>1.7701245852722651</v>
      </c>
      <c r="CV269" s="244">
        <v>21.700085846574652</v>
      </c>
      <c r="CW269" s="244">
        <v>72.486296742580237</v>
      </c>
      <c r="CX269" s="244">
        <v>145.73235723367094</v>
      </c>
      <c r="CY269" s="244">
        <v>224.63400497370054</v>
      </c>
      <c r="CZ269" s="244">
        <v>285.93236709488298</v>
      </c>
      <c r="DD269" s="316"/>
      <c r="DE269" s="242" t="s">
        <v>2861</v>
      </c>
      <c r="DF269" s="242" t="s">
        <v>2</v>
      </c>
      <c r="DG269" s="243">
        <v>0</v>
      </c>
      <c r="DH269" s="243">
        <v>0</v>
      </c>
      <c r="DI269" s="244">
        <v>0.62264256674459195</v>
      </c>
      <c r="DJ269" s="244">
        <v>1.7351723192051325</v>
      </c>
      <c r="DK269" s="244">
        <v>9.3802299787015944</v>
      </c>
      <c r="DL269" s="244">
        <v>33.990951744409692</v>
      </c>
      <c r="DM269" s="244">
        <v>99.675024209872902</v>
      </c>
      <c r="DN269" s="244">
        <v>162.22484843324102</v>
      </c>
    </row>
    <row r="270" spans="1:118" ht="15" thickBot="1">
      <c r="B270" s="335" t="s">
        <v>2863</v>
      </c>
      <c r="C270" s="237" t="s">
        <v>2860</v>
      </c>
      <c r="D270" s="237" t="s">
        <v>2864</v>
      </c>
      <c r="E270" s="238">
        <v>36.654280000000014</v>
      </c>
      <c r="F270" s="238">
        <v>5.3351171785449427</v>
      </c>
      <c r="G270" s="238">
        <v>12.070934450985215</v>
      </c>
      <c r="H270" s="238">
        <v>13.029069511938587</v>
      </c>
      <c r="I270" s="238">
        <v>13.865834002444945</v>
      </c>
      <c r="J270" s="238">
        <v>16.516221966038028</v>
      </c>
      <c r="K270" s="238">
        <v>15.343577705848611</v>
      </c>
      <c r="L270" s="238">
        <v>13.442978436916883</v>
      </c>
      <c r="CP270" s="317" t="s">
        <v>2863</v>
      </c>
      <c r="CQ270" s="242" t="s">
        <v>2860</v>
      </c>
      <c r="CR270" s="242" t="s">
        <v>2864</v>
      </c>
      <c r="CS270" s="243">
        <v>0</v>
      </c>
      <c r="CT270" s="243">
        <v>0</v>
      </c>
      <c r="CU270" s="245">
        <v>0</v>
      </c>
      <c r="CV270" s="245">
        <v>0</v>
      </c>
      <c r="CW270" s="245">
        <v>0</v>
      </c>
      <c r="CX270" s="245">
        <v>0</v>
      </c>
      <c r="CY270" s="245">
        <v>0</v>
      </c>
      <c r="CZ270" s="245">
        <v>0</v>
      </c>
      <c r="DD270" s="317" t="s">
        <v>2863</v>
      </c>
      <c r="DE270" s="242" t="s">
        <v>2860</v>
      </c>
      <c r="DF270" s="242" t="s">
        <v>2864</v>
      </c>
      <c r="DG270" s="243">
        <v>0</v>
      </c>
      <c r="DH270" s="243">
        <v>0</v>
      </c>
      <c r="DI270" s="245">
        <v>0</v>
      </c>
      <c r="DJ270" s="245">
        <v>0</v>
      </c>
      <c r="DK270" s="245">
        <v>0</v>
      </c>
      <c r="DL270" s="245">
        <v>0</v>
      </c>
      <c r="DM270" s="245">
        <v>0</v>
      </c>
      <c r="DN270" s="245">
        <v>0</v>
      </c>
    </row>
    <row r="271" spans="1:118" ht="15" thickBot="1">
      <c r="B271" s="329"/>
      <c r="C271" s="233" t="s">
        <v>2861</v>
      </c>
      <c r="D271" s="233" t="s">
        <v>2864</v>
      </c>
      <c r="E271" s="234">
        <v>36.654280000000014</v>
      </c>
      <c r="F271" s="234">
        <v>7.5930763636363281</v>
      </c>
      <c r="G271" s="234">
        <v>33.636363636363605</v>
      </c>
      <c r="H271" s="234">
        <v>32.6</v>
      </c>
      <c r="I271" s="234">
        <v>22.6</v>
      </c>
      <c r="J271" s="234">
        <v>34.6</v>
      </c>
      <c r="K271" s="234">
        <v>33.6</v>
      </c>
      <c r="L271" s="234">
        <v>32.4</v>
      </c>
      <c r="CP271" s="318"/>
      <c r="CQ271" s="246" t="s">
        <v>2861</v>
      </c>
      <c r="CR271" s="246" t="s">
        <v>2864</v>
      </c>
      <c r="CS271" s="247">
        <v>0</v>
      </c>
      <c r="CT271" s="247">
        <v>0</v>
      </c>
      <c r="CU271" s="248">
        <v>0.35402491705445305</v>
      </c>
      <c r="CV271" s="248">
        <v>3.9859922522604778</v>
      </c>
      <c r="CW271" s="248">
        <v>10.157242179201116</v>
      </c>
      <c r="CX271" s="248">
        <v>14.64921209821814</v>
      </c>
      <c r="CY271" s="248">
        <v>15.78032954800592</v>
      </c>
      <c r="CZ271" s="248">
        <v>12.259672424236488</v>
      </c>
      <c r="DD271" s="318"/>
      <c r="DE271" s="246" t="s">
        <v>2861</v>
      </c>
      <c r="DF271" s="246" t="s">
        <v>2864</v>
      </c>
      <c r="DG271" s="247">
        <v>0</v>
      </c>
      <c r="DH271" s="247">
        <v>0</v>
      </c>
      <c r="DI271" s="248">
        <v>0.12452851334891839</v>
      </c>
      <c r="DJ271" s="248">
        <v>0.22250595049210808</v>
      </c>
      <c r="DK271" s="248">
        <v>1.5290115318992925</v>
      </c>
      <c r="DL271" s="248">
        <v>4.9221443531416202</v>
      </c>
      <c r="DM271" s="248">
        <v>13.261343006441559</v>
      </c>
      <c r="DN271" s="248">
        <v>12.732470795165733</v>
      </c>
    </row>
    <row r="272" spans="1:118" ht="15" thickBot="1">
      <c r="B272" s="330"/>
      <c r="C272" s="237" t="s">
        <v>2862</v>
      </c>
      <c r="D272" s="237" t="s">
        <v>2864</v>
      </c>
      <c r="E272" s="238">
        <v>36.654280000000014</v>
      </c>
      <c r="F272" s="238">
        <v>21.561177955479888</v>
      </c>
      <c r="G272" s="238">
        <v>9.822666846909943</v>
      </c>
      <c r="H272" s="238">
        <v>6.4149893745136977</v>
      </c>
      <c r="I272" s="238">
        <v>5.435147657919833</v>
      </c>
      <c r="J272" s="238">
        <v>4.2345038535323969</v>
      </c>
      <c r="K272" s="238">
        <v>5.2792524916876573</v>
      </c>
      <c r="L272" s="238">
        <v>6.3104444241784678</v>
      </c>
      <c r="CP272" s="304" t="s">
        <v>2865</v>
      </c>
      <c r="CQ272" s="246" t="s">
        <v>2866</v>
      </c>
      <c r="CR272" s="246" t="s">
        <v>2855</v>
      </c>
      <c r="CS272" s="249">
        <v>2.1999999999999999E-2</v>
      </c>
      <c r="CT272" s="249">
        <v>2.1999999999999999E-2</v>
      </c>
      <c r="CU272" s="249">
        <v>2.1999999999999999E-2</v>
      </c>
      <c r="CV272" s="249">
        <v>2.1999999999999999E-2</v>
      </c>
      <c r="CW272" s="249">
        <v>2.1999999999999999E-2</v>
      </c>
      <c r="CX272" s="249">
        <v>2.1999999999999999E-2</v>
      </c>
      <c r="CY272" s="249">
        <v>2.1999999999999999E-2</v>
      </c>
      <c r="CZ272" s="249">
        <v>2.1999999999999999E-2</v>
      </c>
      <c r="DD272" s="304" t="s">
        <v>2865</v>
      </c>
      <c r="DE272" s="246" t="s">
        <v>2866</v>
      </c>
      <c r="DF272" s="246" t="s">
        <v>2855</v>
      </c>
      <c r="DG272" s="249">
        <v>0.05</v>
      </c>
      <c r="DH272" s="249">
        <v>0.05</v>
      </c>
      <c r="DI272" s="249">
        <v>0.05</v>
      </c>
      <c r="DJ272" s="249">
        <v>0.05</v>
      </c>
      <c r="DK272" s="249">
        <v>0.05</v>
      </c>
      <c r="DL272" s="249">
        <v>0.05</v>
      </c>
      <c r="DM272" s="249">
        <v>0.05</v>
      </c>
      <c r="DN272" s="249">
        <v>0.05</v>
      </c>
    </row>
    <row r="273" spans="2:118" ht="15" thickBot="1">
      <c r="B273" s="336" t="s">
        <v>2865</v>
      </c>
      <c r="C273" s="233" t="s">
        <v>2866</v>
      </c>
      <c r="D273" s="233" t="s">
        <v>2855</v>
      </c>
      <c r="E273" s="250">
        <v>0.01</v>
      </c>
      <c r="F273" s="250">
        <v>0.01</v>
      </c>
      <c r="G273" s="250">
        <v>0.01</v>
      </c>
      <c r="H273" s="250">
        <v>0.01</v>
      </c>
      <c r="I273" s="250">
        <v>0.01</v>
      </c>
      <c r="J273" s="250">
        <v>0.01</v>
      </c>
      <c r="K273" s="250">
        <v>0.01</v>
      </c>
      <c r="L273" s="250">
        <v>0.01</v>
      </c>
      <c r="CP273" s="305"/>
      <c r="CQ273" s="242" t="s">
        <v>2867</v>
      </c>
      <c r="CR273" s="242" t="s">
        <v>2855</v>
      </c>
      <c r="CS273" s="251">
        <v>3.5999999999999997E-2</v>
      </c>
      <c r="CT273" s="251">
        <v>3.5999999999999997E-2</v>
      </c>
      <c r="CU273" s="251">
        <v>3.5999999999999997E-2</v>
      </c>
      <c r="CV273" s="251">
        <v>3.5999999999999997E-2</v>
      </c>
      <c r="CW273" s="251">
        <v>3.5999999999999997E-2</v>
      </c>
      <c r="CX273" s="251">
        <v>3.5999999999999997E-2</v>
      </c>
      <c r="CY273" s="251">
        <v>3.5999999999999997E-2</v>
      </c>
      <c r="CZ273" s="251">
        <v>3.5999999999999997E-2</v>
      </c>
      <c r="DD273" s="305"/>
      <c r="DE273" s="242" t="s">
        <v>2867</v>
      </c>
      <c r="DF273" s="242" t="s">
        <v>2855</v>
      </c>
      <c r="DG273" s="251">
        <v>7.5999999999999998E-2</v>
      </c>
      <c r="DH273" s="251">
        <v>7.5999999999999998E-2</v>
      </c>
      <c r="DI273" s="251">
        <v>7.5999999999999998E-2</v>
      </c>
      <c r="DJ273" s="251">
        <v>7.5999999999999998E-2</v>
      </c>
      <c r="DK273" s="251">
        <v>7.5999999999999998E-2</v>
      </c>
      <c r="DL273" s="251">
        <v>7.5999999999999998E-2</v>
      </c>
      <c r="DM273" s="251">
        <v>7.5999999999999998E-2</v>
      </c>
      <c r="DN273" s="251">
        <v>7.5999999999999998E-2</v>
      </c>
    </row>
    <row r="274" spans="2:118" ht="15" thickBot="1">
      <c r="B274" s="337"/>
      <c r="C274" s="237" t="s">
        <v>2867</v>
      </c>
      <c r="D274" s="237" t="s">
        <v>2855</v>
      </c>
      <c r="E274" s="252">
        <v>0.02</v>
      </c>
      <c r="F274" s="252">
        <v>0.02</v>
      </c>
      <c r="G274" s="252">
        <v>0.02</v>
      </c>
      <c r="H274" s="252">
        <v>0.02</v>
      </c>
      <c r="I274" s="252">
        <v>0.02</v>
      </c>
      <c r="J274" s="252">
        <v>0.02</v>
      </c>
      <c r="K274" s="252">
        <v>0.02</v>
      </c>
      <c r="L274" s="252">
        <v>0.02</v>
      </c>
      <c r="CP274" s="306"/>
      <c r="CQ274" s="246" t="s">
        <v>2868</v>
      </c>
      <c r="CR274" s="246" t="s">
        <v>2855</v>
      </c>
      <c r="CS274" s="249">
        <v>1.2E-2</v>
      </c>
      <c r="CT274" s="249">
        <v>1.2E-2</v>
      </c>
      <c r="CU274" s="249">
        <v>1.2E-2</v>
      </c>
      <c r="CV274" s="249">
        <v>1.2E-2</v>
      </c>
      <c r="CW274" s="249">
        <v>1.2E-2</v>
      </c>
      <c r="CX274" s="249">
        <v>1.2E-2</v>
      </c>
      <c r="CY274" s="249">
        <v>1.2E-2</v>
      </c>
      <c r="CZ274" s="249">
        <v>1.2E-2</v>
      </c>
      <c r="DD274" s="306"/>
      <c r="DE274" s="246" t="s">
        <v>2868</v>
      </c>
      <c r="DF274" s="246" t="s">
        <v>2855</v>
      </c>
      <c r="DG274" s="249">
        <v>2.5000000000000001E-2</v>
      </c>
      <c r="DH274" s="249">
        <v>2.5000000000000001E-2</v>
      </c>
      <c r="DI274" s="249">
        <v>2.5000000000000001E-2</v>
      </c>
      <c r="DJ274" s="249">
        <v>2.5000000000000001E-2</v>
      </c>
      <c r="DK274" s="249">
        <v>2.5000000000000001E-2</v>
      </c>
      <c r="DL274" s="249">
        <v>2.5000000000000001E-2</v>
      </c>
      <c r="DM274" s="249">
        <v>2.5000000000000001E-2</v>
      </c>
      <c r="DN274" s="249">
        <v>2.5000000000000001E-2</v>
      </c>
    </row>
    <row r="275" spans="2:118" ht="15" thickBot="1">
      <c r="B275" s="338"/>
      <c r="C275" s="233" t="s">
        <v>2868</v>
      </c>
      <c r="D275" s="233" t="s">
        <v>2855</v>
      </c>
      <c r="E275" s="250">
        <v>0</v>
      </c>
      <c r="F275" s="250">
        <v>0</v>
      </c>
      <c r="G275" s="250">
        <v>0</v>
      </c>
      <c r="H275" s="250">
        <v>0</v>
      </c>
      <c r="I275" s="250">
        <v>0</v>
      </c>
      <c r="J275" s="250">
        <v>0</v>
      </c>
      <c r="K275" s="250">
        <v>0</v>
      </c>
      <c r="L275" s="250">
        <v>0</v>
      </c>
      <c r="CP275" s="253" t="s">
        <v>2869</v>
      </c>
      <c r="CQ275" s="242" t="s">
        <v>2870</v>
      </c>
      <c r="CR275" s="242" t="s">
        <v>2854</v>
      </c>
      <c r="CS275" s="243">
        <v>30</v>
      </c>
      <c r="CT275" s="243">
        <v>30</v>
      </c>
      <c r="CU275" s="243">
        <v>30</v>
      </c>
      <c r="CV275" s="243">
        <v>30</v>
      </c>
      <c r="CW275" s="243">
        <v>30</v>
      </c>
      <c r="CX275" s="243">
        <v>30</v>
      </c>
      <c r="CY275" s="243">
        <v>30</v>
      </c>
      <c r="CZ275" s="243">
        <v>30</v>
      </c>
      <c r="DD275" s="253" t="s">
        <v>2869</v>
      </c>
      <c r="DE275" s="242" t="s">
        <v>2870</v>
      </c>
      <c r="DF275" s="242" t="s">
        <v>2854</v>
      </c>
      <c r="DG275" s="243">
        <v>25</v>
      </c>
      <c r="DH275" s="243">
        <v>25</v>
      </c>
      <c r="DI275" s="243">
        <v>25</v>
      </c>
      <c r="DJ275" s="243">
        <v>25</v>
      </c>
      <c r="DK275" s="243">
        <v>25</v>
      </c>
      <c r="DL275" s="243">
        <v>25</v>
      </c>
      <c r="DM275" s="243">
        <v>25</v>
      </c>
      <c r="DN275" s="243">
        <v>25</v>
      </c>
    </row>
    <row r="276" spans="2:118" ht="15" thickBot="1">
      <c r="B276" s="254" t="s">
        <v>2869</v>
      </c>
      <c r="C276" s="237" t="s">
        <v>2870</v>
      </c>
      <c r="D276" s="237" t="s">
        <v>2854</v>
      </c>
      <c r="E276" s="255">
        <v>60</v>
      </c>
      <c r="F276" s="255">
        <v>60</v>
      </c>
      <c r="G276" s="255">
        <v>60</v>
      </c>
      <c r="H276" s="255">
        <v>60</v>
      </c>
      <c r="I276" s="255">
        <v>60</v>
      </c>
      <c r="J276" s="255">
        <v>60</v>
      </c>
      <c r="K276" s="255">
        <v>60</v>
      </c>
      <c r="L276" s="255">
        <v>60</v>
      </c>
    </row>
    <row r="277" spans="2:118" ht="15" thickBot="1"/>
    <row r="278" spans="2:118" ht="15" thickBot="1">
      <c r="B278" s="156" t="s">
        <v>2913</v>
      </c>
      <c r="CP278" s="307"/>
      <c r="CQ278" s="308"/>
      <c r="CR278" s="235" t="s">
        <v>0</v>
      </c>
      <c r="CS278" s="236">
        <v>2015</v>
      </c>
      <c r="CT278" s="236">
        <v>2020</v>
      </c>
      <c r="CU278" s="236">
        <v>2030</v>
      </c>
      <c r="CV278" s="236">
        <v>2040</v>
      </c>
      <c r="CW278" s="236">
        <v>2050</v>
      </c>
      <c r="DD278" s="307"/>
      <c r="DE278" s="308"/>
      <c r="DF278" s="235" t="s">
        <v>0</v>
      </c>
      <c r="DG278" s="236">
        <v>2015</v>
      </c>
      <c r="DH278" s="236">
        <v>2020</v>
      </c>
      <c r="DI278" s="236">
        <v>2030</v>
      </c>
      <c r="DJ278" s="236">
        <v>2040</v>
      </c>
      <c r="DK278" s="236">
        <v>2050</v>
      </c>
    </row>
    <row r="279" spans="2:118" ht="15.5" thickTop="1" thickBot="1">
      <c r="B279" s="326"/>
      <c r="C279" s="327"/>
      <c r="D279" s="231" t="s">
        <v>0</v>
      </c>
      <c r="E279" s="232">
        <v>2015</v>
      </c>
      <c r="F279" s="232">
        <v>2020</v>
      </c>
      <c r="G279" s="232">
        <v>2030</v>
      </c>
      <c r="H279" s="232">
        <v>2040</v>
      </c>
      <c r="I279" s="232">
        <v>2050</v>
      </c>
      <c r="CP279" s="309" t="s">
        <v>2873</v>
      </c>
      <c r="CQ279" s="239" t="s">
        <v>2860</v>
      </c>
      <c r="CR279" s="239" t="s">
        <v>2874</v>
      </c>
      <c r="CS279" s="312" t="s">
        <v>2870</v>
      </c>
      <c r="CT279" s="240" t="s">
        <v>2870</v>
      </c>
      <c r="CU279" s="240">
        <v>1510</v>
      </c>
      <c r="CV279" s="240">
        <v>1510</v>
      </c>
      <c r="CW279" s="240">
        <v>1510</v>
      </c>
      <c r="DD279" s="309" t="s">
        <v>2873</v>
      </c>
      <c r="DE279" s="239" t="s">
        <v>2860</v>
      </c>
      <c r="DF279" s="239" t="s">
        <v>2874</v>
      </c>
      <c r="DG279" s="312" t="s">
        <v>2870</v>
      </c>
      <c r="DH279" s="240" t="s">
        <v>2870</v>
      </c>
      <c r="DI279" s="240">
        <v>5800</v>
      </c>
      <c r="DJ279" s="240">
        <v>5800</v>
      </c>
      <c r="DK279" s="240">
        <v>5800</v>
      </c>
    </row>
    <row r="280" spans="2:118" ht="15.5" thickTop="1" thickBot="1">
      <c r="B280" s="328" t="s">
        <v>2873</v>
      </c>
      <c r="C280" s="233" t="s">
        <v>2860</v>
      </c>
      <c r="D280" s="233" t="s">
        <v>2874</v>
      </c>
      <c r="E280" s="256">
        <v>1090</v>
      </c>
      <c r="F280" s="257">
        <v>1090</v>
      </c>
      <c r="G280" s="257">
        <v>1090</v>
      </c>
      <c r="H280" s="257">
        <v>1090</v>
      </c>
      <c r="I280" s="257">
        <v>1090</v>
      </c>
      <c r="CP280" s="310"/>
      <c r="CQ280" s="258" t="s">
        <v>2861</v>
      </c>
      <c r="CR280" s="258" t="s">
        <v>2874</v>
      </c>
      <c r="CS280" s="313"/>
      <c r="CT280" s="259" t="s">
        <v>2870</v>
      </c>
      <c r="CU280" s="259">
        <v>1390</v>
      </c>
      <c r="CV280" s="259">
        <v>1310</v>
      </c>
      <c r="CW280" s="259">
        <v>1280</v>
      </c>
      <c r="DD280" s="310"/>
      <c r="DE280" s="258" t="s">
        <v>2861</v>
      </c>
      <c r="DF280" s="258" t="s">
        <v>2874</v>
      </c>
      <c r="DG280" s="313"/>
      <c r="DH280" s="259" t="s">
        <v>2870</v>
      </c>
      <c r="DI280" s="259">
        <v>5380</v>
      </c>
      <c r="DJ280" s="259">
        <v>4310</v>
      </c>
      <c r="DK280" s="259">
        <v>3840</v>
      </c>
    </row>
    <row r="281" spans="2:118" ht="15.5" thickTop="1" thickBot="1">
      <c r="B281" s="329"/>
      <c r="C281" s="237" t="s">
        <v>2861</v>
      </c>
      <c r="D281" s="237" t="s">
        <v>2874</v>
      </c>
      <c r="E281" s="256">
        <v>1090</v>
      </c>
      <c r="F281" s="255">
        <v>1090</v>
      </c>
      <c r="G281" s="255">
        <v>1090</v>
      </c>
      <c r="H281" s="255">
        <v>1080</v>
      </c>
      <c r="I281" s="255">
        <v>1080</v>
      </c>
      <c r="CP281" s="310"/>
      <c r="CQ281" s="239" t="s">
        <v>2875</v>
      </c>
      <c r="CR281" s="239" t="s">
        <v>2874</v>
      </c>
      <c r="CS281" s="313"/>
      <c r="CT281" s="240" t="s">
        <v>2870</v>
      </c>
      <c r="CU281" s="240">
        <v>1320</v>
      </c>
      <c r="CV281" s="240">
        <v>1190</v>
      </c>
      <c r="CW281" s="240">
        <v>1150</v>
      </c>
      <c r="DD281" s="310"/>
      <c r="DE281" s="239" t="s">
        <v>2875</v>
      </c>
      <c r="DF281" s="239" t="s">
        <v>2874</v>
      </c>
      <c r="DG281" s="313"/>
      <c r="DH281" s="240" t="s">
        <v>2870</v>
      </c>
      <c r="DI281" s="240">
        <v>5160</v>
      </c>
      <c r="DJ281" s="240">
        <v>3680</v>
      </c>
      <c r="DK281" s="240">
        <v>3070</v>
      </c>
    </row>
    <row r="282" spans="2:118" ht="15.5" thickTop="1" thickBot="1">
      <c r="B282" s="329"/>
      <c r="C282" s="233" t="s">
        <v>2862</v>
      </c>
      <c r="D282" s="233" t="s">
        <v>2874</v>
      </c>
      <c r="E282" s="256">
        <v>1090</v>
      </c>
      <c r="F282" s="257">
        <v>1090</v>
      </c>
      <c r="G282" s="257">
        <v>1090</v>
      </c>
      <c r="H282" s="257">
        <v>1090</v>
      </c>
      <c r="I282" s="257">
        <v>1090</v>
      </c>
      <c r="CP282" s="311"/>
      <c r="CQ282" s="258" t="s">
        <v>2876</v>
      </c>
      <c r="CR282" s="258" t="s">
        <v>2874</v>
      </c>
      <c r="CS282" s="314"/>
      <c r="CT282" s="259" t="s">
        <v>2870</v>
      </c>
      <c r="CU282" s="259">
        <v>1510</v>
      </c>
      <c r="CV282" s="259">
        <v>1510</v>
      </c>
      <c r="CW282" s="259">
        <v>1510</v>
      </c>
      <c r="DD282" s="311"/>
      <c r="DE282" s="258" t="s">
        <v>2876</v>
      </c>
      <c r="DF282" s="258" t="s">
        <v>2874</v>
      </c>
      <c r="DG282" s="314"/>
      <c r="DH282" s="259" t="s">
        <v>2870</v>
      </c>
      <c r="DI282" s="259">
        <v>5800</v>
      </c>
      <c r="DJ282" s="259">
        <v>5800</v>
      </c>
      <c r="DK282" s="259">
        <v>5800</v>
      </c>
    </row>
    <row r="283" spans="2:118" ht="16.5" thickTop="1" thickBot="1">
      <c r="B283" s="329"/>
      <c r="C283" s="237" t="s">
        <v>2875</v>
      </c>
      <c r="D283" s="237" t="s">
        <v>2874</v>
      </c>
      <c r="E283" s="256">
        <v>1090</v>
      </c>
      <c r="F283" s="255">
        <v>1090</v>
      </c>
      <c r="G283" s="255">
        <v>1080</v>
      </c>
      <c r="H283" s="255">
        <v>1080</v>
      </c>
      <c r="I283" s="255">
        <v>1070</v>
      </c>
      <c r="CP283" s="260" t="s">
        <v>2877</v>
      </c>
      <c r="CQ283" s="239" t="s">
        <v>2870</v>
      </c>
      <c r="CR283" s="239" t="s">
        <v>2878</v>
      </c>
      <c r="CS283" s="261">
        <v>2.5000000000000001E-2</v>
      </c>
      <c r="CT283" s="261">
        <v>2.5000000000000001E-2</v>
      </c>
      <c r="CU283" s="261">
        <v>2.5000000000000001E-2</v>
      </c>
      <c r="CV283" s="261">
        <v>2.5000000000000001E-2</v>
      </c>
      <c r="CW283" s="261">
        <v>2.5000000000000001E-2</v>
      </c>
      <c r="DD283" s="260" t="s">
        <v>2877</v>
      </c>
      <c r="DE283" s="239" t="s">
        <v>2870</v>
      </c>
      <c r="DF283" s="239" t="s">
        <v>2878</v>
      </c>
      <c r="DG283" s="261">
        <v>2.3E-2</v>
      </c>
      <c r="DH283" s="261">
        <v>2.3E-2</v>
      </c>
      <c r="DI283" s="261">
        <v>2.3E-2</v>
      </c>
      <c r="DJ283" s="261">
        <v>2.3E-2</v>
      </c>
      <c r="DK283" s="261">
        <v>2.3E-2</v>
      </c>
    </row>
    <row r="284" spans="2:118" ht="15.5" thickTop="1" thickBot="1">
      <c r="B284" s="330"/>
      <c r="C284" s="233" t="s">
        <v>2876</v>
      </c>
      <c r="D284" s="233" t="s">
        <v>2874</v>
      </c>
      <c r="E284" s="256">
        <v>1090</v>
      </c>
      <c r="F284" s="257">
        <v>1090</v>
      </c>
      <c r="G284" s="257">
        <v>1090</v>
      </c>
      <c r="H284" s="257">
        <v>1090</v>
      </c>
      <c r="I284" s="257">
        <v>1090</v>
      </c>
    </row>
    <row r="285" spans="2:118" ht="16" thickBot="1">
      <c r="B285" s="254" t="s">
        <v>2877</v>
      </c>
      <c r="C285" s="237" t="s">
        <v>2870</v>
      </c>
      <c r="D285" s="237" t="s">
        <v>2878</v>
      </c>
      <c r="E285" s="262">
        <v>5.0000000000000001E-3</v>
      </c>
      <c r="F285" s="262">
        <v>5.0000000000000001E-3</v>
      </c>
      <c r="G285" s="262">
        <v>5.0000000000000001E-3</v>
      </c>
      <c r="H285" s="262">
        <v>5.0000000000000001E-3</v>
      </c>
      <c r="I285" s="262">
        <v>5.0000000000000001E-3</v>
      </c>
    </row>
    <row r="288" spans="2:118" ht="15" thickBot="1">
      <c r="B288" s="156" t="s">
        <v>2914</v>
      </c>
    </row>
    <row r="289" spans="1:9" ht="15" thickBot="1">
      <c r="B289" s="326"/>
      <c r="C289" s="327"/>
      <c r="D289" s="231" t="s">
        <v>0</v>
      </c>
      <c r="E289" s="232">
        <v>2015</v>
      </c>
      <c r="F289" s="232">
        <v>2020</v>
      </c>
      <c r="G289" s="232">
        <v>2030</v>
      </c>
      <c r="H289" s="232">
        <v>2040</v>
      </c>
      <c r="I289" s="232">
        <v>2050</v>
      </c>
    </row>
    <row r="290" spans="1:9" ht="15.5" thickTop="1" thickBot="1">
      <c r="B290" s="328" t="s">
        <v>2873</v>
      </c>
      <c r="C290" s="233" t="s">
        <v>2860</v>
      </c>
      <c r="D290" s="233" t="s">
        <v>2874</v>
      </c>
      <c r="E290" s="256">
        <v>3500</v>
      </c>
      <c r="F290" s="257">
        <v>3500</v>
      </c>
      <c r="G290" s="257">
        <v>3490</v>
      </c>
      <c r="H290" s="257">
        <v>3490</v>
      </c>
      <c r="I290" s="257">
        <v>3480</v>
      </c>
    </row>
    <row r="291" spans="1:9" ht="15.5" thickTop="1" thickBot="1">
      <c r="A291" t="s">
        <v>2773</v>
      </c>
      <c r="B291" s="329"/>
      <c r="C291" s="237" t="s">
        <v>2861</v>
      </c>
      <c r="D291" s="237" t="s">
        <v>2874</v>
      </c>
      <c r="E291" s="256">
        <v>3500</v>
      </c>
      <c r="F291" s="255">
        <v>3500</v>
      </c>
      <c r="G291" s="255">
        <v>3490</v>
      </c>
      <c r="H291" s="255">
        <v>3480</v>
      </c>
      <c r="I291" s="255">
        <v>3470</v>
      </c>
    </row>
    <row r="292" spans="1:9" ht="15.5" thickTop="1" thickBot="1">
      <c r="B292" s="329"/>
      <c r="C292" s="233" t="s">
        <v>2862</v>
      </c>
      <c r="D292" s="233" t="s">
        <v>2874</v>
      </c>
      <c r="E292" s="256">
        <v>3500</v>
      </c>
      <c r="F292" s="257">
        <v>3500</v>
      </c>
      <c r="G292" s="257">
        <v>3490</v>
      </c>
      <c r="H292" s="257">
        <v>3490</v>
      </c>
      <c r="I292" s="257">
        <v>3490</v>
      </c>
    </row>
    <row r="293" spans="1:9" ht="15.5" thickTop="1" thickBot="1">
      <c r="B293" s="329"/>
      <c r="C293" s="237" t="s">
        <v>2875</v>
      </c>
      <c r="D293" s="237" t="s">
        <v>2874</v>
      </c>
      <c r="E293" s="256">
        <v>3500</v>
      </c>
      <c r="F293" s="255">
        <v>3490</v>
      </c>
      <c r="G293" s="255">
        <v>3470</v>
      </c>
      <c r="H293" s="255">
        <v>3460</v>
      </c>
      <c r="I293" s="255">
        <v>3440</v>
      </c>
    </row>
    <row r="294" spans="1:9" ht="15.5" thickTop="1" thickBot="1">
      <c r="B294" s="330"/>
      <c r="C294" s="233" t="s">
        <v>2876</v>
      </c>
      <c r="D294" s="233" t="s">
        <v>2874</v>
      </c>
      <c r="E294" s="256">
        <v>3500</v>
      </c>
      <c r="F294" s="257">
        <v>3500</v>
      </c>
      <c r="G294" s="257">
        <v>3500</v>
      </c>
      <c r="H294" s="257">
        <v>3500</v>
      </c>
      <c r="I294" s="257">
        <v>3500</v>
      </c>
    </row>
    <row r="295" spans="1:9" ht="16" thickBot="1">
      <c r="B295" s="254" t="s">
        <v>2877</v>
      </c>
      <c r="C295" s="237" t="s">
        <v>2870</v>
      </c>
      <c r="D295" s="237" t="s">
        <v>2878</v>
      </c>
      <c r="E295" s="262">
        <v>5.0000000000000001E-3</v>
      </c>
      <c r="F295" s="262">
        <v>5.0000000000000001E-3</v>
      </c>
      <c r="G295" s="262">
        <v>5.0000000000000001E-3</v>
      </c>
      <c r="H295" s="262">
        <v>5.0000000000000001E-3</v>
      </c>
      <c r="I295" s="262">
        <v>5.0000000000000001E-3</v>
      </c>
    </row>
    <row r="298" spans="1:9" ht="15" thickBot="1">
      <c r="B298" s="156" t="s">
        <v>2915</v>
      </c>
    </row>
    <row r="299" spans="1:9" ht="15" thickBot="1">
      <c r="B299" s="326"/>
      <c r="C299" s="327"/>
      <c r="D299" s="231" t="s">
        <v>0</v>
      </c>
      <c r="E299" s="232">
        <v>2015</v>
      </c>
      <c r="F299" s="232">
        <v>2020</v>
      </c>
      <c r="G299" s="232">
        <v>2030</v>
      </c>
      <c r="H299" s="232">
        <v>2040</v>
      </c>
      <c r="I299" s="232">
        <v>2050</v>
      </c>
    </row>
    <row r="300" spans="1:9" ht="15.5" thickTop="1" thickBot="1">
      <c r="B300" s="328" t="s">
        <v>2873</v>
      </c>
      <c r="C300" s="233" t="s">
        <v>2860</v>
      </c>
      <c r="D300" s="233" t="s">
        <v>2874</v>
      </c>
      <c r="E300" s="256">
        <v>1410</v>
      </c>
      <c r="F300" s="257">
        <v>1410</v>
      </c>
      <c r="G300" s="257">
        <v>1410</v>
      </c>
      <c r="H300" s="257">
        <v>1410</v>
      </c>
      <c r="I300" s="257">
        <v>1400</v>
      </c>
    </row>
    <row r="301" spans="1:9" ht="15.5" thickTop="1" thickBot="1">
      <c r="B301" s="329"/>
      <c r="C301" s="237" t="s">
        <v>2861</v>
      </c>
      <c r="D301" s="237" t="s">
        <v>2874</v>
      </c>
      <c r="E301" s="256">
        <v>1410</v>
      </c>
      <c r="F301" s="255">
        <v>1410</v>
      </c>
      <c r="G301" s="255">
        <v>1400</v>
      </c>
      <c r="H301" s="255">
        <v>1400</v>
      </c>
      <c r="I301" s="255">
        <v>1400</v>
      </c>
    </row>
    <row r="302" spans="1:9" ht="15.5" thickTop="1" thickBot="1">
      <c r="B302" s="329"/>
      <c r="C302" s="233" t="s">
        <v>2862</v>
      </c>
      <c r="D302" s="233" t="s">
        <v>2874</v>
      </c>
      <c r="E302" s="256">
        <v>1410</v>
      </c>
      <c r="F302" s="257">
        <v>1410</v>
      </c>
      <c r="G302" s="257">
        <v>1410</v>
      </c>
      <c r="H302" s="257">
        <v>1410</v>
      </c>
      <c r="I302" s="257">
        <v>1410</v>
      </c>
    </row>
    <row r="303" spans="1:9" ht="15.5" thickTop="1" thickBot="1">
      <c r="B303" s="329"/>
      <c r="C303" s="237" t="s">
        <v>2875</v>
      </c>
      <c r="D303" s="237" t="s">
        <v>2874</v>
      </c>
      <c r="E303" s="256">
        <v>1410</v>
      </c>
      <c r="F303" s="255">
        <v>1410</v>
      </c>
      <c r="G303" s="255">
        <v>1400</v>
      </c>
      <c r="H303" s="255">
        <v>1390</v>
      </c>
      <c r="I303" s="255">
        <v>1390</v>
      </c>
    </row>
    <row r="304" spans="1:9" ht="15.5" thickTop="1" thickBot="1">
      <c r="B304" s="330"/>
      <c r="C304" s="233" t="s">
        <v>2876</v>
      </c>
      <c r="D304" s="233" t="s">
        <v>2874</v>
      </c>
      <c r="E304" s="256">
        <v>1410</v>
      </c>
      <c r="F304" s="257">
        <v>1410</v>
      </c>
      <c r="G304" s="257">
        <v>1410</v>
      </c>
      <c r="H304" s="257">
        <v>1410</v>
      </c>
      <c r="I304" s="257">
        <v>1410</v>
      </c>
    </row>
    <row r="305" spans="1:9" ht="16" thickBot="1">
      <c r="B305" s="254" t="s">
        <v>2877</v>
      </c>
      <c r="C305" s="237" t="s">
        <v>2870</v>
      </c>
      <c r="D305" s="237" t="s">
        <v>2878</v>
      </c>
      <c r="E305" s="262">
        <v>5.0000000000000001E-3</v>
      </c>
      <c r="F305" s="262">
        <v>5.0000000000000001E-3</v>
      </c>
      <c r="G305" s="262">
        <v>5.0000000000000001E-3</v>
      </c>
      <c r="H305" s="262">
        <v>5.0000000000000001E-3</v>
      </c>
      <c r="I305" s="262">
        <v>5.0000000000000001E-3</v>
      </c>
    </row>
    <row r="308" spans="1:9" ht="15" thickBot="1">
      <c r="B308" s="156" t="s">
        <v>2916</v>
      </c>
    </row>
    <row r="309" spans="1:9" ht="15" thickBot="1">
      <c r="B309" s="326"/>
      <c r="C309" s="327"/>
      <c r="D309" s="231" t="s">
        <v>0</v>
      </c>
      <c r="E309" s="232">
        <v>2015</v>
      </c>
      <c r="F309" s="232">
        <v>2020</v>
      </c>
      <c r="G309" s="232">
        <v>2030</v>
      </c>
      <c r="H309" s="232">
        <v>2040</v>
      </c>
      <c r="I309" s="232">
        <v>2050</v>
      </c>
    </row>
    <row r="310" spans="1:9" ht="15.5" thickTop="1" thickBot="1">
      <c r="B310" s="328" t="s">
        <v>2873</v>
      </c>
      <c r="C310" s="233" t="s">
        <v>2860</v>
      </c>
      <c r="D310" s="233" t="s">
        <v>2874</v>
      </c>
      <c r="E310" s="256">
        <v>4000</v>
      </c>
      <c r="F310" s="257">
        <v>4000</v>
      </c>
      <c r="G310" s="257">
        <v>3990</v>
      </c>
      <c r="H310" s="257">
        <v>3990</v>
      </c>
      <c r="I310" s="257">
        <v>3980</v>
      </c>
    </row>
    <row r="311" spans="1:9" ht="15.5" thickTop="1" thickBot="1">
      <c r="A311" t="s">
        <v>2774</v>
      </c>
      <c r="B311" s="329"/>
      <c r="C311" s="237" t="s">
        <v>2861</v>
      </c>
      <c r="D311" s="237" t="s">
        <v>2874</v>
      </c>
      <c r="E311" s="256">
        <v>4000</v>
      </c>
      <c r="F311" s="255">
        <v>4000</v>
      </c>
      <c r="G311" s="255">
        <v>3980</v>
      </c>
      <c r="H311" s="255">
        <v>3970</v>
      </c>
      <c r="I311" s="255">
        <v>3970</v>
      </c>
    </row>
    <row r="312" spans="1:9" ht="15.5" thickTop="1" thickBot="1">
      <c r="B312" s="329"/>
      <c r="C312" s="233" t="s">
        <v>2862</v>
      </c>
      <c r="D312" s="233" t="s">
        <v>2874</v>
      </c>
      <c r="E312" s="256">
        <v>4000</v>
      </c>
      <c r="F312" s="257">
        <v>4000</v>
      </c>
      <c r="G312" s="257">
        <v>3990</v>
      </c>
      <c r="H312" s="257">
        <v>3990</v>
      </c>
      <c r="I312" s="257">
        <v>3990</v>
      </c>
    </row>
    <row r="313" spans="1:9" ht="15.5" thickTop="1" thickBot="1">
      <c r="B313" s="329"/>
      <c r="C313" s="237" t="s">
        <v>2875</v>
      </c>
      <c r="D313" s="237" t="s">
        <v>2874</v>
      </c>
      <c r="E313" s="256">
        <v>4000</v>
      </c>
      <c r="F313" s="255">
        <v>3990</v>
      </c>
      <c r="G313" s="255">
        <v>3970</v>
      </c>
      <c r="H313" s="255">
        <v>3950</v>
      </c>
      <c r="I313" s="255">
        <v>3930</v>
      </c>
    </row>
    <row r="314" spans="1:9" ht="15.5" thickTop="1" thickBot="1">
      <c r="B314" s="330"/>
      <c r="C314" s="233" t="s">
        <v>2876</v>
      </c>
      <c r="D314" s="233" t="s">
        <v>2874</v>
      </c>
      <c r="E314" s="256">
        <v>4000</v>
      </c>
      <c r="F314" s="257">
        <v>4000</v>
      </c>
      <c r="G314" s="257">
        <v>4000</v>
      </c>
      <c r="H314" s="257">
        <v>4000</v>
      </c>
      <c r="I314" s="257">
        <v>4000</v>
      </c>
    </row>
    <row r="315" spans="1:9" ht="16" thickBot="1">
      <c r="B315" s="254" t="s">
        <v>2877</v>
      </c>
      <c r="C315" s="237" t="s">
        <v>2870</v>
      </c>
      <c r="D315" s="237" t="s">
        <v>2878</v>
      </c>
      <c r="E315" s="262">
        <v>5.0000000000000001E-3</v>
      </c>
      <c r="F315" s="262">
        <v>5.0000000000000001E-3</v>
      </c>
      <c r="G315" s="262">
        <v>5.0000000000000001E-3</v>
      </c>
      <c r="H315" s="262">
        <v>5.0000000000000001E-3</v>
      </c>
      <c r="I315" s="262">
        <v>5.0000000000000001E-3</v>
      </c>
    </row>
    <row r="318" spans="1:9" ht="15" thickBot="1">
      <c r="B318" s="156" t="s">
        <v>2917</v>
      </c>
    </row>
    <row r="319" spans="1:9" ht="15" thickBot="1">
      <c r="B319" s="326"/>
      <c r="C319" s="327"/>
      <c r="D319" s="231" t="s">
        <v>0</v>
      </c>
      <c r="E319" s="232">
        <v>2015</v>
      </c>
      <c r="F319" s="232">
        <v>2020</v>
      </c>
      <c r="G319" s="232">
        <v>2030</v>
      </c>
      <c r="H319" s="232">
        <v>2040</v>
      </c>
      <c r="I319" s="232">
        <v>2050</v>
      </c>
    </row>
    <row r="320" spans="1:9" ht="15.5" thickTop="1" thickBot="1">
      <c r="B320" s="328" t="s">
        <v>2873</v>
      </c>
      <c r="C320" s="233" t="s">
        <v>2860</v>
      </c>
      <c r="D320" s="233" t="s">
        <v>2874</v>
      </c>
      <c r="E320" s="256">
        <v>1740</v>
      </c>
      <c r="F320" s="257">
        <v>1740</v>
      </c>
      <c r="G320" s="257">
        <v>1740</v>
      </c>
      <c r="H320" s="257">
        <v>1730</v>
      </c>
      <c r="I320" s="257">
        <v>1730</v>
      </c>
    </row>
    <row r="321" spans="1:9" ht="15.5" thickTop="1" thickBot="1">
      <c r="B321" s="329"/>
      <c r="C321" s="237" t="s">
        <v>2861</v>
      </c>
      <c r="D321" s="237" t="s">
        <v>2874</v>
      </c>
      <c r="E321" s="256">
        <v>1740</v>
      </c>
      <c r="F321" s="255">
        <v>1740</v>
      </c>
      <c r="G321" s="255">
        <v>1730</v>
      </c>
      <c r="H321" s="255">
        <v>1730</v>
      </c>
      <c r="I321" s="255">
        <v>1730</v>
      </c>
    </row>
    <row r="322" spans="1:9" ht="15.5" thickTop="1" thickBot="1">
      <c r="B322" s="329"/>
      <c r="C322" s="233" t="s">
        <v>2862</v>
      </c>
      <c r="D322" s="233" t="s">
        <v>2874</v>
      </c>
      <c r="E322" s="256">
        <v>1740</v>
      </c>
      <c r="F322" s="257">
        <v>1740</v>
      </c>
      <c r="G322" s="257">
        <v>1740</v>
      </c>
      <c r="H322" s="257">
        <v>1740</v>
      </c>
      <c r="I322" s="257">
        <v>1730</v>
      </c>
    </row>
    <row r="323" spans="1:9" ht="15.5" thickTop="1" thickBot="1">
      <c r="B323" s="329"/>
      <c r="C323" s="237" t="s">
        <v>2875</v>
      </c>
      <c r="D323" s="237" t="s">
        <v>2874</v>
      </c>
      <c r="E323" s="256">
        <v>1740</v>
      </c>
      <c r="F323" s="255">
        <v>1740</v>
      </c>
      <c r="G323" s="255">
        <v>1730</v>
      </c>
      <c r="H323" s="255">
        <v>1720</v>
      </c>
      <c r="I323" s="255">
        <v>1710</v>
      </c>
    </row>
    <row r="324" spans="1:9" ht="15.5" thickTop="1" thickBot="1">
      <c r="B324" s="330"/>
      <c r="C324" s="233" t="s">
        <v>2876</v>
      </c>
      <c r="D324" s="233" t="s">
        <v>2874</v>
      </c>
      <c r="E324" s="256">
        <v>1740</v>
      </c>
      <c r="F324" s="257">
        <v>1740</v>
      </c>
      <c r="G324" s="257">
        <v>1740</v>
      </c>
      <c r="H324" s="257">
        <v>1740</v>
      </c>
      <c r="I324" s="257">
        <v>1740</v>
      </c>
    </row>
    <row r="325" spans="1:9" ht="16" thickBot="1">
      <c r="B325" s="254" t="s">
        <v>2877</v>
      </c>
      <c r="C325" s="237" t="s">
        <v>2870</v>
      </c>
      <c r="D325" s="237" t="s">
        <v>2878</v>
      </c>
      <c r="E325" s="252">
        <v>0.01</v>
      </c>
      <c r="F325" s="252">
        <v>0.01</v>
      </c>
      <c r="G325" s="252">
        <v>0.01</v>
      </c>
      <c r="H325" s="252">
        <v>0.01</v>
      </c>
      <c r="I325" s="252">
        <v>0.01</v>
      </c>
    </row>
    <row r="328" spans="1:9" ht="15" thickBot="1">
      <c r="B328" s="156" t="s">
        <v>2918</v>
      </c>
    </row>
    <row r="329" spans="1:9" ht="15" thickBot="1">
      <c r="B329" s="326"/>
      <c r="C329" s="327"/>
      <c r="D329" s="231" t="s">
        <v>0</v>
      </c>
      <c r="E329" s="232">
        <v>2015</v>
      </c>
      <c r="F329" s="232">
        <v>2020</v>
      </c>
      <c r="G329" s="232">
        <v>2030</v>
      </c>
      <c r="H329" s="232">
        <v>2040</v>
      </c>
      <c r="I329" s="232">
        <v>2050</v>
      </c>
    </row>
    <row r="330" spans="1:9" ht="15.5" thickTop="1" thickBot="1">
      <c r="B330" s="328" t="s">
        <v>2873</v>
      </c>
      <c r="C330" s="233" t="s">
        <v>2860</v>
      </c>
      <c r="D330" s="233" t="s">
        <v>2874</v>
      </c>
      <c r="E330" s="256">
        <v>5000</v>
      </c>
      <c r="F330" s="257">
        <v>5000</v>
      </c>
      <c r="G330" s="257">
        <v>4990</v>
      </c>
      <c r="H330" s="257">
        <v>4980</v>
      </c>
      <c r="I330" s="257">
        <v>4980</v>
      </c>
    </row>
    <row r="331" spans="1:9" ht="15.5" thickTop="1" thickBot="1">
      <c r="A331" t="s">
        <v>2775</v>
      </c>
      <c r="B331" s="329"/>
      <c r="C331" s="237" t="s">
        <v>2861</v>
      </c>
      <c r="D331" s="237" t="s">
        <v>2874</v>
      </c>
      <c r="E331" s="256">
        <v>5000</v>
      </c>
      <c r="F331" s="255">
        <v>5000</v>
      </c>
      <c r="G331" s="255">
        <v>4980</v>
      </c>
      <c r="H331" s="255">
        <v>4970</v>
      </c>
      <c r="I331" s="255">
        <v>4960</v>
      </c>
    </row>
    <row r="332" spans="1:9" ht="15.5" thickTop="1" thickBot="1">
      <c r="B332" s="329"/>
      <c r="C332" s="233" t="s">
        <v>2862</v>
      </c>
      <c r="D332" s="233" t="s">
        <v>2874</v>
      </c>
      <c r="E332" s="256">
        <v>5000</v>
      </c>
      <c r="F332" s="257">
        <v>4990</v>
      </c>
      <c r="G332" s="257">
        <v>4990</v>
      </c>
      <c r="H332" s="257">
        <v>4990</v>
      </c>
      <c r="I332" s="257">
        <v>4980</v>
      </c>
    </row>
    <row r="333" spans="1:9" ht="15.5" thickTop="1" thickBot="1">
      <c r="B333" s="329"/>
      <c r="C333" s="237" t="s">
        <v>2875</v>
      </c>
      <c r="D333" s="237" t="s">
        <v>2874</v>
      </c>
      <c r="E333" s="256">
        <v>5000</v>
      </c>
      <c r="F333" s="255">
        <v>4990</v>
      </c>
      <c r="G333" s="255">
        <v>4960</v>
      </c>
      <c r="H333" s="255">
        <v>4940</v>
      </c>
      <c r="I333" s="255">
        <v>4910</v>
      </c>
    </row>
    <row r="334" spans="1:9" ht="15.5" thickTop="1" thickBot="1">
      <c r="B334" s="330"/>
      <c r="C334" s="233" t="s">
        <v>2876</v>
      </c>
      <c r="D334" s="233" t="s">
        <v>2874</v>
      </c>
      <c r="E334" s="256">
        <v>5000</v>
      </c>
      <c r="F334" s="257">
        <v>5000</v>
      </c>
      <c r="G334" s="257">
        <v>5000</v>
      </c>
      <c r="H334" s="257">
        <v>5000</v>
      </c>
      <c r="I334" s="257">
        <v>5000</v>
      </c>
    </row>
    <row r="335" spans="1:9" ht="16" thickBot="1">
      <c r="B335" s="254" t="s">
        <v>2877</v>
      </c>
      <c r="C335" s="237" t="s">
        <v>2870</v>
      </c>
      <c r="D335" s="237" t="s">
        <v>2878</v>
      </c>
      <c r="E335" s="252">
        <v>0.01</v>
      </c>
      <c r="F335" s="252">
        <v>0.01</v>
      </c>
      <c r="G335" s="252">
        <v>0.01</v>
      </c>
      <c r="H335" s="252">
        <v>0.01</v>
      </c>
      <c r="I335" s="252">
        <v>0.01</v>
      </c>
    </row>
    <row r="338" spans="1:12" ht="15" thickBot="1">
      <c r="B338" s="156" t="s">
        <v>2919</v>
      </c>
    </row>
    <row r="339" spans="1:12" ht="15" thickBot="1">
      <c r="B339" s="326"/>
      <c r="C339" s="327"/>
      <c r="D339" s="231" t="s">
        <v>0</v>
      </c>
      <c r="E339" s="232">
        <v>2015</v>
      </c>
      <c r="F339" s="232">
        <v>2020</v>
      </c>
      <c r="G339" s="232">
        <v>2030</v>
      </c>
      <c r="H339" s="232">
        <v>2040</v>
      </c>
      <c r="I339" s="232">
        <v>2050</v>
      </c>
    </row>
    <row r="340" spans="1:12" ht="15.5" thickTop="1" thickBot="1">
      <c r="B340" s="328" t="s">
        <v>2873</v>
      </c>
      <c r="C340" s="233" t="s">
        <v>2860</v>
      </c>
      <c r="D340" s="233" t="s">
        <v>2874</v>
      </c>
      <c r="E340" s="256">
        <v>3000</v>
      </c>
      <c r="F340" s="257">
        <v>3000</v>
      </c>
      <c r="G340" s="257">
        <v>2990</v>
      </c>
      <c r="H340" s="257">
        <v>2990</v>
      </c>
      <c r="I340" s="257">
        <v>2990</v>
      </c>
    </row>
    <row r="341" spans="1:12" ht="15.5" thickTop="1" thickBot="1">
      <c r="A341" t="s">
        <v>2776</v>
      </c>
      <c r="B341" s="329"/>
      <c r="C341" s="237" t="s">
        <v>2861</v>
      </c>
      <c r="D341" s="237" t="s">
        <v>2874</v>
      </c>
      <c r="E341" s="256">
        <v>3000</v>
      </c>
      <c r="F341" s="255">
        <v>3000</v>
      </c>
      <c r="G341" s="255">
        <v>2990</v>
      </c>
      <c r="H341" s="255">
        <v>2980</v>
      </c>
      <c r="I341" s="255">
        <v>2970</v>
      </c>
    </row>
    <row r="342" spans="1:12" ht="15.5" thickTop="1" thickBot="1">
      <c r="B342" s="329"/>
      <c r="C342" s="233" t="s">
        <v>2862</v>
      </c>
      <c r="D342" s="233" t="s">
        <v>2874</v>
      </c>
      <c r="E342" s="256">
        <v>3000</v>
      </c>
      <c r="F342" s="257">
        <v>3000</v>
      </c>
      <c r="G342" s="257">
        <v>2990</v>
      </c>
      <c r="H342" s="257">
        <v>2990</v>
      </c>
      <c r="I342" s="257">
        <v>2990</v>
      </c>
    </row>
    <row r="343" spans="1:12" ht="15.5" thickTop="1" thickBot="1">
      <c r="B343" s="329"/>
      <c r="C343" s="237" t="s">
        <v>2875</v>
      </c>
      <c r="D343" s="237" t="s">
        <v>2874</v>
      </c>
      <c r="E343" s="256">
        <v>3000</v>
      </c>
      <c r="F343" s="255">
        <v>2990</v>
      </c>
      <c r="G343" s="255">
        <v>2980</v>
      </c>
      <c r="H343" s="255">
        <v>2960</v>
      </c>
      <c r="I343" s="255">
        <v>2950</v>
      </c>
    </row>
    <row r="344" spans="1:12" ht="15.5" thickTop="1" thickBot="1">
      <c r="B344" s="330"/>
      <c r="C344" s="233" t="s">
        <v>2876</v>
      </c>
      <c r="D344" s="233" t="s">
        <v>2874</v>
      </c>
      <c r="E344" s="256">
        <v>3000</v>
      </c>
      <c r="F344" s="257">
        <v>3000</v>
      </c>
      <c r="G344" s="257">
        <v>3000</v>
      </c>
      <c r="H344" s="257">
        <v>3000</v>
      </c>
      <c r="I344" s="257">
        <v>3000</v>
      </c>
    </row>
    <row r="345" spans="1:12" ht="16" thickBot="1">
      <c r="B345" s="254" t="s">
        <v>2877</v>
      </c>
      <c r="C345" s="237" t="s">
        <v>2870</v>
      </c>
      <c r="D345" s="237" t="s">
        <v>2878</v>
      </c>
      <c r="E345" s="262">
        <v>5.0000000000000001E-3</v>
      </c>
      <c r="F345" s="262">
        <v>5.0000000000000001E-3</v>
      </c>
      <c r="G345" s="262">
        <v>5.0000000000000001E-3</v>
      </c>
      <c r="H345" s="262">
        <v>5.0000000000000001E-3</v>
      </c>
      <c r="I345" s="262">
        <v>5.0000000000000001E-3</v>
      </c>
    </row>
    <row r="346" spans="1:12">
      <c r="B346" s="263"/>
      <c r="C346" s="264"/>
      <c r="D346" s="264"/>
      <c r="E346" s="265"/>
      <c r="F346" s="265"/>
      <c r="G346" s="265"/>
      <c r="H346" s="265"/>
      <c r="I346" s="265"/>
    </row>
    <row r="347" spans="1:12" ht="21">
      <c r="B347" s="155" t="s">
        <v>2920</v>
      </c>
    </row>
    <row r="349" spans="1:12" ht="15" thickBot="1">
      <c r="B349" s="156" t="s">
        <v>2921</v>
      </c>
    </row>
    <row r="350" spans="1:12" ht="15" thickBot="1">
      <c r="B350" s="321"/>
      <c r="C350" s="322"/>
      <c r="D350" s="266" t="s">
        <v>0</v>
      </c>
      <c r="E350" s="267">
        <v>2015</v>
      </c>
      <c r="F350" s="267">
        <v>2020</v>
      </c>
      <c r="G350" s="267">
        <v>2025</v>
      </c>
      <c r="H350" s="267">
        <v>2030</v>
      </c>
      <c r="I350" s="267">
        <v>2035</v>
      </c>
      <c r="J350" s="267">
        <v>2040</v>
      </c>
      <c r="K350" s="267">
        <v>2045</v>
      </c>
      <c r="L350" s="267">
        <v>2050</v>
      </c>
    </row>
    <row r="351" spans="1:12" ht="15.5" thickTop="1" thickBot="1">
      <c r="B351" s="323" t="s">
        <v>2859</v>
      </c>
      <c r="C351" s="268" t="s">
        <v>2860</v>
      </c>
      <c r="D351" s="268" t="s">
        <v>2</v>
      </c>
      <c r="E351" s="269">
        <v>84.02219999999997</v>
      </c>
      <c r="F351" s="269">
        <v>182.07865346709875</v>
      </c>
      <c r="G351" s="269">
        <v>204.22581608866022</v>
      </c>
      <c r="H351" s="269">
        <v>226.3729787102217</v>
      </c>
      <c r="I351" s="269">
        <v>250.49807617701833</v>
      </c>
      <c r="J351" s="269">
        <v>274.62317364381499</v>
      </c>
      <c r="K351" s="269">
        <v>312.42534528704419</v>
      </c>
      <c r="L351" s="269">
        <v>350.2275169302734</v>
      </c>
    </row>
    <row r="352" spans="1:12" ht="15" thickBot="1">
      <c r="B352" s="324"/>
      <c r="C352" s="204" t="s">
        <v>2861</v>
      </c>
      <c r="D352" s="204" t="s">
        <v>2</v>
      </c>
      <c r="E352" s="205">
        <v>84.02219999999997</v>
      </c>
      <c r="F352" s="205">
        <v>245</v>
      </c>
      <c r="G352" s="205">
        <v>326.5</v>
      </c>
      <c r="H352" s="205">
        <v>408</v>
      </c>
      <c r="I352" s="205">
        <v>557.5</v>
      </c>
      <c r="J352" s="205">
        <v>707</v>
      </c>
      <c r="K352" s="205">
        <v>916.5</v>
      </c>
      <c r="L352" s="205">
        <v>1126</v>
      </c>
    </row>
    <row r="353" spans="2:12" ht="15" thickBot="1">
      <c r="B353" s="325"/>
      <c r="C353" s="268" t="s">
        <v>2862</v>
      </c>
      <c r="D353" s="268" t="s">
        <v>2</v>
      </c>
      <c r="E353" s="269">
        <v>84.02219999999997</v>
      </c>
      <c r="F353" s="269">
        <v>193.85786056313</v>
      </c>
      <c r="G353" s="269">
        <v>293.11203895035652</v>
      </c>
      <c r="H353" s="269">
        <v>392.36621733758301</v>
      </c>
      <c r="I353" s="269">
        <v>475.28602987480349</v>
      </c>
      <c r="J353" s="269">
        <v>558.20584241202403</v>
      </c>
      <c r="K353" s="269">
        <v>652.10212715625414</v>
      </c>
      <c r="L353" s="269">
        <v>745.99841190048426</v>
      </c>
    </row>
    <row r="354" spans="2:12" ht="15" thickBot="1">
      <c r="B354" s="331" t="s">
        <v>2863</v>
      </c>
      <c r="C354" s="204" t="s">
        <v>2860</v>
      </c>
      <c r="D354" s="204" t="s">
        <v>2864</v>
      </c>
      <c r="E354" s="205">
        <v>5.0338999999999929</v>
      </c>
      <c r="F354" s="205">
        <v>19.611290693419754</v>
      </c>
      <c r="G354" s="205">
        <v>11.326699905595138</v>
      </c>
      <c r="H354" s="205">
        <v>5.4271251430294569</v>
      </c>
      <c r="I354" s="205">
        <v>6.8788031212497405</v>
      </c>
      <c r="J354" s="205">
        <v>11.680715865468908</v>
      </c>
      <c r="K354" s="205">
        <v>26.792784665688043</v>
      </c>
      <c r="L354" s="205">
        <v>19.26607459061853</v>
      </c>
    </row>
    <row r="355" spans="2:12" ht="15" thickBot="1">
      <c r="B355" s="324"/>
      <c r="C355" s="268" t="s">
        <v>2861</v>
      </c>
      <c r="D355" s="268" t="s">
        <v>2864</v>
      </c>
      <c r="E355" s="269">
        <v>5.0338999999999929</v>
      </c>
      <c r="F355" s="269">
        <v>32.195560000000008</v>
      </c>
      <c r="G355" s="269">
        <v>25.000999999999998</v>
      </c>
      <c r="H355" s="269">
        <v>15.493960000000005</v>
      </c>
      <c r="I355" s="269">
        <v>29.075580000000002</v>
      </c>
      <c r="J355" s="269">
        <v>39.633899999999997</v>
      </c>
      <c r="K355" s="269">
        <v>78.995559999999998</v>
      </c>
      <c r="L355" s="269">
        <v>62.000999999999998</v>
      </c>
    </row>
    <row r="356" spans="2:12" ht="15" thickBot="1">
      <c r="B356" s="325"/>
      <c r="C356" s="204" t="s">
        <v>2862</v>
      </c>
      <c r="D356" s="204" t="s">
        <v>2864</v>
      </c>
      <c r="E356" s="205">
        <v>5.0338999999999929</v>
      </c>
      <c r="F356" s="205">
        <v>21.967132112626008</v>
      </c>
      <c r="G356" s="205">
        <v>24.002524655820327</v>
      </c>
      <c r="H356" s="205">
        <v>23.594106699070277</v>
      </c>
      <c r="I356" s="205">
        <v>19.753475676484641</v>
      </c>
      <c r="J356" s="205">
        <v>22.323929338403559</v>
      </c>
      <c r="K356" s="205">
        <v>42.435093802487359</v>
      </c>
      <c r="L356" s="205">
        <v>41.093076863651028</v>
      </c>
    </row>
    <row r="357" spans="2:12" ht="15" thickBot="1">
      <c r="B357" s="332" t="s">
        <v>2865</v>
      </c>
      <c r="C357" s="268" t="s">
        <v>2866</v>
      </c>
      <c r="D357" s="268" t="s">
        <v>2855</v>
      </c>
      <c r="E357" s="270">
        <v>0.05</v>
      </c>
      <c r="F357" s="270">
        <v>0.05</v>
      </c>
      <c r="G357" s="270">
        <v>0.05</v>
      </c>
      <c r="H357" s="270">
        <v>0.05</v>
      </c>
      <c r="I357" s="270">
        <v>0.05</v>
      </c>
      <c r="J357" s="270">
        <v>0.05</v>
      </c>
      <c r="K357" s="270">
        <v>0.05</v>
      </c>
      <c r="L357" s="270">
        <v>0.05</v>
      </c>
    </row>
    <row r="358" spans="2:12" ht="15" thickBot="1">
      <c r="B358" s="333"/>
      <c r="C358" s="204" t="s">
        <v>2867</v>
      </c>
      <c r="D358" s="204" t="s">
        <v>2855</v>
      </c>
      <c r="E358" s="209">
        <v>7.0000000000000007E-2</v>
      </c>
      <c r="F358" s="209">
        <v>7.0000000000000007E-2</v>
      </c>
      <c r="G358" s="209">
        <v>7.0000000000000007E-2</v>
      </c>
      <c r="H358" s="209">
        <v>7.0000000000000007E-2</v>
      </c>
      <c r="I358" s="209">
        <v>7.0000000000000007E-2</v>
      </c>
      <c r="J358" s="209">
        <v>7.0000000000000007E-2</v>
      </c>
      <c r="K358" s="209">
        <v>7.0000000000000007E-2</v>
      </c>
      <c r="L358" s="209">
        <v>7.0000000000000007E-2</v>
      </c>
    </row>
    <row r="359" spans="2:12" ht="15" thickBot="1">
      <c r="B359" s="334"/>
      <c r="C359" s="268" t="s">
        <v>2868</v>
      </c>
      <c r="D359" s="268" t="s">
        <v>2855</v>
      </c>
      <c r="E359" s="270">
        <v>0.02</v>
      </c>
      <c r="F359" s="270">
        <v>0.02</v>
      </c>
      <c r="G359" s="270">
        <v>0.02</v>
      </c>
      <c r="H359" s="270">
        <v>0.02</v>
      </c>
      <c r="I359" s="270">
        <v>0.02</v>
      </c>
      <c r="J359" s="270">
        <v>0.02</v>
      </c>
      <c r="K359" s="270">
        <v>0.02</v>
      </c>
      <c r="L359" s="270">
        <v>0.02</v>
      </c>
    </row>
    <row r="360" spans="2:12" ht="15" thickBot="1">
      <c r="B360" s="271" t="s">
        <v>2869</v>
      </c>
      <c r="C360" s="204" t="s">
        <v>2870</v>
      </c>
      <c r="D360" s="204" t="s">
        <v>2854</v>
      </c>
      <c r="E360" s="211">
        <v>25</v>
      </c>
      <c r="F360" s="211">
        <v>25</v>
      </c>
      <c r="G360" s="211">
        <v>25</v>
      </c>
      <c r="H360" s="211">
        <v>25</v>
      </c>
      <c r="I360" s="211">
        <v>25</v>
      </c>
      <c r="J360" s="211">
        <v>25</v>
      </c>
      <c r="K360" s="211">
        <v>25</v>
      </c>
      <c r="L360" s="211">
        <v>25</v>
      </c>
    </row>
    <row r="362" spans="2:12" ht="15" thickBot="1">
      <c r="B362" s="156" t="s">
        <v>2922</v>
      </c>
    </row>
    <row r="363" spans="2:12" ht="15" thickBot="1">
      <c r="B363" s="321"/>
      <c r="C363" s="322"/>
      <c r="D363" s="266" t="s">
        <v>0</v>
      </c>
      <c r="E363" s="267">
        <v>2015</v>
      </c>
      <c r="F363" s="267">
        <v>2020</v>
      </c>
      <c r="G363" s="267">
        <v>2030</v>
      </c>
      <c r="H363" s="267">
        <v>2040</v>
      </c>
      <c r="I363" s="267">
        <v>2050</v>
      </c>
    </row>
    <row r="364" spans="2:12" ht="15.5" thickTop="1" thickBot="1">
      <c r="B364" s="323" t="s">
        <v>2873</v>
      </c>
      <c r="C364" s="268" t="s">
        <v>2860</v>
      </c>
      <c r="D364" s="268" t="s">
        <v>2874</v>
      </c>
      <c r="E364" s="272">
        <v>3600</v>
      </c>
      <c r="F364" s="273">
        <v>3400</v>
      </c>
      <c r="G364" s="273">
        <v>3310</v>
      </c>
      <c r="H364" s="273">
        <v>3230</v>
      </c>
      <c r="I364" s="273">
        <v>3120</v>
      </c>
    </row>
    <row r="365" spans="2:12" ht="15.5" thickTop="1" thickBot="1">
      <c r="B365" s="324"/>
      <c r="C365" s="204" t="s">
        <v>2861</v>
      </c>
      <c r="D365" s="204" t="s">
        <v>2874</v>
      </c>
      <c r="E365" s="272">
        <v>3600</v>
      </c>
      <c r="F365" s="211">
        <v>3330</v>
      </c>
      <c r="G365" s="211">
        <v>3180</v>
      </c>
      <c r="H365" s="211">
        <v>3050</v>
      </c>
      <c r="I365" s="211">
        <v>2910</v>
      </c>
    </row>
    <row r="366" spans="2:12" ht="15.5" thickTop="1" thickBot="1">
      <c r="B366" s="324"/>
      <c r="C366" s="268" t="s">
        <v>2862</v>
      </c>
      <c r="D366" s="268" t="s">
        <v>2874</v>
      </c>
      <c r="E366" s="272">
        <v>3600</v>
      </c>
      <c r="F366" s="273">
        <v>3380</v>
      </c>
      <c r="G366" s="273">
        <v>3190</v>
      </c>
      <c r="H366" s="273">
        <v>3100</v>
      </c>
      <c r="I366" s="273">
        <v>2980</v>
      </c>
    </row>
    <row r="367" spans="2:12" ht="15.5" thickTop="1" thickBot="1">
      <c r="B367" s="324"/>
      <c r="C367" s="204" t="s">
        <v>2875</v>
      </c>
      <c r="D367" s="204" t="s">
        <v>2874</v>
      </c>
      <c r="E367" s="272">
        <v>3600</v>
      </c>
      <c r="F367" s="211">
        <v>3220</v>
      </c>
      <c r="G367" s="211">
        <v>3020</v>
      </c>
      <c r="H367" s="211">
        <v>2850</v>
      </c>
      <c r="I367" s="211">
        <v>2660</v>
      </c>
    </row>
    <row r="368" spans="2:12" ht="15.5" thickTop="1" thickBot="1">
      <c r="B368" s="325"/>
      <c r="C368" s="268" t="s">
        <v>2876</v>
      </c>
      <c r="D368" s="268" t="s">
        <v>2874</v>
      </c>
      <c r="E368" s="272">
        <v>3600</v>
      </c>
      <c r="F368" s="273">
        <v>3520</v>
      </c>
      <c r="G368" s="273">
        <v>3480</v>
      </c>
      <c r="H368" s="273">
        <v>3450</v>
      </c>
      <c r="I368" s="273">
        <v>3400</v>
      </c>
    </row>
    <row r="369" spans="2:9" ht="16" thickBot="1">
      <c r="B369" s="271" t="s">
        <v>2877</v>
      </c>
      <c r="C369" s="204" t="s">
        <v>2870</v>
      </c>
      <c r="D369" s="204" t="s">
        <v>2878</v>
      </c>
      <c r="E369" s="209">
        <v>0.02</v>
      </c>
      <c r="F369" s="209">
        <v>0.02</v>
      </c>
      <c r="G369" s="209">
        <v>0.02</v>
      </c>
      <c r="H369" s="209">
        <v>0.02</v>
      </c>
      <c r="I369" s="209">
        <v>0.02</v>
      </c>
    </row>
    <row r="372" spans="2:9" ht="15" thickBot="1">
      <c r="B372" s="156" t="s">
        <v>2923</v>
      </c>
    </row>
    <row r="373" spans="2:9" ht="15" thickBot="1">
      <c r="B373" s="321"/>
      <c r="C373" s="322"/>
      <c r="D373" s="266" t="s">
        <v>0</v>
      </c>
      <c r="E373" s="267">
        <v>2015</v>
      </c>
      <c r="F373" s="267">
        <v>2020</v>
      </c>
      <c r="G373" s="267">
        <v>2030</v>
      </c>
      <c r="H373" s="267">
        <v>2040</v>
      </c>
      <c r="I373" s="267">
        <v>2050</v>
      </c>
    </row>
    <row r="374" spans="2:9" ht="15.5" thickTop="1" thickBot="1">
      <c r="B374" s="323" t="s">
        <v>2873</v>
      </c>
      <c r="C374" s="268" t="s">
        <v>2860</v>
      </c>
      <c r="D374" s="268" t="s">
        <v>2874</v>
      </c>
      <c r="E374" s="272">
        <v>5300</v>
      </c>
      <c r="F374" s="273">
        <v>5010</v>
      </c>
      <c r="G374" s="273">
        <v>4870</v>
      </c>
      <c r="H374" s="273">
        <v>4760</v>
      </c>
      <c r="I374" s="273">
        <v>4590</v>
      </c>
    </row>
    <row r="375" spans="2:9" ht="15.5" thickTop="1" thickBot="1">
      <c r="B375" s="324"/>
      <c r="C375" s="204" t="s">
        <v>2861</v>
      </c>
      <c r="D375" s="204" t="s">
        <v>2874</v>
      </c>
      <c r="E375" s="272">
        <v>5300</v>
      </c>
      <c r="F375" s="211">
        <v>4900</v>
      </c>
      <c r="G375" s="211">
        <v>4680</v>
      </c>
      <c r="H375" s="211">
        <v>4490</v>
      </c>
      <c r="I375" s="211">
        <v>4280</v>
      </c>
    </row>
    <row r="376" spans="2:9" ht="15.5" thickTop="1" thickBot="1">
      <c r="B376" s="324"/>
      <c r="C376" s="268" t="s">
        <v>2862</v>
      </c>
      <c r="D376" s="268" t="s">
        <v>2874</v>
      </c>
      <c r="E376" s="272">
        <v>5300</v>
      </c>
      <c r="F376" s="273">
        <v>4980</v>
      </c>
      <c r="G376" s="273">
        <v>4700</v>
      </c>
      <c r="H376" s="273">
        <v>4560</v>
      </c>
      <c r="I376" s="273">
        <v>4390</v>
      </c>
    </row>
    <row r="377" spans="2:9" ht="15.5" thickTop="1" thickBot="1">
      <c r="B377" s="324"/>
      <c r="C377" s="204" t="s">
        <v>2875</v>
      </c>
      <c r="D377" s="204" t="s">
        <v>2874</v>
      </c>
      <c r="E377" s="272">
        <v>5300</v>
      </c>
      <c r="F377" s="211">
        <v>4740</v>
      </c>
      <c r="G377" s="211">
        <v>4450</v>
      </c>
      <c r="H377" s="211">
        <v>4190</v>
      </c>
      <c r="I377" s="211">
        <v>3920</v>
      </c>
    </row>
    <row r="378" spans="2:9" ht="15.5" thickTop="1" thickBot="1">
      <c r="B378" s="325"/>
      <c r="C378" s="268" t="s">
        <v>2876</v>
      </c>
      <c r="D378" s="268" t="s">
        <v>2874</v>
      </c>
      <c r="E378" s="272">
        <v>5300</v>
      </c>
      <c r="F378" s="273">
        <v>5180</v>
      </c>
      <c r="G378" s="273">
        <v>5130</v>
      </c>
      <c r="H378" s="273">
        <v>5080</v>
      </c>
      <c r="I378" s="273">
        <v>5010</v>
      </c>
    </row>
    <row r="379" spans="2:9" ht="16" thickBot="1">
      <c r="B379" s="274" t="s">
        <v>2877</v>
      </c>
      <c r="C379" s="204" t="s">
        <v>2870</v>
      </c>
      <c r="D379" s="204" t="s">
        <v>2878</v>
      </c>
      <c r="E379" s="209">
        <v>0.02</v>
      </c>
      <c r="F379" s="209">
        <v>0.02</v>
      </c>
      <c r="G379" s="209">
        <v>0.02</v>
      </c>
      <c r="H379" s="209">
        <v>0.02</v>
      </c>
      <c r="I379" s="209">
        <v>0.02</v>
      </c>
    </row>
    <row r="382" spans="2:9" ht="15" thickBot="1">
      <c r="B382" s="156" t="s">
        <v>2924</v>
      </c>
    </row>
    <row r="383" spans="2:9" ht="15" thickBot="1">
      <c r="B383" s="321"/>
      <c r="C383" s="322"/>
      <c r="D383" s="266" t="s">
        <v>0</v>
      </c>
      <c r="E383" s="267">
        <v>2015</v>
      </c>
      <c r="F383" s="267">
        <v>2020</v>
      </c>
      <c r="G383" s="267">
        <v>2030</v>
      </c>
      <c r="H383" s="267">
        <v>2040</v>
      </c>
      <c r="I383" s="267">
        <v>2050</v>
      </c>
    </row>
    <row r="384" spans="2:9" ht="15.5" thickTop="1" thickBot="1">
      <c r="B384" s="323" t="s">
        <v>2873</v>
      </c>
      <c r="C384" s="268" t="s">
        <v>2860</v>
      </c>
      <c r="D384" s="268" t="s">
        <v>2874</v>
      </c>
      <c r="E384" s="272">
        <v>4700</v>
      </c>
      <c r="F384" s="273">
        <v>4440</v>
      </c>
      <c r="G384" s="273">
        <v>4320</v>
      </c>
      <c r="H384" s="273">
        <v>4220</v>
      </c>
      <c r="I384" s="273">
        <v>4070</v>
      </c>
    </row>
    <row r="385" spans="1:9" ht="15.5" thickTop="1" thickBot="1">
      <c r="B385" s="324"/>
      <c r="C385" s="204" t="s">
        <v>2861</v>
      </c>
      <c r="D385" s="204" t="s">
        <v>2874</v>
      </c>
      <c r="E385" s="272">
        <v>4700</v>
      </c>
      <c r="F385" s="211">
        <v>4340</v>
      </c>
      <c r="G385" s="211">
        <v>4150</v>
      </c>
      <c r="H385" s="211">
        <v>3980</v>
      </c>
      <c r="I385" s="211">
        <v>3800</v>
      </c>
    </row>
    <row r="386" spans="1:9" ht="15.5" thickTop="1" thickBot="1">
      <c r="B386" s="324"/>
      <c r="C386" s="268" t="s">
        <v>2862</v>
      </c>
      <c r="D386" s="268" t="s">
        <v>2874</v>
      </c>
      <c r="E386" s="272">
        <v>4700</v>
      </c>
      <c r="F386" s="273">
        <v>4420</v>
      </c>
      <c r="G386" s="273">
        <v>4160</v>
      </c>
      <c r="H386" s="273">
        <v>4040</v>
      </c>
      <c r="I386" s="273">
        <v>3900</v>
      </c>
    </row>
    <row r="387" spans="1:9" ht="15.5" thickTop="1" thickBot="1">
      <c r="B387" s="324"/>
      <c r="C387" s="204" t="s">
        <v>2875</v>
      </c>
      <c r="D387" s="204" t="s">
        <v>2874</v>
      </c>
      <c r="E387" s="272">
        <v>4700</v>
      </c>
      <c r="F387" s="211">
        <v>4200</v>
      </c>
      <c r="G387" s="211">
        <v>3950</v>
      </c>
      <c r="H387" s="211">
        <v>3720</v>
      </c>
      <c r="I387" s="211">
        <v>3480</v>
      </c>
    </row>
    <row r="388" spans="1:9" ht="15.5" thickTop="1" thickBot="1">
      <c r="B388" s="325"/>
      <c r="C388" s="268" t="s">
        <v>2876</v>
      </c>
      <c r="D388" s="268" t="s">
        <v>2874</v>
      </c>
      <c r="E388" s="272">
        <v>4700</v>
      </c>
      <c r="F388" s="273">
        <v>4600</v>
      </c>
      <c r="G388" s="273">
        <v>4540</v>
      </c>
      <c r="H388" s="273">
        <v>4510</v>
      </c>
      <c r="I388" s="273">
        <v>4440</v>
      </c>
    </row>
    <row r="389" spans="1:9" ht="16" thickBot="1">
      <c r="B389" s="271" t="s">
        <v>2877</v>
      </c>
      <c r="C389" s="204" t="s">
        <v>2870</v>
      </c>
      <c r="D389" s="204" t="s">
        <v>2878</v>
      </c>
      <c r="E389" s="209">
        <v>0.02</v>
      </c>
      <c r="F389" s="209">
        <v>0.02</v>
      </c>
      <c r="G389" s="209">
        <v>0.02</v>
      </c>
      <c r="H389" s="209">
        <v>0.02</v>
      </c>
      <c r="I389" s="209">
        <v>0.02</v>
      </c>
    </row>
    <row r="392" spans="1:9" ht="15" thickBot="1">
      <c r="B392" s="156" t="s">
        <v>2925</v>
      </c>
    </row>
    <row r="393" spans="1:9" ht="15" thickBot="1">
      <c r="B393" s="321"/>
      <c r="C393" s="322"/>
      <c r="D393" s="266" t="s">
        <v>0</v>
      </c>
      <c r="E393" s="267">
        <v>2015</v>
      </c>
      <c r="F393" s="267">
        <v>2020</v>
      </c>
      <c r="G393" s="267">
        <v>2030</v>
      </c>
      <c r="H393" s="267">
        <v>2040</v>
      </c>
      <c r="I393" s="267">
        <v>2050</v>
      </c>
    </row>
    <row r="394" spans="1:9" ht="15.5" thickTop="1" thickBot="1">
      <c r="B394" s="323" t="s">
        <v>2873</v>
      </c>
      <c r="C394" s="268" t="s">
        <v>2860</v>
      </c>
      <c r="D394" s="268" t="s">
        <v>2874</v>
      </c>
      <c r="E394" s="272">
        <v>3100</v>
      </c>
      <c r="F394" s="273">
        <v>2930</v>
      </c>
      <c r="G394" s="273">
        <v>2850</v>
      </c>
      <c r="H394" s="273">
        <v>2780</v>
      </c>
      <c r="I394" s="273">
        <v>2680</v>
      </c>
    </row>
    <row r="395" spans="1:9" ht="15.5" thickTop="1" thickBot="1">
      <c r="A395" t="s">
        <v>2926</v>
      </c>
      <c r="B395" s="324"/>
      <c r="C395" s="204" t="s">
        <v>2861</v>
      </c>
      <c r="D395" s="204" t="s">
        <v>2874</v>
      </c>
      <c r="E395" s="272">
        <v>3100</v>
      </c>
      <c r="F395" s="211">
        <v>2860</v>
      </c>
      <c r="G395" s="211">
        <v>2740</v>
      </c>
      <c r="H395" s="211">
        <v>2630</v>
      </c>
      <c r="I395" s="211">
        <v>2510</v>
      </c>
    </row>
    <row r="396" spans="1:9" ht="15.5" thickTop="1" thickBot="1">
      <c r="B396" s="324"/>
      <c r="C396" s="268" t="s">
        <v>2862</v>
      </c>
      <c r="D396" s="268" t="s">
        <v>2874</v>
      </c>
      <c r="E396" s="272">
        <v>3100</v>
      </c>
      <c r="F396" s="273">
        <v>2910</v>
      </c>
      <c r="G396" s="273">
        <v>2750</v>
      </c>
      <c r="H396" s="273">
        <v>2670</v>
      </c>
      <c r="I396" s="273">
        <v>2570</v>
      </c>
    </row>
    <row r="397" spans="1:9" ht="15.5" thickTop="1" thickBot="1">
      <c r="B397" s="324"/>
      <c r="C397" s="204" t="s">
        <v>2875</v>
      </c>
      <c r="D397" s="204" t="s">
        <v>2874</v>
      </c>
      <c r="E397" s="272">
        <v>3100</v>
      </c>
      <c r="F397" s="211">
        <v>2770</v>
      </c>
      <c r="G397" s="211">
        <v>2600</v>
      </c>
      <c r="H397" s="211">
        <v>2450</v>
      </c>
      <c r="I397" s="211">
        <v>2290</v>
      </c>
    </row>
    <row r="398" spans="1:9" ht="15.5" thickTop="1" thickBot="1">
      <c r="B398" s="325"/>
      <c r="C398" s="268" t="s">
        <v>2876</v>
      </c>
      <c r="D398" s="268" t="s">
        <v>2874</v>
      </c>
      <c r="E398" s="272">
        <v>3100</v>
      </c>
      <c r="F398" s="273">
        <v>3030</v>
      </c>
      <c r="G398" s="273">
        <v>3000</v>
      </c>
      <c r="H398" s="273">
        <v>2970</v>
      </c>
      <c r="I398" s="273">
        <v>2930</v>
      </c>
    </row>
    <row r="399" spans="1:9" ht="16" thickBot="1">
      <c r="B399" s="271" t="s">
        <v>2877</v>
      </c>
      <c r="C399" s="204" t="s">
        <v>2870</v>
      </c>
      <c r="D399" s="204" t="s">
        <v>2878</v>
      </c>
      <c r="E399" s="209">
        <v>0.04</v>
      </c>
      <c r="F399" s="209">
        <v>0.04</v>
      </c>
      <c r="G399" s="209">
        <v>0.04</v>
      </c>
      <c r="H399" s="209">
        <v>0.04</v>
      </c>
      <c r="I399" s="209">
        <v>0.04</v>
      </c>
    </row>
    <row r="401" spans="2:12" ht="21">
      <c r="B401" s="155" t="s">
        <v>2927</v>
      </c>
    </row>
    <row r="403" spans="2:12" ht="15" thickBot="1">
      <c r="B403" s="156" t="s">
        <v>2928</v>
      </c>
    </row>
    <row r="404" spans="2:12" ht="15" thickBot="1">
      <c r="B404" s="307"/>
      <c r="C404" s="308"/>
      <c r="D404" s="235" t="s">
        <v>0</v>
      </c>
      <c r="E404" s="236">
        <v>2015</v>
      </c>
      <c r="F404" s="236">
        <v>2020</v>
      </c>
      <c r="G404" s="236">
        <v>2025</v>
      </c>
      <c r="H404" s="236">
        <v>2030</v>
      </c>
      <c r="I404" s="236">
        <v>2035</v>
      </c>
      <c r="J404" s="236">
        <v>2040</v>
      </c>
      <c r="K404" s="236">
        <v>2045</v>
      </c>
      <c r="L404" s="236">
        <v>2050</v>
      </c>
    </row>
    <row r="405" spans="2:12" ht="15.5" thickTop="1" thickBot="1">
      <c r="B405" s="315" t="s">
        <v>2912</v>
      </c>
      <c r="C405" s="239" t="s">
        <v>2860</v>
      </c>
      <c r="D405" s="239" t="s">
        <v>2</v>
      </c>
      <c r="E405" s="240">
        <v>0</v>
      </c>
      <c r="F405" s="240">
        <v>0</v>
      </c>
      <c r="G405" s="241">
        <v>0.19913563756517849</v>
      </c>
      <c r="H405" s="241">
        <v>1.2041176796034745</v>
      </c>
      <c r="I405" s="241">
        <v>2.2342255231531185</v>
      </c>
      <c r="J405" s="241">
        <v>3.2900903682093601</v>
      </c>
      <c r="K405" s="241">
        <v>5.3723515628155143</v>
      </c>
      <c r="L405" s="241">
        <v>10.494102389324194</v>
      </c>
    </row>
    <row r="406" spans="2:12" ht="15" thickBot="1">
      <c r="B406" s="316"/>
      <c r="C406" s="242" t="s">
        <v>2861</v>
      </c>
      <c r="D406" s="242" t="s">
        <v>2</v>
      </c>
      <c r="E406" s="243">
        <v>0</v>
      </c>
      <c r="F406" s="243">
        <v>0</v>
      </c>
      <c r="G406" s="244">
        <v>5.8037707251626749</v>
      </c>
      <c r="H406" s="244">
        <v>42.307733443615199</v>
      </c>
      <c r="I406" s="244">
        <v>137.12237673639899</v>
      </c>
      <c r="J406" s="244">
        <v>266.66270406879693</v>
      </c>
      <c r="K406" s="244">
        <v>345.99520366438639</v>
      </c>
      <c r="L406" s="244">
        <v>283.90468885114706</v>
      </c>
    </row>
    <row r="407" spans="2:12" ht="15" thickBot="1">
      <c r="B407" s="317" t="s">
        <v>2863</v>
      </c>
      <c r="C407" s="242" t="s">
        <v>2860</v>
      </c>
      <c r="D407" s="242" t="s">
        <v>2864</v>
      </c>
      <c r="E407" s="243">
        <v>0</v>
      </c>
      <c r="F407" s="243">
        <v>0</v>
      </c>
      <c r="G407" s="275">
        <v>3.9827127513035701E-2</v>
      </c>
      <c r="H407" s="245">
        <v>0.2009964084076592</v>
      </c>
      <c r="I407" s="245">
        <v>0.2060215687099288</v>
      </c>
      <c r="J407" s="245">
        <v>0.21117296901124832</v>
      </c>
      <c r="K407" s="245">
        <v>0.41645223892123084</v>
      </c>
      <c r="L407" s="245">
        <v>1.0243501653017359</v>
      </c>
    </row>
    <row r="408" spans="2:12" ht="15" thickBot="1">
      <c r="B408" s="318"/>
      <c r="C408" s="246" t="s">
        <v>2861</v>
      </c>
      <c r="D408" s="246" t="s">
        <v>2864</v>
      </c>
      <c r="E408" s="247">
        <v>0</v>
      </c>
      <c r="F408" s="247">
        <v>0</v>
      </c>
      <c r="G408" s="248">
        <v>1.1607541450325349</v>
      </c>
      <c r="H408" s="248">
        <v>7.3007925436905055</v>
      </c>
      <c r="I408" s="248">
        <v>18.962928658556756</v>
      </c>
      <c r="J408" s="248">
        <v>25.908065466479588</v>
      </c>
      <c r="K408" s="248">
        <v>15.866499919117894</v>
      </c>
      <c r="L408" s="247">
        <v>0</v>
      </c>
    </row>
    <row r="409" spans="2:12" ht="15" thickBot="1">
      <c r="B409" s="304" t="s">
        <v>2865</v>
      </c>
      <c r="C409" s="246" t="s">
        <v>2866</v>
      </c>
      <c r="D409" s="246" t="s">
        <v>2855</v>
      </c>
      <c r="E409" s="249">
        <v>2.1000000000000001E-2</v>
      </c>
      <c r="F409" s="249">
        <v>2.1000000000000001E-2</v>
      </c>
      <c r="G409" s="249">
        <v>2.1000000000000001E-2</v>
      </c>
      <c r="H409" s="249">
        <v>2.1000000000000001E-2</v>
      </c>
      <c r="I409" s="249">
        <v>2.1000000000000001E-2</v>
      </c>
      <c r="J409" s="249">
        <v>2.1000000000000001E-2</v>
      </c>
      <c r="K409" s="249">
        <v>2.1000000000000001E-2</v>
      </c>
      <c r="L409" s="249">
        <v>2.1000000000000001E-2</v>
      </c>
    </row>
    <row r="410" spans="2:12" ht="15" thickBot="1">
      <c r="B410" s="305"/>
      <c r="C410" s="242" t="s">
        <v>2867</v>
      </c>
      <c r="D410" s="242" t="s">
        <v>2855</v>
      </c>
      <c r="E410" s="251">
        <v>3.5000000000000003E-2</v>
      </c>
      <c r="F410" s="251">
        <v>3.5000000000000003E-2</v>
      </c>
      <c r="G410" s="251">
        <v>3.5000000000000003E-2</v>
      </c>
      <c r="H410" s="251">
        <v>3.5000000000000003E-2</v>
      </c>
      <c r="I410" s="251">
        <v>3.5000000000000003E-2</v>
      </c>
      <c r="J410" s="251">
        <v>3.5000000000000003E-2</v>
      </c>
      <c r="K410" s="251">
        <v>3.5000000000000003E-2</v>
      </c>
      <c r="L410" s="251">
        <v>3.5000000000000003E-2</v>
      </c>
    </row>
    <row r="411" spans="2:12" ht="15" thickBot="1">
      <c r="B411" s="306"/>
      <c r="C411" s="246" t="s">
        <v>2868</v>
      </c>
      <c r="D411" s="246" t="s">
        <v>2855</v>
      </c>
      <c r="E411" s="249">
        <v>1.0999999999999999E-2</v>
      </c>
      <c r="F411" s="249">
        <v>1.0999999999999999E-2</v>
      </c>
      <c r="G411" s="249">
        <v>1.0999999999999999E-2</v>
      </c>
      <c r="H411" s="249">
        <v>1.0999999999999999E-2</v>
      </c>
      <c r="I411" s="249">
        <v>1.0999999999999999E-2</v>
      </c>
      <c r="J411" s="249">
        <v>1.0999999999999999E-2</v>
      </c>
      <c r="K411" s="249">
        <v>1.0999999999999999E-2</v>
      </c>
      <c r="L411" s="249">
        <v>1.0999999999999999E-2</v>
      </c>
    </row>
    <row r="412" spans="2:12" ht="15" thickBot="1">
      <c r="B412" s="253" t="s">
        <v>2869</v>
      </c>
      <c r="C412" s="242" t="s">
        <v>2870</v>
      </c>
      <c r="D412" s="242" t="s">
        <v>2854</v>
      </c>
      <c r="E412" s="243">
        <v>40</v>
      </c>
      <c r="F412" s="243">
        <v>40</v>
      </c>
      <c r="G412" s="243">
        <v>40</v>
      </c>
      <c r="H412" s="243">
        <v>40</v>
      </c>
      <c r="I412" s="243">
        <v>40</v>
      </c>
      <c r="J412" s="243">
        <v>40</v>
      </c>
      <c r="K412" s="243">
        <v>40</v>
      </c>
      <c r="L412" s="243">
        <v>40</v>
      </c>
    </row>
    <row r="414" spans="2:12" ht="15" thickBot="1"/>
    <row r="415" spans="2:12" ht="15" thickBot="1">
      <c r="B415" s="307"/>
      <c r="C415" s="308"/>
      <c r="D415" s="235" t="s">
        <v>0</v>
      </c>
      <c r="E415" s="236">
        <v>2015</v>
      </c>
      <c r="F415" s="236">
        <v>2020</v>
      </c>
      <c r="G415" s="236">
        <v>2030</v>
      </c>
      <c r="H415" s="236">
        <v>2040</v>
      </c>
      <c r="I415" s="236">
        <v>2050</v>
      </c>
    </row>
    <row r="416" spans="2:12" ht="15.5" thickTop="1" thickBot="1">
      <c r="B416" s="309" t="s">
        <v>2873</v>
      </c>
      <c r="C416" s="239" t="s">
        <v>2860</v>
      </c>
      <c r="D416" s="239" t="s">
        <v>2874</v>
      </c>
      <c r="E416" s="276" t="s">
        <v>2870</v>
      </c>
      <c r="F416" s="240" t="s">
        <v>2870</v>
      </c>
      <c r="G416" s="240">
        <v>2760</v>
      </c>
      <c r="H416" s="240">
        <v>2680</v>
      </c>
      <c r="I416" s="240">
        <v>2580</v>
      </c>
    </row>
    <row r="417" spans="1:12" ht="15" thickBot="1">
      <c r="A417" t="s">
        <v>2929</v>
      </c>
      <c r="B417" s="310"/>
      <c r="C417" s="258" t="s">
        <v>2861</v>
      </c>
      <c r="D417" s="258" t="s">
        <v>2874</v>
      </c>
      <c r="E417" s="277"/>
      <c r="F417" s="259" t="s">
        <v>2870</v>
      </c>
      <c r="G417" s="259">
        <v>2740</v>
      </c>
      <c r="H417" s="259">
        <v>2590</v>
      </c>
      <c r="I417" s="259">
        <v>2570</v>
      </c>
    </row>
    <row r="418" spans="1:12" ht="15" thickBot="1">
      <c r="B418" s="310"/>
      <c r="C418" s="239" t="s">
        <v>2875</v>
      </c>
      <c r="D418" s="239" t="s">
        <v>2874</v>
      </c>
      <c r="E418" s="277"/>
      <c r="F418" s="240" t="s">
        <v>2870</v>
      </c>
      <c r="G418" s="240">
        <v>2630</v>
      </c>
      <c r="H418" s="240">
        <v>2400</v>
      </c>
      <c r="I418" s="240">
        <v>2360</v>
      </c>
    </row>
    <row r="419" spans="1:12" ht="15" thickBot="1">
      <c r="B419" s="311"/>
      <c r="C419" s="258" t="s">
        <v>2876</v>
      </c>
      <c r="D419" s="258" t="s">
        <v>2874</v>
      </c>
      <c r="E419" s="278"/>
      <c r="F419" s="259" t="s">
        <v>2870</v>
      </c>
      <c r="G419" s="259">
        <v>2830</v>
      </c>
      <c r="H419" s="259">
        <v>2790</v>
      </c>
      <c r="I419" s="259">
        <v>2740</v>
      </c>
    </row>
    <row r="420" spans="1:12" ht="16" thickBot="1">
      <c r="B420" s="260" t="s">
        <v>2877</v>
      </c>
      <c r="C420" s="239" t="s">
        <v>2870</v>
      </c>
      <c r="D420" s="239" t="s">
        <v>2878</v>
      </c>
      <c r="E420" s="261">
        <v>2.1000000000000001E-2</v>
      </c>
      <c r="F420" s="261">
        <v>2.1000000000000001E-2</v>
      </c>
      <c r="G420" s="261">
        <v>2.1000000000000001E-2</v>
      </c>
      <c r="H420" s="261">
        <v>2.1000000000000001E-2</v>
      </c>
      <c r="I420" s="261">
        <v>2.1000000000000001E-2</v>
      </c>
    </row>
    <row r="423" spans="1:12" ht="15" thickBot="1">
      <c r="B423" s="156" t="s">
        <v>2930</v>
      </c>
    </row>
    <row r="424" spans="1:12" ht="15" thickBot="1">
      <c r="B424" s="307"/>
      <c r="C424" s="308"/>
      <c r="D424" s="235" t="s">
        <v>0</v>
      </c>
      <c r="E424" s="236">
        <v>2015</v>
      </c>
      <c r="F424" s="236">
        <v>2020</v>
      </c>
      <c r="G424" s="236">
        <v>2025</v>
      </c>
      <c r="H424" s="236">
        <v>2030</v>
      </c>
      <c r="I424" s="236">
        <v>2035</v>
      </c>
      <c r="J424" s="236">
        <v>2040</v>
      </c>
      <c r="K424" s="236">
        <v>2045</v>
      </c>
      <c r="L424" s="236">
        <v>2050</v>
      </c>
    </row>
    <row r="425" spans="1:12" ht="15.5" thickTop="1" thickBot="1">
      <c r="B425" s="315" t="s">
        <v>2912</v>
      </c>
      <c r="C425" s="239" t="s">
        <v>2860</v>
      </c>
      <c r="D425" s="239" t="s">
        <v>2</v>
      </c>
      <c r="E425" s="240">
        <v>0</v>
      </c>
      <c r="F425" s="240">
        <v>0</v>
      </c>
      <c r="G425" s="241">
        <v>0.19913563756517849</v>
      </c>
      <c r="H425" s="241">
        <v>1.2041176796034745</v>
      </c>
      <c r="I425" s="241">
        <v>2.2342255231531185</v>
      </c>
      <c r="J425" s="241">
        <v>3.2900903682093601</v>
      </c>
      <c r="K425" s="241">
        <v>5.3723515628155143</v>
      </c>
      <c r="L425" s="241">
        <v>10.494102389324194</v>
      </c>
    </row>
    <row r="426" spans="1:12" ht="15" thickBot="1">
      <c r="B426" s="316"/>
      <c r="C426" s="242" t="s">
        <v>2861</v>
      </c>
      <c r="D426" s="242" t="s">
        <v>2</v>
      </c>
      <c r="E426" s="243">
        <v>0</v>
      </c>
      <c r="F426" s="243">
        <v>0</v>
      </c>
      <c r="G426" s="244">
        <v>5.8037707251626749</v>
      </c>
      <c r="H426" s="244">
        <v>42.307733443615199</v>
      </c>
      <c r="I426" s="244">
        <v>137.12237673639899</v>
      </c>
      <c r="J426" s="244">
        <v>266.66270406879693</v>
      </c>
      <c r="K426" s="244">
        <v>345.99520366438639</v>
      </c>
      <c r="L426" s="244">
        <v>283.90468885114706</v>
      </c>
    </row>
    <row r="427" spans="1:12" ht="15" thickBot="1">
      <c r="B427" s="317" t="s">
        <v>2863</v>
      </c>
      <c r="C427" s="242" t="s">
        <v>2860</v>
      </c>
      <c r="D427" s="242" t="s">
        <v>2864</v>
      </c>
      <c r="E427" s="243">
        <v>0</v>
      </c>
      <c r="F427" s="243">
        <v>0</v>
      </c>
      <c r="G427" s="245">
        <v>3.9827127513035701E-2</v>
      </c>
      <c r="H427" s="245">
        <v>0.2009964084076592</v>
      </c>
      <c r="I427" s="245">
        <v>0.2060215687099288</v>
      </c>
      <c r="J427" s="245">
        <v>0.21117296901124832</v>
      </c>
      <c r="K427" s="245">
        <v>0.41645223892123084</v>
      </c>
      <c r="L427" s="245">
        <v>1.0243501653017359</v>
      </c>
    </row>
    <row r="428" spans="1:12" ht="15" thickBot="1">
      <c r="B428" s="318"/>
      <c r="C428" s="246" t="s">
        <v>2861</v>
      </c>
      <c r="D428" s="246" t="s">
        <v>2864</v>
      </c>
      <c r="E428" s="247">
        <v>0</v>
      </c>
      <c r="F428" s="247">
        <v>0</v>
      </c>
      <c r="G428" s="248">
        <v>1.1607541450325349</v>
      </c>
      <c r="H428" s="248">
        <v>7.3007925436905055</v>
      </c>
      <c r="I428" s="248">
        <v>18.962928658556756</v>
      </c>
      <c r="J428" s="248">
        <v>25.908065466479588</v>
      </c>
      <c r="K428" s="248">
        <v>15.866499919117894</v>
      </c>
      <c r="L428" s="247">
        <v>0</v>
      </c>
    </row>
    <row r="429" spans="1:12" ht="15" thickBot="1">
      <c r="B429" s="304" t="s">
        <v>2865</v>
      </c>
      <c r="C429" s="246" t="s">
        <v>2866</v>
      </c>
      <c r="D429" s="246" t="s">
        <v>2855</v>
      </c>
      <c r="E429" s="249">
        <v>2.8000000000000001E-2</v>
      </c>
      <c r="F429" s="249">
        <v>2.8000000000000001E-2</v>
      </c>
      <c r="G429" s="249">
        <v>2.8000000000000001E-2</v>
      </c>
      <c r="H429" s="249">
        <v>2.8000000000000001E-2</v>
      </c>
      <c r="I429" s="249">
        <v>2.8000000000000001E-2</v>
      </c>
      <c r="J429" s="249">
        <v>2.8000000000000001E-2</v>
      </c>
      <c r="K429" s="249">
        <v>2.8000000000000001E-2</v>
      </c>
      <c r="L429" s="249">
        <v>2.8000000000000001E-2</v>
      </c>
    </row>
    <row r="430" spans="1:12" ht="15" thickBot="1">
      <c r="B430" s="305"/>
      <c r="C430" s="242" t="s">
        <v>2867</v>
      </c>
      <c r="D430" s="242" t="s">
        <v>2855</v>
      </c>
      <c r="E430" s="251">
        <v>4.3999999999999997E-2</v>
      </c>
      <c r="F430" s="251">
        <v>4.3999999999999997E-2</v>
      </c>
      <c r="G430" s="251">
        <v>4.3999999999999997E-2</v>
      </c>
      <c r="H430" s="251">
        <v>4.3999999999999997E-2</v>
      </c>
      <c r="I430" s="251">
        <v>4.3999999999999997E-2</v>
      </c>
      <c r="J430" s="251">
        <v>4.3999999999999997E-2</v>
      </c>
      <c r="K430" s="251">
        <v>4.3999999999999997E-2</v>
      </c>
      <c r="L430" s="251">
        <v>4.3999999999999997E-2</v>
      </c>
    </row>
    <row r="431" spans="1:12" ht="15" thickBot="1">
      <c r="B431" s="306"/>
      <c r="C431" s="246" t="s">
        <v>2868</v>
      </c>
      <c r="D431" s="246" t="s">
        <v>2855</v>
      </c>
      <c r="E431" s="249">
        <v>1.4E-2</v>
      </c>
      <c r="F431" s="249">
        <v>1.4E-2</v>
      </c>
      <c r="G431" s="249">
        <v>1.4E-2</v>
      </c>
      <c r="H431" s="249">
        <v>1.4E-2</v>
      </c>
      <c r="I431" s="249">
        <v>1.4E-2</v>
      </c>
      <c r="J431" s="249">
        <v>1.4E-2</v>
      </c>
      <c r="K431" s="249">
        <v>1.4E-2</v>
      </c>
      <c r="L431" s="249">
        <v>1.4E-2</v>
      </c>
    </row>
    <row r="432" spans="1:12" ht="15" thickBot="1">
      <c r="B432" s="253" t="s">
        <v>2869</v>
      </c>
      <c r="C432" s="242" t="s">
        <v>2870</v>
      </c>
      <c r="D432" s="242" t="s">
        <v>2854</v>
      </c>
      <c r="E432" s="243">
        <v>40</v>
      </c>
      <c r="F432" s="243">
        <v>40</v>
      </c>
      <c r="G432" s="243">
        <v>40</v>
      </c>
      <c r="H432" s="243">
        <v>40</v>
      </c>
      <c r="I432" s="243">
        <v>40</v>
      </c>
      <c r="J432" s="243">
        <v>40</v>
      </c>
      <c r="K432" s="243">
        <v>40</v>
      </c>
      <c r="L432" s="243">
        <v>40</v>
      </c>
    </row>
    <row r="434" spans="1:12" ht="15" thickBot="1">
      <c r="B434" s="156" t="s">
        <v>2931</v>
      </c>
    </row>
    <row r="435" spans="1:12" ht="15" thickBot="1">
      <c r="B435" s="319"/>
      <c r="C435" s="320"/>
      <c r="D435" s="235" t="s">
        <v>0</v>
      </c>
      <c r="E435" s="236">
        <v>2015</v>
      </c>
      <c r="F435" s="236">
        <v>2020</v>
      </c>
      <c r="G435" s="236">
        <v>2030</v>
      </c>
      <c r="H435" s="236">
        <v>2040</v>
      </c>
      <c r="I435" s="236">
        <v>2050</v>
      </c>
    </row>
    <row r="436" spans="1:12" ht="15.5" thickTop="1" thickBot="1">
      <c r="B436" s="309" t="s">
        <v>2873</v>
      </c>
      <c r="C436" s="239" t="s">
        <v>2860</v>
      </c>
      <c r="D436" s="239" t="s">
        <v>2874</v>
      </c>
      <c r="E436" s="276" t="s">
        <v>2870</v>
      </c>
      <c r="F436" s="240" t="s">
        <v>2870</v>
      </c>
      <c r="G436" s="240">
        <v>2710</v>
      </c>
      <c r="H436" s="240">
        <v>2600</v>
      </c>
      <c r="I436" s="240">
        <v>2480</v>
      </c>
    </row>
    <row r="437" spans="1:12" ht="15" thickBot="1">
      <c r="A437" t="s">
        <v>2932</v>
      </c>
      <c r="B437" s="310"/>
      <c r="C437" s="258" t="s">
        <v>2861</v>
      </c>
      <c r="D437" s="258" t="s">
        <v>2874</v>
      </c>
      <c r="E437" s="277"/>
      <c r="F437" s="259" t="s">
        <v>2870</v>
      </c>
      <c r="G437" s="259">
        <v>2690</v>
      </c>
      <c r="H437" s="259">
        <v>2490</v>
      </c>
      <c r="I437" s="259">
        <v>2470</v>
      </c>
    </row>
    <row r="438" spans="1:12" ht="15" thickBot="1">
      <c r="B438" s="310"/>
      <c r="C438" s="239" t="s">
        <v>2875</v>
      </c>
      <c r="D438" s="239" t="s">
        <v>2874</v>
      </c>
      <c r="E438" s="277"/>
      <c r="F438" s="240" t="s">
        <v>2870</v>
      </c>
      <c r="G438" s="240">
        <v>2560</v>
      </c>
      <c r="H438" s="240">
        <v>2270</v>
      </c>
      <c r="I438" s="240">
        <v>2240</v>
      </c>
    </row>
    <row r="439" spans="1:12" ht="15" thickBot="1">
      <c r="B439" s="311"/>
      <c r="C439" s="258" t="s">
        <v>2876</v>
      </c>
      <c r="D439" s="258" t="s">
        <v>2874</v>
      </c>
      <c r="E439" s="278"/>
      <c r="F439" s="259" t="s">
        <v>2870</v>
      </c>
      <c r="G439" s="259">
        <v>2810</v>
      </c>
      <c r="H439" s="259">
        <v>2750</v>
      </c>
      <c r="I439" s="259">
        <v>2690</v>
      </c>
    </row>
    <row r="440" spans="1:12" ht="16" thickBot="1">
      <c r="B440" s="260" t="s">
        <v>2877</v>
      </c>
      <c r="C440" s="239" t="s">
        <v>2870</v>
      </c>
      <c r="D440" s="239" t="s">
        <v>2933</v>
      </c>
      <c r="E440" s="261">
        <v>2.3E-2</v>
      </c>
      <c r="F440" s="261">
        <v>2.3E-2</v>
      </c>
      <c r="G440" s="261">
        <v>2.3E-2</v>
      </c>
      <c r="H440" s="261">
        <v>2.3E-2</v>
      </c>
      <c r="I440" s="261">
        <v>2.3E-2</v>
      </c>
    </row>
    <row r="443" spans="1:12" ht="15" thickBot="1">
      <c r="B443" s="156" t="s">
        <v>2934</v>
      </c>
    </row>
    <row r="444" spans="1:12" ht="15" thickBot="1">
      <c r="B444" s="307"/>
      <c r="C444" s="308"/>
      <c r="D444" s="235" t="s">
        <v>0</v>
      </c>
      <c r="E444" s="236">
        <v>2015</v>
      </c>
      <c r="F444" s="236">
        <v>2020</v>
      </c>
      <c r="G444" s="236">
        <v>2025</v>
      </c>
      <c r="H444" s="236">
        <v>2030</v>
      </c>
      <c r="I444" s="236">
        <v>2035</v>
      </c>
      <c r="J444" s="236">
        <v>2040</v>
      </c>
      <c r="K444" s="236">
        <v>2045</v>
      </c>
      <c r="L444" s="236">
        <v>2050</v>
      </c>
    </row>
    <row r="445" spans="1:12" ht="15.5" thickTop="1" thickBot="1">
      <c r="B445" s="315" t="s">
        <v>2912</v>
      </c>
      <c r="C445" s="239" t="s">
        <v>2860</v>
      </c>
      <c r="D445" s="239" t="s">
        <v>2</v>
      </c>
      <c r="E445" s="240">
        <v>0</v>
      </c>
      <c r="F445" s="240">
        <v>0</v>
      </c>
      <c r="G445" s="241">
        <v>0.19913563756517849</v>
      </c>
      <c r="H445" s="241">
        <v>1.2041176796034745</v>
      </c>
      <c r="I445" s="241">
        <v>2.2342255231531185</v>
      </c>
      <c r="J445" s="241">
        <v>3.2900903682093601</v>
      </c>
      <c r="K445" s="241">
        <v>5.3723515628155143</v>
      </c>
      <c r="L445" s="241">
        <v>10.494102389324194</v>
      </c>
    </row>
    <row r="446" spans="1:12" ht="15" thickBot="1">
      <c r="B446" s="316"/>
      <c r="C446" s="242" t="s">
        <v>2861</v>
      </c>
      <c r="D446" s="242" t="s">
        <v>2</v>
      </c>
      <c r="E446" s="243">
        <v>0</v>
      </c>
      <c r="F446" s="243">
        <v>0</v>
      </c>
      <c r="G446" s="244">
        <v>5.8037707251626749</v>
      </c>
      <c r="H446" s="244">
        <v>42.307733443615199</v>
      </c>
      <c r="I446" s="244">
        <v>137.12237673639899</v>
      </c>
      <c r="J446" s="244">
        <v>266.66270406879693</v>
      </c>
      <c r="K446" s="244">
        <v>345.99520366438639</v>
      </c>
      <c r="L446" s="244">
        <v>283.90468885114706</v>
      </c>
    </row>
    <row r="447" spans="1:12" ht="15" thickBot="1">
      <c r="B447" s="317" t="s">
        <v>2863</v>
      </c>
      <c r="C447" s="242" t="s">
        <v>2860</v>
      </c>
      <c r="D447" s="242" t="s">
        <v>2864</v>
      </c>
      <c r="E447" s="243">
        <v>0</v>
      </c>
      <c r="F447" s="243">
        <v>0</v>
      </c>
      <c r="G447" s="245">
        <v>3.9827127513035701E-2</v>
      </c>
      <c r="H447" s="245">
        <v>0.2009964084076592</v>
      </c>
      <c r="I447" s="245">
        <v>0.2060215687099288</v>
      </c>
      <c r="J447" s="245">
        <v>0.21117296901124832</v>
      </c>
      <c r="K447" s="245">
        <v>0.41645223892123084</v>
      </c>
      <c r="L447" s="245">
        <v>1.0243501653017359</v>
      </c>
    </row>
    <row r="448" spans="1:12" ht="15" thickBot="1">
      <c r="B448" s="318"/>
      <c r="C448" s="246" t="s">
        <v>2861</v>
      </c>
      <c r="D448" s="246" t="s">
        <v>2864</v>
      </c>
      <c r="E448" s="247">
        <v>0</v>
      </c>
      <c r="F448" s="247">
        <v>0</v>
      </c>
      <c r="G448" s="248">
        <v>1.1607541450325349</v>
      </c>
      <c r="H448" s="248">
        <v>7.3007925436905055</v>
      </c>
      <c r="I448" s="248">
        <v>18.962928658556756</v>
      </c>
      <c r="J448" s="248">
        <v>25.908065466479588</v>
      </c>
      <c r="K448" s="248">
        <v>15.866499919117894</v>
      </c>
      <c r="L448" s="247">
        <v>0</v>
      </c>
    </row>
    <row r="449" spans="1:12" ht="15" thickBot="1">
      <c r="B449" s="304" t="s">
        <v>2865</v>
      </c>
      <c r="C449" s="246" t="s">
        <v>2866</v>
      </c>
      <c r="D449" s="246" t="s">
        <v>2855</v>
      </c>
      <c r="E449" s="249">
        <v>0.05</v>
      </c>
      <c r="F449" s="249">
        <v>0.05</v>
      </c>
      <c r="G449" s="249">
        <v>0.05</v>
      </c>
      <c r="H449" s="249">
        <v>0.05</v>
      </c>
      <c r="I449" s="249">
        <v>0.05</v>
      </c>
      <c r="J449" s="249">
        <v>0.05</v>
      </c>
      <c r="K449" s="249">
        <v>0.05</v>
      </c>
      <c r="L449" s="249">
        <v>0.05</v>
      </c>
    </row>
    <row r="450" spans="1:12" ht="15" thickBot="1">
      <c r="B450" s="305"/>
      <c r="C450" s="242" t="s">
        <v>2867</v>
      </c>
      <c r="D450" s="242" t="s">
        <v>2855</v>
      </c>
      <c r="E450" s="251">
        <v>7.5999999999999998E-2</v>
      </c>
      <c r="F450" s="251">
        <v>7.5999999999999998E-2</v>
      </c>
      <c r="G450" s="251">
        <v>7.5999999999999998E-2</v>
      </c>
      <c r="H450" s="251">
        <v>7.5999999999999998E-2</v>
      </c>
      <c r="I450" s="251">
        <v>7.5999999999999998E-2</v>
      </c>
      <c r="J450" s="251">
        <v>7.5999999999999998E-2</v>
      </c>
      <c r="K450" s="251">
        <v>7.5999999999999998E-2</v>
      </c>
      <c r="L450" s="251">
        <v>7.5999999999999998E-2</v>
      </c>
    </row>
    <row r="451" spans="1:12" ht="15" thickBot="1">
      <c r="B451" s="306"/>
      <c r="C451" s="246" t="s">
        <v>2868</v>
      </c>
      <c r="D451" s="246" t="s">
        <v>2855</v>
      </c>
      <c r="E451" s="249">
        <v>2.5000000000000001E-2</v>
      </c>
      <c r="F451" s="249">
        <v>2.5000000000000001E-2</v>
      </c>
      <c r="G451" s="249">
        <v>2.5000000000000001E-2</v>
      </c>
      <c r="H451" s="249">
        <v>2.5000000000000001E-2</v>
      </c>
      <c r="I451" s="249">
        <v>2.5000000000000001E-2</v>
      </c>
      <c r="J451" s="249">
        <v>2.5000000000000001E-2</v>
      </c>
      <c r="K451" s="249">
        <v>2.5000000000000001E-2</v>
      </c>
      <c r="L451" s="249">
        <v>2.5000000000000001E-2</v>
      </c>
    </row>
    <row r="452" spans="1:12" ht="15" thickBot="1">
      <c r="B452" s="253" t="s">
        <v>2869</v>
      </c>
      <c r="C452" s="242" t="s">
        <v>2870</v>
      </c>
      <c r="D452" s="242" t="s">
        <v>2854</v>
      </c>
      <c r="E452" s="243">
        <v>40</v>
      </c>
      <c r="F452" s="243">
        <v>40</v>
      </c>
      <c r="G452" s="243">
        <v>40</v>
      </c>
      <c r="H452" s="243">
        <v>40</v>
      </c>
      <c r="I452" s="243">
        <v>40</v>
      </c>
      <c r="J452" s="243">
        <v>40</v>
      </c>
      <c r="K452" s="243">
        <v>40</v>
      </c>
      <c r="L452" s="243">
        <v>40</v>
      </c>
    </row>
    <row r="454" spans="1:12" ht="15" thickBot="1"/>
    <row r="455" spans="1:12" ht="15" thickBot="1">
      <c r="B455" s="307"/>
      <c r="C455" s="308"/>
      <c r="D455" s="235" t="s">
        <v>0</v>
      </c>
      <c r="E455" s="236">
        <v>2015</v>
      </c>
      <c r="F455" s="236">
        <v>2020</v>
      </c>
      <c r="G455" s="236">
        <v>2030</v>
      </c>
      <c r="H455" s="236">
        <v>2040</v>
      </c>
      <c r="I455" s="236">
        <v>2050</v>
      </c>
    </row>
    <row r="456" spans="1:12" ht="15.5" thickTop="1" thickBot="1">
      <c r="B456" s="309" t="s">
        <v>2873</v>
      </c>
      <c r="C456" s="239" t="s">
        <v>2860</v>
      </c>
      <c r="D456" s="239" t="s">
        <v>2874</v>
      </c>
      <c r="E456" s="276" t="s">
        <v>2870</v>
      </c>
      <c r="F456" s="240" t="s">
        <v>2870</v>
      </c>
      <c r="G456" s="240">
        <v>3920</v>
      </c>
      <c r="H456" s="240">
        <v>3640</v>
      </c>
      <c r="I456" s="240">
        <v>3340</v>
      </c>
    </row>
    <row r="457" spans="1:12" ht="15" thickBot="1">
      <c r="A457" t="s">
        <v>2935</v>
      </c>
      <c r="B457" s="310"/>
      <c r="C457" s="258" t="s">
        <v>2861</v>
      </c>
      <c r="D457" s="258" t="s">
        <v>2874</v>
      </c>
      <c r="E457" s="277"/>
      <c r="F457" s="259" t="s">
        <v>2870</v>
      </c>
      <c r="G457" s="259">
        <v>3870</v>
      </c>
      <c r="H457" s="259">
        <v>3380</v>
      </c>
      <c r="I457" s="259">
        <v>3310</v>
      </c>
    </row>
    <row r="458" spans="1:12" ht="15" thickBot="1">
      <c r="B458" s="310"/>
      <c r="C458" s="239" t="s">
        <v>2875</v>
      </c>
      <c r="D458" s="239" t="s">
        <v>2874</v>
      </c>
      <c r="E458" s="277"/>
      <c r="F458" s="240" t="s">
        <v>2870</v>
      </c>
      <c r="G458" s="240">
        <v>3570</v>
      </c>
      <c r="H458" s="240">
        <v>2900</v>
      </c>
      <c r="I458" s="240">
        <v>2810</v>
      </c>
    </row>
    <row r="459" spans="1:12" ht="15" thickBot="1">
      <c r="B459" s="311"/>
      <c r="C459" s="258" t="s">
        <v>2876</v>
      </c>
      <c r="D459" s="258" t="s">
        <v>2874</v>
      </c>
      <c r="E459" s="278"/>
      <c r="F459" s="259" t="s">
        <v>2870</v>
      </c>
      <c r="G459" s="259">
        <v>4200</v>
      </c>
      <c r="H459" s="259">
        <v>4040</v>
      </c>
      <c r="I459" s="259">
        <v>3880</v>
      </c>
    </row>
    <row r="460" spans="1:12" ht="16" thickBot="1">
      <c r="B460" s="260" t="s">
        <v>2877</v>
      </c>
      <c r="C460" s="239" t="s">
        <v>2870</v>
      </c>
      <c r="D460" s="239" t="s">
        <v>2878</v>
      </c>
      <c r="E460" s="261">
        <v>2.1999999999999999E-2</v>
      </c>
      <c r="F460" s="261">
        <v>2.1999999999999999E-2</v>
      </c>
      <c r="G460" s="261">
        <v>2.1999999999999999E-2</v>
      </c>
      <c r="H460" s="261">
        <v>2.1999999999999999E-2</v>
      </c>
      <c r="I460" s="261">
        <v>2.1999999999999999E-2</v>
      </c>
    </row>
    <row r="464" spans="1:12" ht="15" thickBot="1">
      <c r="B464" s="156" t="s">
        <v>2936</v>
      </c>
    </row>
    <row r="465" spans="1:12" ht="15" thickBot="1">
      <c r="B465" s="307"/>
      <c r="C465" s="308"/>
      <c r="D465" s="235" t="s">
        <v>0</v>
      </c>
      <c r="E465" s="236">
        <v>2015</v>
      </c>
      <c r="F465" s="236">
        <v>2020</v>
      </c>
      <c r="G465" s="236">
        <v>2025</v>
      </c>
      <c r="H465" s="236">
        <v>2030</v>
      </c>
      <c r="I465" s="236">
        <v>2035</v>
      </c>
      <c r="J465" s="236">
        <v>2040</v>
      </c>
      <c r="K465" s="236">
        <v>2045</v>
      </c>
      <c r="L465" s="236">
        <v>2050</v>
      </c>
    </row>
    <row r="466" spans="1:12" ht="15.5" thickTop="1" thickBot="1">
      <c r="B466" s="315" t="s">
        <v>2912</v>
      </c>
      <c r="C466" s="239" t="s">
        <v>2860</v>
      </c>
      <c r="D466" s="239" t="s">
        <v>2</v>
      </c>
      <c r="E466" s="240">
        <v>0</v>
      </c>
      <c r="F466" s="240">
        <v>0</v>
      </c>
      <c r="G466" s="241">
        <v>0.19913563756517849</v>
      </c>
      <c r="H466" s="241">
        <v>1.2041176796034745</v>
      </c>
      <c r="I466" s="241">
        <v>2.2342255231531185</v>
      </c>
      <c r="J466" s="241">
        <v>3.2900903682093601</v>
      </c>
      <c r="K466" s="241">
        <v>5.3723515628155143</v>
      </c>
      <c r="L466" s="241">
        <v>10.494102389324194</v>
      </c>
    </row>
    <row r="467" spans="1:12" ht="15" thickBot="1">
      <c r="B467" s="316"/>
      <c r="C467" s="242" t="s">
        <v>2861</v>
      </c>
      <c r="D467" s="242" t="s">
        <v>2</v>
      </c>
      <c r="E467" s="243">
        <v>0</v>
      </c>
      <c r="F467" s="243">
        <v>0</v>
      </c>
      <c r="G467" s="244">
        <v>5.8037707251626749</v>
      </c>
      <c r="H467" s="244">
        <v>42.307733443615199</v>
      </c>
      <c r="I467" s="244">
        <v>137.12237673639899</v>
      </c>
      <c r="J467" s="244">
        <v>266.66270406879693</v>
      </c>
      <c r="K467" s="244">
        <v>345.99520366438639</v>
      </c>
      <c r="L467" s="244">
        <v>283.90468885114706</v>
      </c>
    </row>
    <row r="468" spans="1:12" ht="15" thickBot="1">
      <c r="B468" s="317" t="s">
        <v>2863</v>
      </c>
      <c r="C468" s="242" t="s">
        <v>2860</v>
      </c>
      <c r="D468" s="242" t="s">
        <v>2864</v>
      </c>
      <c r="E468" s="243">
        <v>0</v>
      </c>
      <c r="F468" s="243">
        <v>0</v>
      </c>
      <c r="G468" s="245">
        <v>3.9827127513035701E-2</v>
      </c>
      <c r="H468" s="245">
        <v>0.2009964084076592</v>
      </c>
      <c r="I468" s="245">
        <v>0.2060215687099288</v>
      </c>
      <c r="J468" s="245">
        <v>0.21117296901124832</v>
      </c>
      <c r="K468" s="245">
        <v>0.41645223892123084</v>
      </c>
      <c r="L468" s="245">
        <v>1.0243501653017359</v>
      </c>
    </row>
    <row r="469" spans="1:12" ht="15" thickBot="1">
      <c r="B469" s="318"/>
      <c r="C469" s="246" t="s">
        <v>2861</v>
      </c>
      <c r="D469" s="246" t="s">
        <v>2864</v>
      </c>
      <c r="E469" s="247">
        <v>0</v>
      </c>
      <c r="F469" s="247">
        <v>0</v>
      </c>
      <c r="G469" s="248">
        <v>1.1607541450325349</v>
      </c>
      <c r="H469" s="248">
        <v>7.3007925436905055</v>
      </c>
      <c r="I469" s="248">
        <v>18.962928658556756</v>
      </c>
      <c r="J469" s="248">
        <v>25.908065466479588</v>
      </c>
      <c r="K469" s="248">
        <v>15.866499919117894</v>
      </c>
      <c r="L469" s="247">
        <v>0</v>
      </c>
    </row>
    <row r="470" spans="1:12" ht="15" thickBot="1">
      <c r="B470" s="304" t="s">
        <v>2865</v>
      </c>
      <c r="C470" s="246" t="s">
        <v>2866</v>
      </c>
      <c r="D470" s="246" t="s">
        <v>2855</v>
      </c>
      <c r="E470" s="249">
        <v>0.05</v>
      </c>
      <c r="F470" s="249">
        <v>0.05</v>
      </c>
      <c r="G470" s="249">
        <v>0.05</v>
      </c>
      <c r="H470" s="249">
        <v>0.05</v>
      </c>
      <c r="I470" s="249">
        <v>0.05</v>
      </c>
      <c r="J470" s="249">
        <v>0.05</v>
      </c>
      <c r="K470" s="249">
        <v>0.05</v>
      </c>
      <c r="L470" s="249">
        <v>0.05</v>
      </c>
    </row>
    <row r="471" spans="1:12" ht="15" thickBot="1">
      <c r="B471" s="305"/>
      <c r="C471" s="242" t="s">
        <v>2867</v>
      </c>
      <c r="D471" s="242" t="s">
        <v>2855</v>
      </c>
      <c r="E471" s="251">
        <v>7.5999999999999998E-2</v>
      </c>
      <c r="F471" s="251">
        <v>7.5999999999999998E-2</v>
      </c>
      <c r="G471" s="251">
        <v>7.5999999999999998E-2</v>
      </c>
      <c r="H471" s="251">
        <v>7.5999999999999998E-2</v>
      </c>
      <c r="I471" s="251">
        <v>7.5999999999999998E-2</v>
      </c>
      <c r="J471" s="251">
        <v>7.5999999999999998E-2</v>
      </c>
      <c r="K471" s="251">
        <v>7.5999999999999998E-2</v>
      </c>
      <c r="L471" s="251">
        <v>7.5999999999999998E-2</v>
      </c>
    </row>
    <row r="472" spans="1:12" ht="15" thickBot="1">
      <c r="B472" s="306"/>
      <c r="C472" s="246" t="s">
        <v>2868</v>
      </c>
      <c r="D472" s="246" t="s">
        <v>2855</v>
      </c>
      <c r="E472" s="249">
        <v>2.5000000000000001E-2</v>
      </c>
      <c r="F472" s="249">
        <v>2.5000000000000001E-2</v>
      </c>
      <c r="G472" s="249">
        <v>2.5000000000000001E-2</v>
      </c>
      <c r="H472" s="249">
        <v>2.5000000000000001E-2</v>
      </c>
      <c r="I472" s="249">
        <v>2.5000000000000001E-2</v>
      </c>
      <c r="J472" s="249">
        <v>2.5000000000000001E-2</v>
      </c>
      <c r="K472" s="249">
        <v>2.5000000000000001E-2</v>
      </c>
      <c r="L472" s="249">
        <v>2.5000000000000001E-2</v>
      </c>
    </row>
    <row r="473" spans="1:12" ht="15" thickBot="1">
      <c r="B473" s="253" t="s">
        <v>2869</v>
      </c>
      <c r="C473" s="242" t="s">
        <v>2870</v>
      </c>
      <c r="D473" s="242" t="s">
        <v>2854</v>
      </c>
      <c r="E473" s="243">
        <v>40</v>
      </c>
      <c r="F473" s="243">
        <v>40</v>
      </c>
      <c r="G473" s="243">
        <v>40</v>
      </c>
      <c r="H473" s="243">
        <v>40</v>
      </c>
      <c r="I473" s="243">
        <v>40</v>
      </c>
      <c r="J473" s="243">
        <v>40</v>
      </c>
      <c r="K473" s="243">
        <v>40</v>
      </c>
      <c r="L473" s="243">
        <v>40</v>
      </c>
    </row>
    <row r="475" spans="1:12" ht="15" thickBot="1"/>
    <row r="476" spans="1:12" ht="15" thickBot="1">
      <c r="B476" s="307"/>
      <c r="C476" s="308"/>
      <c r="D476" s="235" t="s">
        <v>0</v>
      </c>
      <c r="E476" s="236">
        <v>2015</v>
      </c>
      <c r="F476" s="236">
        <v>2020</v>
      </c>
      <c r="G476" s="236">
        <v>2030</v>
      </c>
      <c r="H476" s="236">
        <v>2040</v>
      </c>
      <c r="I476" s="236">
        <v>2050</v>
      </c>
    </row>
    <row r="477" spans="1:12" ht="15.5" thickTop="1" thickBot="1">
      <c r="B477" s="309" t="s">
        <v>2873</v>
      </c>
      <c r="C477" s="239" t="s">
        <v>2860</v>
      </c>
      <c r="D477" s="239" t="s">
        <v>2874</v>
      </c>
      <c r="E477" s="276" t="s">
        <v>2870</v>
      </c>
      <c r="F477" s="240" t="s">
        <v>2870</v>
      </c>
      <c r="G477" s="240">
        <v>2580</v>
      </c>
      <c r="H477" s="240">
        <v>2390</v>
      </c>
      <c r="I477" s="240">
        <v>2200</v>
      </c>
    </row>
    <row r="478" spans="1:12" ht="15" thickBot="1">
      <c r="A478" t="s">
        <v>2937</v>
      </c>
      <c r="B478" s="310"/>
      <c r="C478" s="258" t="s">
        <v>2861</v>
      </c>
      <c r="D478" s="258" t="s">
        <v>2874</v>
      </c>
      <c r="E478" s="277"/>
      <c r="F478" s="259" t="s">
        <v>2870</v>
      </c>
      <c r="G478" s="259">
        <v>2540</v>
      </c>
      <c r="H478" s="259">
        <v>2220</v>
      </c>
      <c r="I478" s="259">
        <v>2180</v>
      </c>
    </row>
    <row r="479" spans="1:12" ht="15" thickBot="1">
      <c r="B479" s="310"/>
      <c r="C479" s="239" t="s">
        <v>2875</v>
      </c>
      <c r="D479" s="239" t="s">
        <v>2874</v>
      </c>
      <c r="E479" s="277"/>
      <c r="F479" s="240" t="s">
        <v>2870</v>
      </c>
      <c r="G479" s="240">
        <v>2350</v>
      </c>
      <c r="H479" s="240">
        <v>1900</v>
      </c>
      <c r="I479" s="240">
        <v>1850</v>
      </c>
    </row>
    <row r="480" spans="1:12" ht="15" thickBot="1">
      <c r="B480" s="311"/>
      <c r="C480" s="258" t="s">
        <v>2876</v>
      </c>
      <c r="D480" s="258" t="s">
        <v>2874</v>
      </c>
      <c r="E480" s="278"/>
      <c r="F480" s="259" t="s">
        <v>2870</v>
      </c>
      <c r="G480" s="259">
        <v>2760</v>
      </c>
      <c r="H480" s="259">
        <v>2660</v>
      </c>
      <c r="I480" s="259">
        <v>2550</v>
      </c>
    </row>
    <row r="481" spans="2:12" ht="16" thickBot="1">
      <c r="B481" s="260" t="s">
        <v>2877</v>
      </c>
      <c r="C481" s="239" t="s">
        <v>2870</v>
      </c>
      <c r="D481" s="239" t="s">
        <v>2878</v>
      </c>
      <c r="E481" s="279">
        <v>0.03</v>
      </c>
      <c r="F481" s="279">
        <v>0.03</v>
      </c>
      <c r="G481" s="279">
        <v>0.03</v>
      </c>
      <c r="H481" s="279">
        <v>0.03</v>
      </c>
      <c r="I481" s="279">
        <v>0.03</v>
      </c>
    </row>
    <row r="484" spans="2:12" ht="15" thickBot="1">
      <c r="B484" s="156" t="s">
        <v>2911</v>
      </c>
    </row>
    <row r="485" spans="2:12" ht="15" thickBot="1">
      <c r="B485" s="307"/>
      <c r="C485" s="308"/>
      <c r="D485" s="235" t="s">
        <v>0</v>
      </c>
      <c r="E485" s="236">
        <v>2015</v>
      </c>
      <c r="F485" s="236">
        <v>2020</v>
      </c>
      <c r="G485" s="236">
        <v>2025</v>
      </c>
      <c r="H485" s="236">
        <v>2030</v>
      </c>
      <c r="I485" s="236">
        <v>2035</v>
      </c>
      <c r="J485" s="236">
        <v>2040</v>
      </c>
      <c r="K485" s="236">
        <v>2045</v>
      </c>
      <c r="L485" s="236">
        <v>2050</v>
      </c>
    </row>
    <row r="486" spans="2:12" ht="15.5" thickTop="1" thickBot="1">
      <c r="B486" s="315" t="s">
        <v>2912</v>
      </c>
      <c r="C486" s="239" t="s">
        <v>2860</v>
      </c>
      <c r="D486" s="239" t="s">
        <v>2</v>
      </c>
      <c r="E486" s="240">
        <v>0</v>
      </c>
      <c r="F486" s="240">
        <v>0</v>
      </c>
      <c r="G486" s="241">
        <v>0</v>
      </c>
      <c r="H486" s="241">
        <v>0</v>
      </c>
      <c r="I486" s="241">
        <v>0</v>
      </c>
      <c r="J486" s="241">
        <v>0</v>
      </c>
      <c r="K486" s="241">
        <v>0</v>
      </c>
      <c r="L486" s="241">
        <v>0</v>
      </c>
    </row>
    <row r="487" spans="2:12" ht="15" thickBot="1">
      <c r="B487" s="316"/>
      <c r="C487" s="242" t="s">
        <v>2861</v>
      </c>
      <c r="D487" s="242" t="s">
        <v>2</v>
      </c>
      <c r="E487" s="243">
        <v>0</v>
      </c>
      <c r="F487" s="243">
        <v>0</v>
      </c>
      <c r="G487" s="244">
        <v>0.62264256674459195</v>
      </c>
      <c r="H487" s="244">
        <v>1.7351723192051325</v>
      </c>
      <c r="I487" s="244">
        <v>9.3802299787015944</v>
      </c>
      <c r="J487" s="244">
        <v>33.990951744409692</v>
      </c>
      <c r="K487" s="244">
        <v>99.675024209872902</v>
      </c>
      <c r="L487" s="244">
        <v>162.22484843324102</v>
      </c>
    </row>
    <row r="488" spans="2:12" ht="15" thickBot="1">
      <c r="B488" s="317" t="s">
        <v>2863</v>
      </c>
      <c r="C488" s="242" t="s">
        <v>2860</v>
      </c>
      <c r="D488" s="242" t="s">
        <v>2864</v>
      </c>
      <c r="E488" s="243">
        <v>0</v>
      </c>
      <c r="F488" s="243">
        <v>0</v>
      </c>
      <c r="G488" s="245">
        <v>0</v>
      </c>
      <c r="H488" s="245">
        <v>0</v>
      </c>
      <c r="I488" s="245">
        <v>0</v>
      </c>
      <c r="J488" s="245">
        <v>0</v>
      </c>
      <c r="K488" s="245">
        <v>0</v>
      </c>
      <c r="L488" s="245">
        <v>0</v>
      </c>
    </row>
    <row r="489" spans="2:12" ht="15" thickBot="1">
      <c r="B489" s="318"/>
      <c r="C489" s="246" t="s">
        <v>2861</v>
      </c>
      <c r="D489" s="246" t="s">
        <v>2864</v>
      </c>
      <c r="E489" s="247">
        <v>0</v>
      </c>
      <c r="F489" s="247">
        <v>0</v>
      </c>
      <c r="G489" s="248">
        <v>0.12452851334891839</v>
      </c>
      <c r="H489" s="248">
        <v>0.22250595049210808</v>
      </c>
      <c r="I489" s="248">
        <v>1.5290115318992925</v>
      </c>
      <c r="J489" s="248">
        <v>4.9221443531416202</v>
      </c>
      <c r="K489" s="248">
        <v>13.261343006441559</v>
      </c>
      <c r="L489" s="248">
        <v>12.732470795165733</v>
      </c>
    </row>
    <row r="490" spans="2:12" ht="15" thickBot="1">
      <c r="B490" s="304" t="s">
        <v>2865</v>
      </c>
      <c r="C490" s="246" t="s">
        <v>2866</v>
      </c>
      <c r="D490" s="246" t="s">
        <v>2855</v>
      </c>
      <c r="E490" s="249">
        <v>0.05</v>
      </c>
      <c r="F490" s="249">
        <v>0.05</v>
      </c>
      <c r="G490" s="249">
        <v>0.05</v>
      </c>
      <c r="H490" s="249">
        <v>0.05</v>
      </c>
      <c r="I490" s="249">
        <v>0.05</v>
      </c>
      <c r="J490" s="249">
        <v>0.05</v>
      </c>
      <c r="K490" s="249">
        <v>0.05</v>
      </c>
      <c r="L490" s="249">
        <v>0.05</v>
      </c>
    </row>
    <row r="491" spans="2:12" ht="15" thickBot="1">
      <c r="B491" s="305"/>
      <c r="C491" s="242" t="s">
        <v>2867</v>
      </c>
      <c r="D491" s="242" t="s">
        <v>2855</v>
      </c>
      <c r="E491" s="251">
        <v>7.5999999999999998E-2</v>
      </c>
      <c r="F491" s="251">
        <v>7.5999999999999998E-2</v>
      </c>
      <c r="G491" s="251">
        <v>7.5999999999999998E-2</v>
      </c>
      <c r="H491" s="251">
        <v>7.5999999999999998E-2</v>
      </c>
      <c r="I491" s="251">
        <v>7.5999999999999998E-2</v>
      </c>
      <c r="J491" s="251">
        <v>7.5999999999999998E-2</v>
      </c>
      <c r="K491" s="251">
        <v>7.5999999999999998E-2</v>
      </c>
      <c r="L491" s="251">
        <v>7.5999999999999998E-2</v>
      </c>
    </row>
    <row r="492" spans="2:12" ht="15" thickBot="1">
      <c r="B492" s="306"/>
      <c r="C492" s="246" t="s">
        <v>2868</v>
      </c>
      <c r="D492" s="246" t="s">
        <v>2855</v>
      </c>
      <c r="E492" s="249">
        <v>2.5000000000000001E-2</v>
      </c>
      <c r="F492" s="249">
        <v>2.5000000000000001E-2</v>
      </c>
      <c r="G492" s="249">
        <v>2.5000000000000001E-2</v>
      </c>
      <c r="H492" s="249">
        <v>2.5000000000000001E-2</v>
      </c>
      <c r="I492" s="249">
        <v>2.5000000000000001E-2</v>
      </c>
      <c r="J492" s="249">
        <v>2.5000000000000001E-2</v>
      </c>
      <c r="K492" s="249">
        <v>2.5000000000000001E-2</v>
      </c>
      <c r="L492" s="249">
        <v>2.5000000000000001E-2</v>
      </c>
    </row>
    <row r="493" spans="2:12" ht="15" thickBot="1">
      <c r="B493" s="253" t="s">
        <v>2869</v>
      </c>
      <c r="C493" s="242" t="s">
        <v>2870</v>
      </c>
      <c r="D493" s="242" t="s">
        <v>2854</v>
      </c>
      <c r="E493" s="243">
        <v>25</v>
      </c>
      <c r="F493" s="243">
        <v>25</v>
      </c>
      <c r="G493" s="243">
        <v>25</v>
      </c>
      <c r="H493" s="243">
        <v>25</v>
      </c>
      <c r="I493" s="243">
        <v>25</v>
      </c>
      <c r="J493" s="243">
        <v>25</v>
      </c>
      <c r="K493" s="243">
        <v>25</v>
      </c>
      <c r="L493" s="243">
        <v>25</v>
      </c>
    </row>
    <row r="496" spans="2:12" ht="15" thickBot="1">
      <c r="B496" s="156" t="s">
        <v>2938</v>
      </c>
    </row>
    <row r="497" spans="2:12" ht="15" thickBot="1">
      <c r="B497" s="307"/>
      <c r="C497" s="308"/>
      <c r="D497" s="235" t="s">
        <v>0</v>
      </c>
      <c r="E497" s="236">
        <v>2015</v>
      </c>
      <c r="F497" s="236">
        <v>2020</v>
      </c>
      <c r="G497" s="236">
        <v>2030</v>
      </c>
      <c r="H497" s="236">
        <v>2040</v>
      </c>
      <c r="I497" s="236">
        <v>2050</v>
      </c>
    </row>
    <row r="498" spans="2:12" ht="15.5" thickTop="1" thickBot="1">
      <c r="B498" s="309" t="s">
        <v>2873</v>
      </c>
      <c r="C498" s="239" t="s">
        <v>2860</v>
      </c>
      <c r="D498" s="239" t="s">
        <v>2874</v>
      </c>
      <c r="E498" s="312" t="s">
        <v>2870</v>
      </c>
      <c r="F498" s="240" t="s">
        <v>2870</v>
      </c>
      <c r="G498" s="240">
        <v>5800</v>
      </c>
      <c r="H498" s="240">
        <v>5800</v>
      </c>
      <c r="I498" s="240">
        <v>5800</v>
      </c>
    </row>
    <row r="499" spans="2:12" ht="15" thickBot="1">
      <c r="B499" s="310"/>
      <c r="C499" s="258" t="s">
        <v>2861</v>
      </c>
      <c r="D499" s="258" t="s">
        <v>2874</v>
      </c>
      <c r="E499" s="313"/>
      <c r="F499" s="259" t="s">
        <v>2870</v>
      </c>
      <c r="G499" s="259">
        <v>5380</v>
      </c>
      <c r="H499" s="259">
        <v>4310</v>
      </c>
      <c r="I499" s="259">
        <v>3840</v>
      </c>
    </row>
    <row r="500" spans="2:12" ht="15" thickBot="1">
      <c r="B500" s="310"/>
      <c r="C500" s="239" t="s">
        <v>2875</v>
      </c>
      <c r="D500" s="239" t="s">
        <v>2874</v>
      </c>
      <c r="E500" s="313"/>
      <c r="F500" s="240" t="s">
        <v>2870</v>
      </c>
      <c r="G500" s="240">
        <v>5160</v>
      </c>
      <c r="H500" s="240">
        <v>3680</v>
      </c>
      <c r="I500" s="240">
        <v>3070</v>
      </c>
    </row>
    <row r="501" spans="2:12" ht="15" thickBot="1">
      <c r="B501" s="311"/>
      <c r="C501" s="258" t="s">
        <v>2876</v>
      </c>
      <c r="D501" s="258" t="s">
        <v>2874</v>
      </c>
      <c r="E501" s="314"/>
      <c r="F501" s="259" t="s">
        <v>2870</v>
      </c>
      <c r="G501" s="259">
        <v>5800</v>
      </c>
      <c r="H501" s="259">
        <v>5800</v>
      </c>
      <c r="I501" s="259">
        <v>5800</v>
      </c>
    </row>
    <row r="502" spans="2:12" ht="16" thickBot="1">
      <c r="B502" s="260" t="s">
        <v>2877</v>
      </c>
      <c r="C502" s="239" t="s">
        <v>2870</v>
      </c>
      <c r="D502" s="239" t="s">
        <v>2878</v>
      </c>
      <c r="E502" s="261">
        <v>2.3E-2</v>
      </c>
      <c r="F502" s="261">
        <v>2.3E-2</v>
      </c>
      <c r="G502" s="261">
        <v>2.3E-2</v>
      </c>
      <c r="H502" s="261">
        <v>2.3E-2</v>
      </c>
      <c r="I502" s="261">
        <v>2.3E-2</v>
      </c>
    </row>
    <row r="504" spans="2:12" ht="15" thickBot="1">
      <c r="B504" s="156" t="s">
        <v>2910</v>
      </c>
    </row>
    <row r="505" spans="2:12" ht="15" thickBot="1">
      <c r="B505" s="307"/>
      <c r="C505" s="308"/>
      <c r="D505" s="235" t="s">
        <v>0</v>
      </c>
      <c r="E505" s="236">
        <v>2015</v>
      </c>
      <c r="F505" s="236">
        <v>2020</v>
      </c>
      <c r="G505" s="236">
        <v>2025</v>
      </c>
      <c r="H505" s="236">
        <v>2030</v>
      </c>
      <c r="I505" s="236">
        <v>2035</v>
      </c>
      <c r="J505" s="236">
        <v>2040</v>
      </c>
      <c r="K505" s="236">
        <v>2045</v>
      </c>
      <c r="L505" s="236">
        <v>2050</v>
      </c>
    </row>
    <row r="506" spans="2:12" ht="15.5" thickTop="1" thickBot="1">
      <c r="B506" s="315" t="s">
        <v>2912</v>
      </c>
      <c r="C506" s="239" t="s">
        <v>2860</v>
      </c>
      <c r="D506" s="239" t="s">
        <v>2</v>
      </c>
      <c r="E506" s="240">
        <v>0</v>
      </c>
      <c r="F506" s="240">
        <v>0</v>
      </c>
      <c r="G506" s="241">
        <v>0</v>
      </c>
      <c r="H506" s="241">
        <v>0</v>
      </c>
      <c r="I506" s="241">
        <v>0</v>
      </c>
      <c r="J506" s="241">
        <v>0</v>
      </c>
      <c r="K506" s="241">
        <v>0</v>
      </c>
      <c r="L506" s="241">
        <v>0</v>
      </c>
    </row>
    <row r="507" spans="2:12" ht="15" thickBot="1">
      <c r="B507" s="316"/>
      <c r="C507" s="242" t="s">
        <v>2861</v>
      </c>
      <c r="D507" s="242" t="s">
        <v>2</v>
      </c>
      <c r="E507" s="243">
        <v>0</v>
      </c>
      <c r="F507" s="243">
        <v>0</v>
      </c>
      <c r="G507" s="244">
        <v>1.7701245852722651</v>
      </c>
      <c r="H507" s="244">
        <v>21.700085846574652</v>
      </c>
      <c r="I507" s="244">
        <v>72.486296742580237</v>
      </c>
      <c r="J507" s="244">
        <v>145.73235723367094</v>
      </c>
      <c r="K507" s="244">
        <v>224.63400497370054</v>
      </c>
      <c r="L507" s="244">
        <v>285.93236709488298</v>
      </c>
    </row>
    <row r="508" spans="2:12" ht="15" thickBot="1">
      <c r="B508" s="317" t="s">
        <v>2863</v>
      </c>
      <c r="C508" s="242" t="s">
        <v>2860</v>
      </c>
      <c r="D508" s="242" t="s">
        <v>2864</v>
      </c>
      <c r="E508" s="243">
        <v>0</v>
      </c>
      <c r="F508" s="243">
        <v>0</v>
      </c>
      <c r="G508" s="245">
        <v>0</v>
      </c>
      <c r="H508" s="245">
        <v>0</v>
      </c>
      <c r="I508" s="245">
        <v>0</v>
      </c>
      <c r="J508" s="245">
        <v>0</v>
      </c>
      <c r="K508" s="245">
        <v>0</v>
      </c>
      <c r="L508" s="245">
        <v>0</v>
      </c>
    </row>
    <row r="509" spans="2:12" ht="15" thickBot="1">
      <c r="B509" s="318"/>
      <c r="C509" s="246" t="s">
        <v>2861</v>
      </c>
      <c r="D509" s="246" t="s">
        <v>2864</v>
      </c>
      <c r="E509" s="247">
        <v>0</v>
      </c>
      <c r="F509" s="247">
        <v>0</v>
      </c>
      <c r="G509" s="248">
        <v>0.35402491705445305</v>
      </c>
      <c r="H509" s="248">
        <v>3.9859922522604778</v>
      </c>
      <c r="I509" s="248">
        <v>10.157242179201116</v>
      </c>
      <c r="J509" s="248">
        <v>14.64921209821814</v>
      </c>
      <c r="K509" s="248">
        <v>15.78032954800592</v>
      </c>
      <c r="L509" s="248">
        <v>12.259672424236488</v>
      </c>
    </row>
    <row r="510" spans="2:12" ht="15" thickBot="1">
      <c r="B510" s="304" t="s">
        <v>2865</v>
      </c>
      <c r="C510" s="246" t="s">
        <v>2866</v>
      </c>
      <c r="D510" s="246" t="s">
        <v>2855</v>
      </c>
      <c r="E510" s="249">
        <v>2.1999999999999999E-2</v>
      </c>
      <c r="F510" s="249">
        <v>2.1999999999999999E-2</v>
      </c>
      <c r="G510" s="249">
        <v>2.1999999999999999E-2</v>
      </c>
      <c r="H510" s="249">
        <v>2.1999999999999999E-2</v>
      </c>
      <c r="I510" s="249">
        <v>2.1999999999999999E-2</v>
      </c>
      <c r="J510" s="249">
        <v>2.1999999999999999E-2</v>
      </c>
      <c r="K510" s="249">
        <v>2.1999999999999999E-2</v>
      </c>
      <c r="L510" s="249">
        <v>2.1999999999999999E-2</v>
      </c>
    </row>
    <row r="511" spans="2:12" ht="15" thickBot="1">
      <c r="B511" s="305"/>
      <c r="C511" s="242" t="s">
        <v>2867</v>
      </c>
      <c r="D511" s="242" t="s">
        <v>2855</v>
      </c>
      <c r="E511" s="251">
        <v>3.5999999999999997E-2</v>
      </c>
      <c r="F511" s="251">
        <v>3.5999999999999997E-2</v>
      </c>
      <c r="G511" s="251">
        <v>3.5999999999999997E-2</v>
      </c>
      <c r="H511" s="251">
        <v>3.5999999999999997E-2</v>
      </c>
      <c r="I511" s="251">
        <v>3.5999999999999997E-2</v>
      </c>
      <c r="J511" s="251">
        <v>3.5999999999999997E-2</v>
      </c>
      <c r="K511" s="251">
        <v>3.5999999999999997E-2</v>
      </c>
      <c r="L511" s="251">
        <v>3.5999999999999997E-2</v>
      </c>
    </row>
    <row r="512" spans="2:12" ht="15" thickBot="1">
      <c r="B512" s="306"/>
      <c r="C512" s="246" t="s">
        <v>2868</v>
      </c>
      <c r="D512" s="246" t="s">
        <v>2855</v>
      </c>
      <c r="E512" s="249">
        <v>1.2E-2</v>
      </c>
      <c r="F512" s="249">
        <v>1.2E-2</v>
      </c>
      <c r="G512" s="249">
        <v>1.2E-2</v>
      </c>
      <c r="H512" s="249">
        <v>1.2E-2</v>
      </c>
      <c r="I512" s="249">
        <v>1.2E-2</v>
      </c>
      <c r="J512" s="249">
        <v>1.2E-2</v>
      </c>
      <c r="K512" s="249">
        <v>1.2E-2</v>
      </c>
      <c r="L512" s="249">
        <v>1.2E-2</v>
      </c>
    </row>
    <row r="513" spans="1:12" ht="15" thickBot="1">
      <c r="B513" s="253" t="s">
        <v>2869</v>
      </c>
      <c r="C513" s="242" t="s">
        <v>2870</v>
      </c>
      <c r="D513" s="242" t="s">
        <v>2854</v>
      </c>
      <c r="E513" s="243">
        <v>30</v>
      </c>
      <c r="F513" s="243">
        <v>30</v>
      </c>
      <c r="G513" s="243">
        <v>30</v>
      </c>
      <c r="H513" s="243">
        <v>30</v>
      </c>
      <c r="I513" s="243">
        <v>30</v>
      </c>
      <c r="J513" s="243">
        <v>30</v>
      </c>
      <c r="K513" s="243">
        <v>30</v>
      </c>
      <c r="L513" s="243">
        <v>30</v>
      </c>
    </row>
    <row r="516" spans="1:12" ht="15" thickBot="1">
      <c r="B516" s="156" t="s">
        <v>2939</v>
      </c>
    </row>
    <row r="517" spans="1:12" ht="15" thickBot="1">
      <c r="B517" s="307"/>
      <c r="C517" s="308"/>
      <c r="D517" s="235" t="s">
        <v>0</v>
      </c>
      <c r="E517" s="236">
        <v>2015</v>
      </c>
      <c r="F517" s="236">
        <v>2020</v>
      </c>
      <c r="G517" s="236">
        <v>2030</v>
      </c>
      <c r="H517" s="236">
        <v>2040</v>
      </c>
      <c r="I517" s="236">
        <v>2050</v>
      </c>
    </row>
    <row r="518" spans="1:12" ht="15.5" thickTop="1" thickBot="1">
      <c r="B518" s="309" t="s">
        <v>2873</v>
      </c>
      <c r="C518" s="239" t="s">
        <v>2860</v>
      </c>
      <c r="D518" s="239" t="s">
        <v>2874</v>
      </c>
      <c r="E518" s="312" t="s">
        <v>2870</v>
      </c>
      <c r="F518" s="240" t="s">
        <v>2870</v>
      </c>
      <c r="G518" s="240">
        <v>1510</v>
      </c>
      <c r="H518" s="240">
        <v>1510</v>
      </c>
      <c r="I518" s="240">
        <v>1510</v>
      </c>
    </row>
    <row r="519" spans="1:12" ht="15" thickBot="1">
      <c r="A519" t="s">
        <v>2940</v>
      </c>
      <c r="B519" s="310"/>
      <c r="C519" s="258" t="s">
        <v>2861</v>
      </c>
      <c r="D519" s="258" t="s">
        <v>2874</v>
      </c>
      <c r="E519" s="313"/>
      <c r="F519" s="259" t="s">
        <v>2870</v>
      </c>
      <c r="G519" s="259">
        <v>1390</v>
      </c>
      <c r="H519" s="259">
        <v>1310</v>
      </c>
      <c r="I519" s="259">
        <v>1280</v>
      </c>
    </row>
    <row r="520" spans="1:12" ht="15" thickBot="1">
      <c r="B520" s="310"/>
      <c r="C520" s="239" t="s">
        <v>2875</v>
      </c>
      <c r="D520" s="239" t="s">
        <v>2874</v>
      </c>
      <c r="E520" s="313"/>
      <c r="F520" s="240" t="s">
        <v>2870</v>
      </c>
      <c r="G520" s="240">
        <v>1320</v>
      </c>
      <c r="H520" s="240">
        <v>1190</v>
      </c>
      <c r="I520" s="240">
        <v>1150</v>
      </c>
    </row>
    <row r="521" spans="1:12" ht="15" thickBot="1">
      <c r="B521" s="311"/>
      <c r="C521" s="258" t="s">
        <v>2876</v>
      </c>
      <c r="D521" s="258" t="s">
        <v>2874</v>
      </c>
      <c r="E521" s="314"/>
      <c r="F521" s="259" t="s">
        <v>2870</v>
      </c>
      <c r="G521" s="259">
        <v>1510</v>
      </c>
      <c r="H521" s="259">
        <v>1510</v>
      </c>
      <c r="I521" s="259">
        <v>1510</v>
      </c>
    </row>
    <row r="522" spans="1:12" ht="16" thickBot="1">
      <c r="B522" s="260" t="s">
        <v>2877</v>
      </c>
      <c r="C522" s="239" t="s">
        <v>2870</v>
      </c>
      <c r="D522" s="239" t="s">
        <v>2878</v>
      </c>
      <c r="E522" s="261">
        <v>2.5000000000000001E-2</v>
      </c>
      <c r="F522" s="261">
        <v>2.5000000000000001E-2</v>
      </c>
      <c r="G522" s="261">
        <v>2.5000000000000001E-2</v>
      </c>
      <c r="H522" s="261">
        <v>2.5000000000000001E-2</v>
      </c>
      <c r="I522" s="261">
        <v>2.5000000000000001E-2</v>
      </c>
    </row>
  </sheetData>
  <mergeCells count="142">
    <mergeCell ref="B22:B24"/>
    <mergeCell ref="B25:B27"/>
    <mergeCell ref="B32:C32"/>
    <mergeCell ref="B33:B37"/>
    <mergeCell ref="B42:C42"/>
    <mergeCell ref="B43:B47"/>
    <mergeCell ref="B5:C5"/>
    <mergeCell ref="B6:B8"/>
    <mergeCell ref="B9:B11"/>
    <mergeCell ref="B12:B14"/>
    <mergeCell ref="B18:C18"/>
    <mergeCell ref="B19:B21"/>
    <mergeCell ref="B81:C81"/>
    <mergeCell ref="B82:B86"/>
    <mergeCell ref="B90:C90"/>
    <mergeCell ref="B91:B93"/>
    <mergeCell ref="B94:B96"/>
    <mergeCell ref="B97:B99"/>
    <mergeCell ref="B52:C52"/>
    <mergeCell ref="B53:B57"/>
    <mergeCell ref="B61:C61"/>
    <mergeCell ref="B62:B66"/>
    <mergeCell ref="B71:C71"/>
    <mergeCell ref="B72:B76"/>
    <mergeCell ref="B133:C133"/>
    <mergeCell ref="B134:B138"/>
    <mergeCell ref="B144:C144"/>
    <mergeCell ref="B145:B147"/>
    <mergeCell ref="B148:B150"/>
    <mergeCell ref="B151:B153"/>
    <mergeCell ref="B103:C103"/>
    <mergeCell ref="B104:B108"/>
    <mergeCell ref="B113:C113"/>
    <mergeCell ref="B114:B118"/>
    <mergeCell ref="B123:C123"/>
    <mergeCell ref="B124:B128"/>
    <mergeCell ref="B182:B184"/>
    <mergeCell ref="B185:B187"/>
    <mergeCell ref="B191:C191"/>
    <mergeCell ref="B192:B196"/>
    <mergeCell ref="B201:C201"/>
    <mergeCell ref="B202:B206"/>
    <mergeCell ref="B157:C157"/>
    <mergeCell ref="B158:B162"/>
    <mergeCell ref="B167:C167"/>
    <mergeCell ref="B168:B172"/>
    <mergeCell ref="B178:C178"/>
    <mergeCell ref="B179:B181"/>
    <mergeCell ref="B235:C235"/>
    <mergeCell ref="B236:B240"/>
    <mergeCell ref="B245:C245"/>
    <mergeCell ref="B246:B250"/>
    <mergeCell ref="B255:C255"/>
    <mergeCell ref="B256:B260"/>
    <mergeCell ref="B211:C211"/>
    <mergeCell ref="B212:B216"/>
    <mergeCell ref="B222:C222"/>
    <mergeCell ref="B223:B225"/>
    <mergeCell ref="B226:B228"/>
    <mergeCell ref="B229:B231"/>
    <mergeCell ref="B270:B272"/>
    <mergeCell ref="CP270:CP271"/>
    <mergeCell ref="DD270:DD271"/>
    <mergeCell ref="CP272:CP274"/>
    <mergeCell ref="DD272:DD274"/>
    <mergeCell ref="B273:B275"/>
    <mergeCell ref="B266:C266"/>
    <mergeCell ref="B267:B269"/>
    <mergeCell ref="CP267:CQ267"/>
    <mergeCell ref="DD267:DE267"/>
    <mergeCell ref="CP268:CP269"/>
    <mergeCell ref="DD268:DD269"/>
    <mergeCell ref="DG279:DG282"/>
    <mergeCell ref="B280:B284"/>
    <mergeCell ref="B289:C289"/>
    <mergeCell ref="B290:B294"/>
    <mergeCell ref="B299:C299"/>
    <mergeCell ref="B300:B304"/>
    <mergeCell ref="CP278:CQ278"/>
    <mergeCell ref="DD278:DE278"/>
    <mergeCell ref="B279:C279"/>
    <mergeCell ref="CP279:CP282"/>
    <mergeCell ref="CS279:CS282"/>
    <mergeCell ref="DD279:DD282"/>
    <mergeCell ref="B339:C339"/>
    <mergeCell ref="B340:B344"/>
    <mergeCell ref="B350:C350"/>
    <mergeCell ref="B351:B353"/>
    <mergeCell ref="B354:B356"/>
    <mergeCell ref="B357:B359"/>
    <mergeCell ref="B309:C309"/>
    <mergeCell ref="B310:B314"/>
    <mergeCell ref="B319:C319"/>
    <mergeCell ref="B320:B324"/>
    <mergeCell ref="B329:C329"/>
    <mergeCell ref="B330:B334"/>
    <mergeCell ref="B393:C393"/>
    <mergeCell ref="B394:B398"/>
    <mergeCell ref="B404:C404"/>
    <mergeCell ref="B405:B406"/>
    <mergeCell ref="B407:B408"/>
    <mergeCell ref="B409:B411"/>
    <mergeCell ref="B363:C363"/>
    <mergeCell ref="B364:B368"/>
    <mergeCell ref="B373:C373"/>
    <mergeCell ref="B374:B378"/>
    <mergeCell ref="B383:C383"/>
    <mergeCell ref="B384:B388"/>
    <mergeCell ref="B435:C435"/>
    <mergeCell ref="B436:B439"/>
    <mergeCell ref="B444:C444"/>
    <mergeCell ref="B445:B446"/>
    <mergeCell ref="B447:B448"/>
    <mergeCell ref="B449:B451"/>
    <mergeCell ref="B415:C415"/>
    <mergeCell ref="B416:B419"/>
    <mergeCell ref="B424:C424"/>
    <mergeCell ref="B425:B426"/>
    <mergeCell ref="B427:B428"/>
    <mergeCell ref="B429:B431"/>
    <mergeCell ref="B476:C476"/>
    <mergeCell ref="B477:B480"/>
    <mergeCell ref="B485:C485"/>
    <mergeCell ref="B486:B487"/>
    <mergeCell ref="B488:B489"/>
    <mergeCell ref="B490:B492"/>
    <mergeCell ref="B455:C455"/>
    <mergeCell ref="B456:B459"/>
    <mergeCell ref="B465:C465"/>
    <mergeCell ref="B466:B467"/>
    <mergeCell ref="B468:B469"/>
    <mergeCell ref="B470:B472"/>
    <mergeCell ref="B510:B512"/>
    <mergeCell ref="B517:C517"/>
    <mergeCell ref="B518:B521"/>
    <mergeCell ref="E518:E521"/>
    <mergeCell ref="B497:C497"/>
    <mergeCell ref="B498:B501"/>
    <mergeCell ref="E498:E501"/>
    <mergeCell ref="B505:C505"/>
    <mergeCell ref="B506:B507"/>
    <mergeCell ref="B508:B50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35B8855D2CD4A84AB51A7B8A3B83B" ma:contentTypeVersion="6" ma:contentTypeDescription="Create a new document." ma:contentTypeScope="" ma:versionID="6046aa80c6137ea7cd300941e6de6139">
  <xsd:schema xmlns:xsd="http://www.w3.org/2001/XMLSchema" xmlns:xs="http://www.w3.org/2001/XMLSchema" xmlns:p="http://schemas.microsoft.com/office/2006/metadata/properties" xmlns:ns2="795b6ce3-4d29-4fa5-96ed-ea1b36830f13" xmlns:ns3="424ab569-3a9e-4e02-994b-fd1ed8ea43ac" targetNamespace="http://schemas.microsoft.com/office/2006/metadata/properties" ma:root="true" ma:fieldsID="8866ff8f472ea66287faba2f38092fc5" ns2:_="" ns3:_="">
    <xsd:import namespace="795b6ce3-4d29-4fa5-96ed-ea1b36830f13"/>
    <xsd:import namespace="424ab569-3a9e-4e02-994b-fd1ed8ea4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6ce3-4d29-4fa5-96ed-ea1b36830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ab569-3a9e-4e02-994b-fd1ed8ea4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1B585-D9F5-409F-9C58-1AAF8BF716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1BA114-00C8-4AA6-82E9-E7B647F448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86AAB-D1BF-4DFE-9F49-6F6D04D4E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6ce3-4d29-4fa5-96ed-ea1b36830f13"/>
    <ds:schemaRef ds:uri="424ab569-3a9e-4e02-994b-fd1ed8ea4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ELC_EGP</vt:lpstr>
      <vt:lpstr>IMPEXP</vt:lpstr>
      <vt:lpstr>ELC_WIN</vt:lpstr>
      <vt:lpstr>WIN_ON_COST</vt:lpstr>
      <vt:lpstr>ELC_CCS</vt:lpstr>
      <vt:lpstr>Win_ON_Cost_Data</vt:lpstr>
      <vt:lpstr>ETRI_Cost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Carlsson</dc:creator>
  <cp:lastModifiedBy>Martyn, Eabha</cp:lastModifiedBy>
  <dcterms:created xsi:type="dcterms:W3CDTF">2015-08-25T14:05:54Z</dcterms:created>
  <dcterms:modified xsi:type="dcterms:W3CDTF">2026-10-05T11:48:35Z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0x010100F4935B8855D2CD4A84AB51A7B8A3B83B</vt:lpwstr>
  </property>
  <property fmtid="{D5CDD505-2E9C-101B-9397-08002B2CF9AE}" pid="3" name="SaveCode">
    <vt:r8>885933041572570</vt:r8>
  </property>
</Properties>
</file>